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B8" i="12" l="1"/>
  <c r="C7" i="12"/>
  <c r="C6" i="12"/>
  <c r="C5" i="12"/>
  <c r="C4" i="12"/>
  <c r="C8" i="12"/>
  <c r="B16" i="12" l="1"/>
  <c r="B23" i="12"/>
  <c r="C22" i="12"/>
  <c r="C21" i="12"/>
  <c r="C20" i="12"/>
  <c r="C23" i="12"/>
  <c r="C15" i="12"/>
  <c r="C14" i="12"/>
  <c r="C12" i="12"/>
  <c r="C16" i="12"/>
  <c r="C13" i="12"/>
  <c r="B32" i="12" l="1"/>
  <c r="B40" i="12"/>
  <c r="C39" i="12"/>
  <c r="C38" i="12"/>
  <c r="C29" i="12"/>
  <c r="C30" i="12"/>
  <c r="C36" i="12"/>
  <c r="C40" i="12"/>
  <c r="C31" i="12"/>
  <c r="C32" i="12"/>
  <c r="C28" i="12"/>
  <c r="C27" i="12"/>
  <c r="C37" i="12"/>
  <c r="C44" i="12" l="1"/>
  <c r="B52" i="12"/>
  <c r="C51" i="12"/>
  <c r="C50" i="12"/>
  <c r="C93" i="12"/>
  <c r="C94" i="12"/>
  <c r="B62" i="12"/>
  <c r="C61" i="12"/>
  <c r="C60" i="12"/>
  <c r="C45" i="12"/>
  <c r="C57" i="12"/>
  <c r="C56" i="12"/>
  <c r="C52" i="12"/>
  <c r="C59" i="12"/>
  <c r="C47" i="12"/>
  <c r="C62" i="12"/>
  <c r="C48" i="12"/>
  <c r="C46" i="12"/>
  <c r="C49" i="12"/>
  <c r="C58" i="12"/>
  <c r="B75" i="12" l="1"/>
  <c r="C74" i="12"/>
  <c r="C73" i="12"/>
  <c r="B83" i="12"/>
  <c r="C81" i="12"/>
  <c r="C82" i="12"/>
  <c r="C71" i="12"/>
  <c r="C80" i="12"/>
  <c r="C66" i="12"/>
  <c r="C70" i="12"/>
  <c r="C79" i="12"/>
  <c r="C83" i="12"/>
  <c r="C72" i="12"/>
  <c r="C75" i="12"/>
  <c r="B95" i="12" l="1"/>
  <c r="C90" i="12"/>
  <c r="B104" i="12"/>
  <c r="C99" i="12"/>
  <c r="C100" i="12"/>
  <c r="C104" i="12"/>
  <c r="C89" i="12"/>
  <c r="C91" i="12"/>
  <c r="C95" i="12"/>
  <c r="C88" i="12"/>
  <c r="C103" i="12"/>
  <c r="C92" i="12"/>
  <c r="C102" i="12"/>
  <c r="C87" i="12"/>
  <c r="B113" i="12" l="1"/>
  <c r="C110" i="12"/>
  <c r="C108" i="12"/>
  <c r="C111" i="12"/>
  <c r="C112" i="12"/>
  <c r="C113" i="12"/>
  <c r="C109" i="12"/>
  <c r="B120" i="12" l="1"/>
  <c r="B130" i="12"/>
  <c r="C124" i="12"/>
  <c r="C127" i="12"/>
  <c r="C120" i="12"/>
  <c r="C128" i="12"/>
  <c r="C125" i="12"/>
  <c r="C130" i="12"/>
  <c r="C119" i="12"/>
  <c r="C126" i="12"/>
  <c r="C118" i="12"/>
  <c r="C129" i="12"/>
  <c r="C117" i="12"/>
  <c r="B140" i="12" l="1"/>
  <c r="C140" i="12"/>
  <c r="C138" i="12"/>
  <c r="C139" i="12"/>
  <c r="C135" i="12"/>
  <c r="C136" i="12"/>
  <c r="C137" i="12"/>
  <c r="C134" i="12"/>
  <c r="E59" i="1" l="1"/>
  <c r="E57" i="1"/>
  <c r="B151" i="12"/>
  <c r="C146" i="12"/>
  <c r="C145" i="12"/>
  <c r="C144" i="12"/>
  <c r="C149" i="12"/>
  <c r="C148" i="12"/>
  <c r="C179" i="12"/>
  <c r="C147" i="12"/>
  <c r="C151" i="12"/>
  <c r="C150" i="12"/>
  <c r="C180" i="12"/>
  <c r="B159" i="12" l="1"/>
  <c r="C157" i="12"/>
  <c r="C155" i="12"/>
  <c r="C158" i="12"/>
  <c r="C156" i="12"/>
  <c r="C159"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187" i="12"/>
  <c r="C163" i="12"/>
  <c r="C185" i="12"/>
  <c r="C186" i="12"/>
  <c r="C188" i="12"/>
  <c r="C168" i="12"/>
  <c r="C167" i="12"/>
  <c r="B171" i="12" l="1"/>
  <c r="C170" i="12"/>
  <c r="C169" i="12"/>
  <c r="B181" i="12"/>
  <c r="B189"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164" i="12"/>
  <c r="C176" i="12"/>
  <c r="C189" i="12"/>
  <c r="C175" i="12"/>
  <c r="C177" i="12"/>
  <c r="C165" i="12"/>
  <c r="C181" i="12"/>
  <c r="C166" i="12"/>
  <c r="C178" i="12"/>
  <c r="C171" i="12"/>
  <c r="C10" i="15" l="1"/>
  <c r="C9" i="15"/>
  <c r="C8" i="15"/>
  <c r="C7" i="15"/>
  <c r="C6" i="15"/>
  <c r="C5" i="15"/>
  <c r="C4" i="15"/>
  <c r="C3" i="15"/>
  <c r="B11" i="15"/>
  <c r="C10" i="16"/>
  <c r="C9" i="16"/>
  <c r="C8" i="16"/>
  <c r="C7" i="16"/>
  <c r="C6" i="16"/>
  <c r="C5" i="16"/>
  <c r="C4" i="16"/>
  <c r="C3" i="16"/>
  <c r="B11" i="16"/>
  <c r="C11" i="15"/>
  <c r="C11" i="16"/>
  <c r="D55" i="1"/>
  <c r="D53" i="1"/>
  <c r="D51" i="1"/>
  <c r="D49" i="1"/>
  <c r="D47" i="1"/>
  <c r="D45" i="1"/>
  <c r="D43" i="1"/>
  <c r="D41" i="1"/>
  <c r="D39" i="1"/>
  <c r="D37" i="1"/>
  <c r="D35" i="1"/>
  <c r="D33" i="1"/>
  <c r="D31" i="1"/>
  <c r="D29" i="1"/>
  <c r="D27" i="1"/>
  <c r="D25" i="1"/>
  <c r="D23" i="1"/>
  <c r="D21" i="1"/>
  <c r="D19" i="1"/>
  <c r="D17" i="1"/>
  <c r="D15" i="1"/>
  <c r="D56" i="1"/>
  <c r="D54" i="1"/>
  <c r="D52" i="1"/>
  <c r="D50" i="1"/>
  <c r="D48" i="1"/>
  <c r="D46" i="1"/>
  <c r="D44" i="1"/>
  <c r="D42" i="1"/>
  <c r="D40" i="1"/>
  <c r="D38" i="1"/>
  <c r="D36" i="1"/>
  <c r="D34" i="1"/>
  <c r="D32" i="1"/>
  <c r="D30" i="1"/>
  <c r="D28" i="1"/>
  <c r="D26" i="1"/>
  <c r="D24" i="1"/>
  <c r="D22" i="1"/>
  <c r="D20" i="1"/>
  <c r="D18" i="1"/>
  <c r="D16"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<sst xmlns="http://schemas.openxmlformats.org/spreadsheetml/2006/main" count="1339" uniqueCount="286">
  <si>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</si>
  <si>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</si>
  <si>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</si>
  <si>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</si>
  <si>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</si>
  <si>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</si>
  <si>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</si>
  <si>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</si>
  <si>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</si>
  <si>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</si>
  <si>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</si>
  <si>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</si>
  <si>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</si>
  <si>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</si>
  <si>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</si>
  <si>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</si>
  <si>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</si>
  <si>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</si>
  <si>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</si>
  <si>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</si>
  <si>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</si>
  <si>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</si>
  <si>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</si>
  <si>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</si>
  <si>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</si>
  <si>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</si>
  <si>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</si>
  <si>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</si>
  <si>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</si>
  <si>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</si>
  <si>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</si>
  <si>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</si>
  <si>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</si>
  <si>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</si>
  <si>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</si>
  <si>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</si>
  <si>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</si>
  <si>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</si>
  <si>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</si>
  <si>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</si>
  <si>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</si>
  <si>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</si>
  <si>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</si>
  <si>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</si>
  <si>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</si>
  <si>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</si>
  <si>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</si>
  <si>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</si>
  <si>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</si>
  <si>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</si>
  <si>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</si>
  <si>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</si>
  <si>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</si>
  <si>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</si>
  <si>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</si>
  <si>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</si>
  <si>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</si>
  <si>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</si>
  <si>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</si>
  <si>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</si>
  <si>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</si>
  <si>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</si>
  <si>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</si>
  <si>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</si>
  <si>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</si>
  <si>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</si>
  <si>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</si>
  <si>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</si>
  <si>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</si>
  <si>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</si>
  <si>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</si>
  <si>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</si>
  <si>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</si>
  <si>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</si>
  <si>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</si>
  <si>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</si>
  <si>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</si>
  <si>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</si>
  <si>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</si>
  <si>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</si>
  <si>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</si>
  <si>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</si>
  <si>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</si>
  <si>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</si>
  <si>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</si>
  <si>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</si>
  <si>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</si>
  <si>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</si>
  <si>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</si>
  <si>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</si>
  <si>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</si>
  <si>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</si>
  <si>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</si>
  <si>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</si>
  <si>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</si>
  <si>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</si>
  <si>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</si>
  <si>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</si>
  <si>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</si>
  <si>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</si>
  <si>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</si>
  <si>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</si>
  <si>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</si>
  <si>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</si>
  <si>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</si>
  <si>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</si>
  <si>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</si>
  <si>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</si>
  <si>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</si>
  <si>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</si>
  <si>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</si>
  <si>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</si>
  <si>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</si>
  <si>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</si>
  <si>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</si>
  <si>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</si>
  <si>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</si>
  <si>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</si>
  <si>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</si>
  <si>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</si>
  <si>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</si>
  <si>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</si>
  <si>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</si>
  <si>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</si>
  <si>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</si>
  <si>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</si>
  <si>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</si>
  <si>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</si>
  <si>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</si>
  <si>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</si>
  <si>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</si>
  <si>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</si>
  <si>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</si>
  <si>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</si>
  <si>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</si>
  <si>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</si>
  <si>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</si>
  <si>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</si>
  <si>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</si>
  <si>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</si>
  <si>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</si>
  <si>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</si>
  <si>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</si>
  <si>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</si>
  <si>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</si>
  <si>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</si>
  <si>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</si>
  <si>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</si>
  <si>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</si>
  <si>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</si>
  <si>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</si>
  <si>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</si>
  <si>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</si>
  <si>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</si>
  <si>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</si>
  <si>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</si>
  <si>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</si>
  <si>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</si>
  <si>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</si>
  <si>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</si>
  <si>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</si>
  <si>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</si>
  <si>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</si>
  <si>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</si>
  <si>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</si>
  <si>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</si>
  <si>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</si>
  <si>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</si>
  <si>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</si>
  <si>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</si>
  <si>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</si>
  <si>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</si>
  <si>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</si>
  <si>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</si>
  <si>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</si>
  <si>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Rédaction du journal de travail de la matinée</t>
  </si>
  <si>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</si>
  <si>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</si>
  <si>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</si>
  <si>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</si>
  <si>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</si>
  <si>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</si>
  <si>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</si>
  <si>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</si>
  <si>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</si>
  <si>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</si>
  <si>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</si>
  <si>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</si>
  <si>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</si>
  <si>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</si>
  <si>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</si>
  <si>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</si>
  <si>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</si>
  <si>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</si>
  <si>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</si>
  <si>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</si>
  <si>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</si>
  <si>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</si>
  <si>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t>J'ai commencé la création de la base de donnée sur FireBase, 
J'ai créé les différentes tables avec les différents éléments : User, Size, Color, Condition, Price, Product name etc.</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</si>
  <si>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</si>
  <si>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</si>
  <si>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</si>
  <si>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</si>
  <si>
    <t>Rédaction de la conception de mon TPI : 
- Maquettes Graphiques, MCD et MLD ajouter au rapport
- Dossier de conception complété</t>
  </si>
  <si>
    <t>J'ai passé en revue la base de données que j'avais créée lundi matin.
Je l'ai comparé avec le MLD afin de vérifier que je n'avais oublié aucun champ lors de sa création.</t>
  </si>
  <si>
    <t>Installation du POD "CocoaPods" qui permet la gestion des dépendances pour Swift et permet de gérer des librairies externes</t>
  </si>
  <si>
    <t>Implémentation du tableau des besoins utilisateurs dans le rapport.</t>
  </si>
  <si>
    <t xml:space="preserve">What is model view Controller with Example - Swift </t>
  </si>
  <si>
    <t>Envoie du mail de fin du mercredi aux experts ainsi qu'à M.Gruaz.
Push du Git.</t>
  </si>
  <si>
    <t>Rédaction du journal de travail de la matinée et de l'après-Midi</t>
  </si>
  <si>
    <t xml:space="preserve">Finalisation du MVC de l'application.
Ajout des fichiers de configuration permettant la lecture de la base de données, tel que la récupération des différents champs de la table t_users dans le fichier User.Swift
J'ai également ajouté tous les éléments qui seront présents sur la page principale ainsi que sur la page profil de l'utilisateur.
J'ai initialisé le POD de firebase permettant l'accès à FireStore et j'ai ensuite configuré l'écran de chargement de l'application.
</t>
  </si>
  <si>
    <r>
      <t xml:space="preserve">
Aujourd'hui pour la première fois, j'ai commencé à réelement développer l'application pour le moment, j'ai pu mettre en place correctement l'infrastructure MVC.
J'ai également pu commencer à réaliser l'interface de mon application en y implémentant les différents boutons/label etc. 
Cependant, j'ai mis plus de temps que ce que j'avais prévu à mettre en place les fondations de l'application, il faudra que je me rattrape lundi.
</t>
    </r>
    <r>
      <rPr>
        <b/>
        <sz val="10"/>
        <color rgb="FFFFFF00"/>
        <rFont val="Century Gothic"/>
        <family val="2"/>
        <scheme val="minor"/>
      </rPr>
      <t>Journée moyennement positive</t>
    </r>
  </si>
  <si>
    <t>Swift 5: Firebase Database in App - Setup/Read/Write Data (Xcode 11) - Beginners</t>
  </si>
  <si>
    <t xml:space="preserve">
</t>
  </si>
  <si>
    <t>swiftludus.org - How to navigate between view controllers in IOS</t>
  </si>
  <si>
    <t>J'ai commenté la page connexion de mon application.</t>
  </si>
  <si>
    <t>J'ai lié ma base de données sur Firebase avec les ID des comptes créés à l'aide du service d'authentification de Firebase</t>
  </si>
  <si>
    <t>Premiers pas avec l'authentification Firebase sur iOS</t>
  </si>
  <si>
    <t>J'ai ajouté la page de création d'un compte mais pour le moment, les boutons sont inutilisables et elle est liée à aucune autre page de l'application.</t>
  </si>
  <si>
    <t>J'ai créé les différentes vues concernant l'authentification étant donné que pour simplifier le stockage de mes données, j'ai décidé d'utiliser également le service d'authentification de FireBase, ayant travaillé sur son implémentation lors de mon pré-TPI, cela ne devrait pas me prendre trop de temps à réimplémenter sur cette application. 
Lors de la planification du projet, je n'avais pas prévu de devoir refaire le système d'authentification pour mon application mais pour la suite du projet, le rajouter me permettra de gagner du temps, voilà pourquoi je m'éloigne de ma planification.
J'ai créé la page de connexion, avec les différentes redirections disponibles sur la page, l'authentification n'est pas encore fonctionnelle.</t>
  </si>
  <si>
    <t xml:space="preserve">Rédaction du journal de travail de la matinée </t>
  </si>
  <si>
    <t>https://firebase.google.com/docs/auth/ios/manage-users</t>
  </si>
  <si>
    <t>https://medium.com/firebase-developers/ios-firebase-authentication-sdk-email-and-password-login-6a3bb27e0536</t>
  </si>
  <si>
    <t>https://firebase.google.com/docs/ios/setup</t>
  </si>
  <si>
    <t>J'ai mis en place le système d'authentification de mon application, j'ai configuré la création des différents utilisateurs via l'adresse mail et un mot de passe stocker via firebase. J'ai géré les erreurs lors de la saisie des informations, la création d'un nouvel utilisateur et la récupération des informations d'un utilisateur précédemment créer.
Pour réaliser cela, j'ai dû installer les PODS d'authentification de firebase et également modifier le fichier de configuration concernant mon application, contenant désormais la gestion de l'authentification.</t>
  </si>
  <si>
    <t>J'ai terminé la liaison de la page "Connexion" avec la page "Création d'un compte", j'ai mis en place correctement les différents bouton (Bouton retour, bouton "création d'un compte, textbox pour l'email et le mot de passe), je me suis basé sur mes maquettes graphiques, mais j'ai éffectuer quelques modifications dû à certaines contraintes imposée par l'interface builder mis à disposition sur xCode qui ne me permettait pas répliquer à l'identique mes maquettes.</t>
  </si>
  <si>
    <t>j'ai rencontré un problème d'affichage lors du lancement de l'application suite à des zones de contraintes "AutoLayout" qui empêche de placer certains éléments à certains endroits de l'écran pour permettre la responsivité et l'utilisation de l'application sur d'autres modèles d'iphones.
Pour ce projet, j'ai mis de côté la compatibilité d'affichage avec d'autres appareils IOS étant donné que cette application est développée dans l'objectif de fonctionner sur un Iphone 11.</t>
  </si>
  <si>
    <t>https://developer.apple.com/library/archive/documentation/UserExperience/Conceptual/AutolayoutPG/WorkingwithConstraintsinInterfaceBuidler.html#:~:text=Interface%20Builder%20provides%20four%20Auto,make%20multiple%20constraints%20at%20once.</t>
  </si>
  <si>
    <t>Rédaction du journal de travail de la journée.</t>
  </si>
  <si>
    <t xml:space="preserve">J'ai eu une conversation avec mon camarade Luca Böhlen afin de lui expliquer pourquoi il devrait plutôt utiliser firebase à la place de Core Data, en lui montrant l'exemple avec mon application.
Je lui ai expliqué brièvement comment  mettre en place firebase. </t>
  </si>
  <si>
    <t>Rédaction du journal de travail de l'après midi.</t>
  </si>
  <si>
    <t>J'ai mis en place la récupération d'un compte précédemment créé et la lecture des différents comptes.J'ai lié les différents comptes avec la base de données, lorsqu'un utilisateur créé son compte, il est directement connecté et s'il ferme l'application, il reste connecté.</t>
  </si>
  <si>
    <t>Désormais lorsque l'utilisateur créé son compte, il est redirigé sur la page principale et également lorsqu'il se connecte.</t>
  </si>
  <si>
    <t>Push des modifications de la journée sur le Git.</t>
  </si>
  <si>
    <t xml:space="preserve">J'ai continué la  conversation avec mon camarade Luca Böhlen, pour lui expliquer de manière approfondie l'utilisation de Firebase ainsi que son fonctionnement, implémentation, et l'utilité qu'aura ce service dans son projet.
</t>
  </si>
  <si>
    <t>https://github.com/IdleHandsApps/DesignableButton</t>
  </si>
  <si>
    <t>J'ai commenté mon code concernant l'authentification "LoginController/CreateAccountController" et j'ai commencé à commenter le code concernant 
la page d'ajout d'un article et la page principale sur laquelle, je n'ai pas encore pu travaillé.</t>
  </si>
  <si>
    <t>Je me suis renseigné et j'ai implémenté dans mon projet différents pods que je vais utiliser lors de ce projet :
- un pods permettant de modifier un bouton pour lui appliquer différentes formes etc. Couleurs de fond directement dans l'interface builder, je vais utiliser ces boutons pour les implémenter sur mes pages de connexion 
- Un pods pour pouvoir ajouter des menus déroulant lorsque l'utilisateur cliquera sur un bouton, j'ai commencé à essayer de l'implémenter sur la page ajout d'un produit pour sélectionner la taille du produit ainsi que sa catégorie.
- Un pods pour afficher à l'utilisateur un état de progression lorsque l'application le connectera avec Firebase authentification ou lorsque l'utilisateur ajoutera un produit.</t>
  </si>
  <si>
    <t>Rendez-vous avec Monsieur Perez pour la seconde visite du TPI, pris de connaissance de différentes informations concernant la suite du déroulement du TPI, pour le moment suite au bilan, je n'ai rien eu à signaler de particulier à Monsieur Perez, le TPI suit son cours.
Monsieur Perez veut une version papier du projet.</t>
  </si>
  <si>
    <t>https://www.youtube.com/watch?v=OQYqGM5_wVY&amp;ab_channel=iOSAcademy</t>
  </si>
  <si>
    <t>Je suis arrivé en retard suite à un problème avec mon train, je vais faire en sorte de rattraper cet imprévu sur mon temps libre.</t>
  </si>
  <si>
    <t>J'ai commencé à rédiger les commentaires des pages que j'ai implémenté hier dans l'application.</t>
  </si>
  <si>
    <t>J'ai continué à travailler sur la conception des cases pour afficher les articles de l'utilisateur, je me heurte à un problème de conception, je ne sais pas encore comment je peux disposer les éléments en forme de liste.
J'ai pris le temps de regarder différents tutoriels où guident afin de comprendre plus clairement les différentes possibilités d'affichages qui s'offraient à moi afin que mon application soit le plus proche possible des maquettes graphiques que j'ai réalisées.</t>
  </si>
  <si>
    <t>J'ai dû retravailler mon dossier de conception sur mon rapport après une lecture approfondie des 
critêres d'évaluation, il semblait me manquer certaines informations sur mon projet.</t>
  </si>
  <si>
    <t>https://www.youtube.com/watch?v=WK5vrOD1zCQ&amp;ab_channel=iOSAcademyiOSAcademy</t>
  </si>
  <si>
    <t>https://www.youtube.com/watch?v=FtO5QT2D_H8&amp;ab_channel=SeanAllenSeanAllen</t>
  </si>
  <si>
    <t>https://www.youtube.com/watch?v=C36sb5sc6lE&amp;ab_channel=SeanAllenSeanAllen</t>
  </si>
  <si>
    <t>Rédaction du journal de travail de la matinée et de l'après-midi.</t>
  </si>
  <si>
    <t>Envoie du mail de fin de semaines aux experts M.Carrel et M.Perez ainsi qu'à M.Gruaz.
Push du Git.</t>
  </si>
  <si>
    <t>J'ai commencé à structurer la page d'ajout d'un article avec les différents éléments qui seront sélectionnable pour un article (catégorie, taille, prix, date d'achat etc..) 
J'ai suivi ma maquette graphique.</t>
  </si>
  <si>
    <t xml:space="preserve">J'ai commencé à développer la page principale de l'application : 
- j'ai ajouté les différents liens entre les différentes pages, j'ai ajouté le bouton profil, j'ai 
commencé le développement du bouton de sélection ainsi que le bouton qui permettra de trier par catégorie les articles de l'utilisateur.
-J'ai ajouté le bouton pour accéder à la page d'ajout d'un produit, et j'ai commencé à structure le modèle des cases qui permettra de visionner les produits sur la première page.
</t>
  </si>
  <si>
    <t>J'ai continué à travailler sur la conception des cases pour afficher les articles de l'utilisateur, j'ai mis en place les différents éléments et j'ai réussi à mettre en place la possibilité de créer des cases en appuyant sur le bouton ajouté, pour le moment, je n'ai pas reussi à récupérer des informations depuis la base de données pour les afficher dans les cases.
Cependant, j'ai eu le temps de me renseigner sur le moyen de réaliser ça, et je pense pouvoir mettre en place la récupération des éléments de la base de données depuis les cases d'ici mercredi prochain.</t>
  </si>
  <si>
    <t>https://stackoverflow.com/questions/66279978/swift-how-to-save-data-to-firebase-from-multiply-selected-cells-in-tableview</t>
  </si>
  <si>
    <t>https://firebase.google.com/docs/database/ios/lists-of-data</t>
  </si>
  <si>
    <t>https://www.youtube.com/watch?v=4RUeW5rUcww&amp;ab_channel=Firebase</t>
  </si>
  <si>
    <t>J'ai rédigé la stratégie des tests de mon projet, que je n'ai pas encore retranscrit sur mon rapport.</t>
  </si>
  <si>
    <t>Mise en place de l'interface de l'application, mise en place de certains boutons sur la page principale.
Gestion du changement de page entre la page profil et la page principale.
J'ai également arrangé les dossiers et les différents fichiers de mon application selon l'architecture logicielle MVC.</t>
  </si>
  <si>
    <t>https://www.youtube.com/watch?v=TQOhsyWUhwg&amp;ab_channel=CodePro</t>
  </si>
  <si>
    <t>J'ai rédiger les commentaires de la page HomeViewController et ceux de la page ProductDetailViewController.</t>
  </si>
  <si>
    <t xml:space="preserve">J'ai ajouté le chapitre glossaire et une table des illustrations dans mon rapport technique. </t>
  </si>
  <si>
    <t>Envoie du mail du mercredi aux experts M.Carrel et M.Perez ainsi qu'à M.Gruaz.
Push du Git.</t>
  </si>
  <si>
    <t>J'ai ajusté l'emplacement de certains éléments de l'application, le bouton d'ajout d'un objet, l'icône pour accéder à la page profil, le futur emplacement des catégories des articles. 
J'ai ajouter un logo à l'application et modifier le design des boutons de l'application via le framework "DesignableButton"</t>
  </si>
  <si>
    <t xml:space="preserve">Réalisation de la page HomeViewController, j'ai mis en place la récupération des données à afficher depuis la base de données.
J'ai effectué des tests avec des données fictives créer directement dans la base de données, pour afficher une image, un nom d'article ainsi que son prix, j'ai également géré la disposition des cases qui s'ajoutent à la suite de manière ordonnée dans la vue principale.
J'ai ajusté la mise en place des cases pour que l'affichage des informations se positionne correctement dans les cases. 
J'ai également permis à l'utilisateur d'appuyer sur une case ce qui le redirige sur la page détail d'un article, pour le moment les informations ne sont pas récupérées et afficher sur la page détail.
Récupération des données d'un article sur la page principale, OK
Dispositions des cases de la vue, OK </t>
  </si>
  <si>
    <t xml:space="preserve">J'ai travaillé sur la page ProductDetailViewController, j'ai mis en place les différentes informations contenues pour un article, via la fonction "setup" qui initialise les différents champs d'un article.
J'ai effectué la récupération des données d'un article depuis la base de données lorsqu'il est sélectionné.
Récupération des données d'un article sur la page détaillé, OK
</t>
  </si>
  <si>
    <r>
      <t xml:space="preserve">J'ai avancé de manière considérable la page principale de l'application, il est désormais possible de visionner les détails d'un article. 
J'ai modifié quelques éléments de l'interface graphique en rajoutant une librairie permettant de modifier le design des boutons etc..
Le projet ce déroule bien.
</t>
    </r>
    <r>
      <rPr>
        <b/>
        <sz val="10"/>
        <color rgb="FF00B050"/>
        <rFont val="Century Gothic"/>
        <family val="2"/>
        <scheme val="minor"/>
      </rPr>
      <t xml:space="preserve">
Journée positive </t>
    </r>
  </si>
  <si>
    <r>
      <t xml:space="preserve">J'ai pu approfondir la mise en places des cases d'articles, j'ai mis en place certaines choses, cette fonctionnalié avance correctement.
</t>
    </r>
    <r>
      <rPr>
        <b/>
        <sz val="10"/>
        <color rgb="FF00B050"/>
        <rFont val="Century Gothic"/>
        <family val="2"/>
        <scheme val="minor"/>
      </rPr>
      <t>Journée positive</t>
    </r>
  </si>
  <si>
    <r>
      <t xml:space="preserve">
J'ai commencé réellement les fonctionnalités de mon cahier des charges, pour le moment j'ai pu mettre en place la moitié des pages de l'application et j'ai eu le temps de me pencher brièvement sur la possibilité de partager les futurs articles, et également sur le fonctionnement de la trie des articles.
</t>
    </r>
    <r>
      <rPr>
        <b/>
        <sz val="10"/>
        <color rgb="FF00B050"/>
        <rFont val="Century Gothic"/>
        <family val="2"/>
        <scheme val="minor"/>
      </rPr>
      <t>Journée positive</t>
    </r>
  </si>
  <si>
    <r>
      <t xml:space="preserve">
J'ai terminé aujourd'hui l'implémentation de l'authentification d'un utilisateur et la création d'un compte. Je vais pouvoir me concentrer sur les fonctionnalités de base de mon application.
</t>
    </r>
    <r>
      <rPr>
        <b/>
        <sz val="10"/>
        <color rgb="FF00B050"/>
        <rFont val="Century Gothic"/>
        <family val="2"/>
        <scheme val="minor"/>
      </rPr>
      <t>Journée positive</t>
    </r>
  </si>
  <si>
    <t>Création des maquettes graphiques de l'application : Page de connexion, Page principale, Page ajout d'un article, Page Modification d'un article et Page détail d'un article.</t>
  </si>
  <si>
    <t>Mise en place de l'infrastructure de la page de modification d'un article.
J'ai mis en places les différents boutons et champs de texte :1 bouton pour ajouter une image, un conteneur d'image, 1 bouton retour, 3 textField, 3 dropdownMenu,1 date timepicker, 1 bouton pour supprimer l'article et 1 pour enregistrer les modifications.</t>
  </si>
  <si>
    <t>https://www.youtube.com/watch?v=mqVRNrvUtLc&amp;ab_channel=Rebeloper-RebelDeveloper</t>
  </si>
  <si>
    <t>Rédaction du journal de travail de l'après-midi</t>
  </si>
  <si>
    <t xml:space="preserve">Mise en place de l'interface de la page profil. 
Image de profil, OK 
Bouton déconnexion et retour, OK
Ajout de deux labels dans lequel j'aimerais ajouter des informations concernant la collection de l'utilisateur, OK
Récupération de la photo de profil/Possibilité de changer la photo, OK 
Récupération des articles dans la collection, OK 
Bouton déconnexion, OK </t>
  </si>
  <si>
    <t>J'ai rédigé les commentaires de la page d'ajout d'un article, de la page modification, et j'ai complété ceux de la page principale.</t>
  </si>
  <si>
    <t>63h30min</t>
  </si>
  <si>
    <t>- 26h20min</t>
  </si>
  <si>
    <t xml:space="preserve">Durant cette matinée, j'ai commencé à developper les fonctionnalités suivantes : Récupération des données d'un article dans les champs de la page modification, la supression d'un article via son id, l'enregistrement des modifications, l'utilisation du framework des dropdown menu, j'ai finalisé la page d'ajout d'un article et j'ai commencé la gestion du trie des articles par catégorie sur la page principale.
Page ajout d'un article, OK
Récupération des informations de l'article sur la page modification, OK 
Modifications des données de l'article dans la base de données, OK
Suppression d'un article, OK
Implémentation des dropdown menu, OK
Ajout du date time picker, OK 
Page modification d'un article, OK </t>
  </si>
  <si>
    <t>https://www.youtube.com/watch?v=4y_NLkYT6NU&amp;ab_channel=ReplicodeReplicode</t>
  </si>
  <si>
    <t>J'ai rédigé les commentaires de la partie du code concernant la trie par catégorie des différents articles.</t>
  </si>
  <si>
    <t xml:space="preserve">J'ai effectué des recherches sur la catégorisation de mes articles, j'ai trouvé un tutoriel qui m'a permis de réaliser pratiquement ce que je voulais et qui m'ont beaucoup aidé pour la réalisation de cette fonctionnalité.
DropDown menu comportant les catégories, OK 
Cases d'articles qui s'affichent en fonction de la catégorie, OK </t>
  </si>
  <si>
    <t>Rédaction de la réalisation du projet,
(Suite à une arrivée tardive, j'ai commencé la rédaction du rapport dans le train durant 20 minutes)
Glossaire de l'application, explication de certains éléements technique en rapport avec mon projet. 
Mise des légendes sur toutes les illustrations du projet.
Ajout du cas d'utilisation de l'application</t>
  </si>
  <si>
    <t xml:space="preserve">Rédaction du journal de travail de l'après midi. </t>
  </si>
  <si>
    <r>
      <t xml:space="preserve">J'ai commencé aujourd'hui l'implémentation de l'authentification d'un utilisateur.Ce n'était pas prévu au commencement de mon projet, mais j'ai préféré l'implémenter afin de simplifier la gestion des données par la suite.Cela ne mettra pas pour autant en retard mon projet étant donné qu'il avance correctement.
</t>
    </r>
    <r>
      <rPr>
        <b/>
        <sz val="9"/>
        <color rgb="FF00B050"/>
        <rFont val="Century Gothic"/>
        <family val="2"/>
        <scheme val="minor"/>
      </rPr>
      <t>Journée positive</t>
    </r>
  </si>
  <si>
    <r>
      <t xml:space="preserve">Cette journée m'a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</si>
  <si>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J'ai mis en place la totalité de l'interface de la page profil, j'ai modifier des éléments dans ma documentation.
Cette matinée n'avait rien de particulier à signaler 
</t>
    </r>
    <r>
      <rPr>
        <b/>
        <sz val="10"/>
        <color rgb="FF00B050"/>
        <rFont val="Century Gothic"/>
        <family val="2"/>
        <scheme val="minor"/>
      </rPr>
      <t xml:space="preserve">
Journée positive </t>
    </r>
  </si>
  <si>
    <r>
      <t xml:space="preserve">J'ai terminé la page ajout d'un produit, j'ai terminé la page modfication d'un produit, j'ai commenté les différentes pages
et j'ai bien avancé sur la fonctionnalités qui permet de trier les articles.
</t>
    </r>
    <r>
      <rPr>
        <b/>
        <sz val="10"/>
        <color rgb="FF00B050"/>
        <rFont val="Century Gothic"/>
        <family val="2"/>
        <scheme val="minor"/>
      </rPr>
      <t xml:space="preserve">Journée positive et productive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</si>
</sst>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2"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
      <b/>
      <sz val="10"/>
      <color rgb="FFFFFF00"/>
      <name val="Century Gothic"/>
      <family val="2"/>
      <scheme val="minor"/>
    </font>
    <font>
      <b/>
      <sz val="9"/>
      <color rgb="FF00B050"/>
      <name val="Century Gothic"/>
      <family val="2"/>
      <scheme val="minor"/>
    </font>
  </fonts>
  <fills count="26">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499984740745262"/>
        <bgColor indexed="64"/>
      </patternFill>
    </fill>
  </fills>
  <borders count="10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321">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10" fillId="5" borderId="51" xfId="0" applyFont="1" applyFill="1" applyBorder="1" applyAlignment="1" applyProtection="1">
      <alignment horizontal="left" vertical="center" wrapText="1" indent="1"/>
      <protection locked="0"/>
    </xf>
    <xf numFmtId="0" fontId="10" fillId="5" borderId="52" xfId="0" applyFont="1" applyFill="1" applyBorder="1" applyAlignment="1" applyProtection="1">
      <alignment horizontal="left" vertical="center" wrapText="1" indent="1"/>
      <protection locked="0"/>
    </xf>
    <xf numFmtId="14" fontId="22" fillId="0" borderId="5" xfId="0" applyNumberFormat="1" applyFont="1" applyFill="1" applyBorder="1" applyAlignment="1">
      <alignment horizontal="center" vertical="center"/>
    </xf>
    <xf numFmtId="14" fontId="15" fillId="0" borderId="0" xfId="0" applyNumberFormat="1" applyFont="1" applyFill="1" applyBorder="1" applyAlignment="1">
      <alignment horizontal="center" vertical="center"/>
    </xf>
    <xf numFmtId="0" fontId="7" fillId="8" borderId="46" xfId="0" applyFont="1" applyFill="1" applyBorder="1" applyAlignment="1">
      <alignment horizontal="center" vertical="center"/>
    </xf>
    <xf numFmtId="165" fontId="8" fillId="8" borderId="46" xfId="0" applyNumberFormat="1" applyFont="1" applyFill="1" applyBorder="1" applyAlignment="1">
      <alignment horizontal="left"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0" fillId="5" borderId="52" xfId="0" applyFont="1" applyFill="1" applyBorder="1"/>
    <xf numFmtId="0" fontId="24" fillId="0" borderId="15" xfId="0" applyFont="1" applyFill="1" applyBorder="1" applyAlignment="1" applyProtection="1">
      <alignment horizontal="center" vertical="center"/>
    </xf>
    <xf numFmtId="0" fontId="23" fillId="0" borderId="15" xfId="0" applyFont="1" applyFill="1" applyBorder="1" applyAlignment="1" applyProtection="1">
      <alignment horizont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0" fillId="0" borderId="0" xfId="0" applyBorder="1" applyAlignment="1">
      <alignment horizont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9" fillId="4" borderId="4"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2" fillId="0" borderId="32" xfId="1" applyFill="1" applyBorder="1" applyAlignment="1" applyProtection="1">
      <alignment horizontal="center" vertical="top" wrapText="1"/>
      <protection locked="0"/>
    </xf>
    <xf numFmtId="0" fontId="2" fillId="0" borderId="33" xfId="1" applyFill="1" applyBorder="1" applyAlignment="1" applyProtection="1">
      <alignment horizontal="center" vertical="top" wrapText="1"/>
      <protection locked="0"/>
    </xf>
    <xf numFmtId="0" fontId="9" fillId="4" borderId="12" xfId="0" applyNumberFormat="1" applyFont="1" applyFill="1" applyBorder="1" applyAlignment="1" applyProtection="1">
      <alignment horizontal="center" vertical="top" wrapText="1"/>
    </xf>
    <xf numFmtId="0" fontId="2" fillId="0" borderId="47"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2" fillId="0" borderId="44" xfId="1" applyFill="1" applyBorder="1" applyAlignment="1" applyProtection="1">
      <alignment horizontal="center" vertical="top" wrapText="1"/>
      <protection locked="0"/>
    </xf>
    <xf numFmtId="0" fontId="5" fillId="0" borderId="60" xfId="0" applyFont="1" applyFill="1" applyBorder="1" applyAlignment="1" applyProtection="1">
      <alignment horizontal="left" vertical="top" wrapText="1"/>
      <protection locked="0"/>
    </xf>
    <xf numFmtId="0" fontId="5" fillId="0" borderId="97" xfId="0" applyFont="1" applyFill="1" applyBorder="1" applyAlignment="1" applyProtection="1">
      <alignment horizontal="left" vertical="top" wrapText="1"/>
      <protection locked="0"/>
    </xf>
    <xf numFmtId="0" fontId="5" fillId="0" borderId="94" xfId="0" applyFont="1" applyFill="1" applyBorder="1" applyAlignment="1" applyProtection="1">
      <alignment horizontal="left" vertical="top" wrapText="1"/>
      <protection locked="0"/>
    </xf>
    <xf numFmtId="0" fontId="3" fillId="0" borderId="98" xfId="1" applyFont="1" applyFill="1" applyBorder="1" applyAlignment="1" applyProtection="1">
      <alignment horizontal="center" vertical="center" wrapText="1"/>
      <protection locked="0"/>
    </xf>
    <xf numFmtId="0" fontId="3" fillId="0" borderId="99" xfId="1" applyFont="1" applyFill="1" applyBorder="1" applyAlignment="1" applyProtection="1">
      <alignment horizontal="center" vertical="center" wrapText="1"/>
      <protection locked="0"/>
    </xf>
    <xf numFmtId="0" fontId="3" fillId="0" borderId="100" xfId="1" applyFont="1" applyFill="1" applyBorder="1" applyAlignment="1" applyProtection="1">
      <alignment horizontal="center" vertical="center" wrapText="1"/>
      <protection locked="0"/>
    </xf>
    <xf numFmtId="0" fontId="3" fillId="0" borderId="10" xfId="1" applyFont="1" applyFill="1" applyBorder="1" applyAlignment="1" applyProtection="1">
      <alignment horizontal="center" vertical="center" wrapText="1"/>
      <protection locked="0"/>
    </xf>
    <xf numFmtId="0" fontId="3" fillId="0" borderId="0" xfId="1" applyFont="1" applyFill="1" applyBorder="1" applyAlignment="1" applyProtection="1">
      <alignment horizontal="center" vertical="center" wrapText="1"/>
      <protection locked="0"/>
    </xf>
    <xf numFmtId="0" fontId="3" fillId="0" borderId="11" xfId="1" applyFont="1" applyFill="1" applyBorder="1" applyAlignment="1" applyProtection="1">
      <alignment horizontal="center" vertical="center" wrapText="1"/>
      <protection locked="0"/>
    </xf>
    <xf numFmtId="0" fontId="3" fillId="0" borderId="95" xfId="1" applyFont="1" applyFill="1" applyBorder="1" applyAlignment="1" applyProtection="1">
      <alignment horizontal="center" vertical="center" wrapText="1"/>
      <protection locked="0"/>
    </xf>
    <xf numFmtId="0" fontId="3" fillId="0" borderId="101" xfId="1" applyFont="1" applyFill="1" applyBorder="1" applyAlignment="1" applyProtection="1">
      <alignment horizontal="center" vertical="center" wrapText="1"/>
      <protection locked="0"/>
    </xf>
    <xf numFmtId="0" fontId="3" fillId="0" borderId="96" xfId="1" applyFont="1" applyFill="1" applyBorder="1" applyAlignment="1" applyProtection="1">
      <alignment horizontal="center" vertical="center" wrapText="1"/>
      <protection locked="0"/>
    </xf>
    <xf numFmtId="0" fontId="2" fillId="0" borderId="98" xfId="1" applyFill="1" applyBorder="1" applyAlignment="1" applyProtection="1">
      <alignment horizontal="center" vertical="top" wrapText="1"/>
      <protection locked="0"/>
    </xf>
    <xf numFmtId="0" fontId="2" fillId="0" borderId="100" xfId="1" applyFill="1" applyBorder="1" applyAlignment="1" applyProtection="1">
      <alignment horizontal="center" vertical="top" wrapText="1"/>
      <protection locked="0"/>
    </xf>
    <xf numFmtId="0" fontId="2" fillId="0" borderId="10" xfId="1" applyFill="1" applyBorder="1" applyAlignment="1" applyProtection="1">
      <alignment horizontal="center" vertical="top" wrapText="1"/>
      <protection locked="0"/>
    </xf>
    <xf numFmtId="0" fontId="2" fillId="0" borderId="11" xfId="1" applyFill="1" applyBorder="1" applyAlignment="1" applyProtection="1">
      <alignment horizontal="center" vertical="top" wrapText="1"/>
      <protection locked="0"/>
    </xf>
    <xf numFmtId="0" fontId="2" fillId="0" borderId="95" xfId="1" applyFill="1" applyBorder="1" applyAlignment="1" applyProtection="1">
      <alignment horizontal="center" vertical="top" wrapText="1"/>
      <protection locked="0"/>
    </xf>
    <xf numFmtId="0" fontId="2" fillId="0" borderId="96" xfId="1" applyFill="1" applyBorder="1" applyAlignment="1" applyProtection="1">
      <alignment horizontal="center" vertical="top" wrapText="1"/>
      <protection locked="0"/>
    </xf>
    <xf numFmtId="0" fontId="0" fillId="0" borderId="0" xfId="0" applyAlignment="1">
      <alignment horizontal="center"/>
    </xf>
    <xf numFmtId="0" fontId="9" fillId="4" borderId="0" xfId="0" applyNumberFormat="1" applyFont="1" applyFill="1" applyBorder="1" applyAlignment="1" applyProtection="1">
      <alignment vertical="top" wrapText="1"/>
    </xf>
    <xf numFmtId="0" fontId="12" fillId="4" borderId="0" xfId="0" applyFont="1" applyFill="1" applyAlignment="1">
      <alignment horizontal="center" wrapText="1"/>
    </xf>
    <xf numFmtId="0" fontId="5" fillId="24" borderId="0" xfId="0" applyFont="1" applyFill="1"/>
    <xf numFmtId="0" fontId="5" fillId="24" borderId="0" xfId="0" applyFont="1" applyFill="1" applyProtection="1"/>
    <xf numFmtId="0" fontId="5" fillId="24" borderId="0" xfId="0" applyFont="1" applyFill="1" applyAlignment="1">
      <alignment vertical="center"/>
    </xf>
    <xf numFmtId="0" fontId="25" fillId="24" borderId="10" xfId="0" applyFont="1" applyFill="1" applyBorder="1" applyAlignment="1" applyProtection="1">
      <alignment horizontal="center" vertical="center"/>
    </xf>
    <xf numFmtId="0" fontId="9" fillId="24" borderId="10" xfId="0" applyNumberFormat="1" applyFont="1" applyFill="1" applyBorder="1" applyAlignment="1" applyProtection="1">
      <alignment vertical="top" wrapText="1"/>
    </xf>
    <xf numFmtId="0" fontId="9" fillId="24" borderId="10" xfId="0" applyNumberFormat="1" applyFont="1" applyFill="1" applyBorder="1" applyAlignment="1" applyProtection="1">
      <alignment horizontal="center" vertical="top" wrapText="1"/>
    </xf>
    <xf numFmtId="0" fontId="9" fillId="24" borderId="12" xfId="0" applyNumberFormat="1" applyFont="1" applyFill="1" applyBorder="1" applyAlignment="1" applyProtection="1">
      <alignment horizontal="center" vertical="top" wrapText="1"/>
    </xf>
    <xf numFmtId="0" fontId="9" fillId="9" borderId="0" xfId="0" applyNumberFormat="1" applyFont="1" applyFill="1" applyBorder="1" applyAlignment="1" applyProtection="1">
      <alignment vertical="top" wrapText="1"/>
    </xf>
    <xf numFmtId="0" fontId="9" fillId="25" borderId="4" xfId="0" applyNumberFormat="1" applyFont="1" applyFill="1" applyBorder="1" applyAlignment="1" applyProtection="1">
      <alignment horizontal="center" vertical="top" wrapText="1"/>
    </xf>
    <xf numFmtId="0" fontId="9" fillId="25" borderId="0" xfId="0" applyNumberFormat="1" applyFont="1" applyFill="1" applyBorder="1" applyAlignment="1" applyProtection="1">
      <alignment horizontal="center" vertical="top" wrapText="1"/>
    </xf>
    <xf numFmtId="0" fontId="5" fillId="25" borderId="0" xfId="0" applyFont="1" applyFill="1" applyAlignment="1">
      <alignment vertical="center"/>
    </xf>
    <xf numFmtId="0" fontId="5" fillId="25" borderId="0" xfId="0" applyFont="1" applyFill="1"/>
    <xf numFmtId="0" fontId="11" fillId="25" borderId="31" xfId="0" applyFont="1" applyFill="1" applyBorder="1" applyAlignment="1" applyProtection="1">
      <alignment horizontal="center" vertical="center"/>
    </xf>
    <xf numFmtId="0" fontId="9" fillId="25" borderId="4" xfId="0" applyNumberFormat="1" applyFont="1" applyFill="1" applyBorder="1" applyAlignment="1" applyProtection="1">
      <alignment vertical="top" wrapText="1"/>
    </xf>
    <xf numFmtId="0" fontId="9" fillId="25" borderId="0" xfId="0" applyNumberFormat="1" applyFont="1" applyFill="1" applyBorder="1" applyAlignment="1" applyProtection="1">
      <alignment vertical="top" wrapText="1"/>
    </xf>
    <xf numFmtId="0" fontId="5" fillId="25" borderId="0" xfId="0" applyFont="1" applyFill="1" applyProtection="1"/>
    <xf numFmtId="0" fontId="5" fillId="25" borderId="0" xfId="0" applyFont="1" applyFill="1" applyAlignment="1">
      <alignment horizontal="center"/>
    </xf>
    <xf numFmtId="0" fontId="9" fillId="25" borderId="83" xfId="0" applyNumberFormat="1" applyFont="1" applyFill="1" applyBorder="1" applyAlignment="1" applyProtection="1">
      <alignment horizontal="center" vertical="top" wrapText="1"/>
    </xf>
    <xf numFmtId="0" fontId="9" fillId="25" borderId="11" xfId="0" applyNumberFormat="1" applyFont="1" applyFill="1" applyBorder="1" applyAlignment="1" applyProtection="1">
      <alignment horizontal="center" vertical="top" wrapText="1"/>
    </xf>
    <xf numFmtId="0" fontId="9" fillId="25" borderId="13" xfId="0" applyNumberFormat="1" applyFont="1" applyFill="1" applyBorder="1" applyAlignment="1" applyProtection="1">
      <alignment horizontal="center" vertical="top" wrapText="1"/>
    </xf>
    <xf numFmtId="0" fontId="5" fillId="25" borderId="0" xfId="0" applyFont="1" applyFill="1" applyBorder="1" applyAlignment="1">
      <alignment vertical="center"/>
    </xf>
    <xf numFmtId="0" fontId="9" fillId="25" borderId="83" xfId="0" applyNumberFormat="1" applyFont="1" applyFill="1" applyBorder="1" applyAlignment="1" applyProtection="1">
      <alignment vertical="top" wrapText="1"/>
    </xf>
    <xf numFmtId="0" fontId="9" fillId="25" borderId="11" xfId="0" applyNumberFormat="1" applyFont="1" applyFill="1" applyBorder="1" applyAlignment="1" applyProtection="1">
      <alignment vertical="top" wrapText="1"/>
    </xf>
    <xf numFmtId="0" fontId="9" fillId="25" borderId="13" xfId="0" applyNumberFormat="1" applyFont="1" applyFill="1" applyBorder="1" applyAlignment="1" applyProtection="1">
      <alignment vertical="top" wrapText="1"/>
    </xf>
  </cellXfs>
  <cellStyles count="4">
    <cellStyle name="Entrée" xfId="2" builtinId="20"/>
    <cellStyle name="Lien hypertexte" xfId="1" builtinId="8"/>
    <cellStyle name="Normal" xfId="0" builtinId="0" customBuiltin="1"/>
    <cellStyle name="Normal 2" xfId="3"/>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2.0799999237060547</c:v>
              </c:pt>
              <c:pt idx="1">
                <c:v>3.25</c:v>
              </c:pt>
              <c:pt idx="2">
                <c:v>0.5</c:v>
              </c:pt>
              <c:pt idx="3">
                <c:v>0.57999998331069946</c:v>
              </c:pt>
              <c:pt idx="4">
                <c:v>3.5</c:v>
              </c:pt>
              <c:pt idx="5">
                <c:v>6.3299999237060547</c:v>
              </c:pt>
              <c:pt idx="6">
                <c:v>2.0799999237060547</c:v>
              </c:pt>
              <c:pt idx="7">
                <c:v>1.25</c:v>
              </c:pt>
              <c:pt idx="8">
                <c:v>4.25</c:v>
              </c:pt>
              <c:pt idx="9">
                <c:v>1.4199999570846558</c:v>
              </c:pt>
              <c:pt idx="10">
                <c:v>17.420000076293945</c:v>
              </c:pt>
              <c:pt idx="11">
                <c:v>2.75</c:v>
              </c:pt>
              <c:pt idx="12">
                <c:v>12.079999923706055</c:v>
              </c:pt>
              <c:pt idx="13">
                <c:v>3.75</c:v>
              </c:pt>
              <c:pt idx="14">
                <c:v>0</c:v>
              </c:pt>
              <c:pt idx="15">
                <c:v>0</c:v>
              </c:pt>
              <c:pt idx="16">
                <c:v>0.5</c:v>
              </c:pt>
              <c:pt idx="17">
                <c:v>1.75</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watch?v=oNKVVBN2JN0&amp;ab_channel=CodeWithChris" TargetMode="External"/><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154</xdr:row>
      <xdr:rowOff>257176</xdr:rowOff>
    </xdr:from>
    <xdr:to>
      <xdr:col>3</xdr:col>
      <xdr:colOff>6057900</xdr:colOff>
      <xdr:row>154</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155</xdr:row>
      <xdr:rowOff>257176</xdr:rowOff>
    </xdr:from>
    <xdr:to>
      <xdr:col>3</xdr:col>
      <xdr:colOff>6057900</xdr:colOff>
      <xdr:row>155</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145</xdr:row>
      <xdr:rowOff>257175</xdr:rowOff>
    </xdr:from>
    <xdr:to>
      <xdr:col>3</xdr:col>
      <xdr:colOff>6038850</xdr:colOff>
      <xdr:row>145</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136</xdr:row>
      <xdr:rowOff>409575</xdr:rowOff>
    </xdr:from>
    <xdr:to>
      <xdr:col>3</xdr:col>
      <xdr:colOff>6010274</xdr:colOff>
      <xdr:row>136</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u="sng">
              <a:solidFill>
                <a:srgbClr val="002060"/>
              </a:solidFill>
            </a:rPr>
            <a:t>Tutoriel FireBase </a:t>
          </a:r>
          <a:r>
            <a:rPr lang="fr-CH" sz="1000" u="sng" baseline="0">
              <a:solidFill>
                <a:srgbClr val="002060"/>
              </a:solidFill>
            </a:rPr>
            <a:t>- Lecture, écriture etc..</a:t>
          </a:r>
          <a:endParaRPr lang="fr-CH" sz="1000" u="sng">
            <a:solidFill>
              <a:srgbClr val="002060"/>
            </a:solidFill>
          </a:endParaRPr>
        </a:p>
      </xdr:txBody>
    </xdr:sp>
    <xdr:clientData/>
  </xdr:twoCellAnchor>
  <xdr:twoCellAnchor>
    <xdr:from>
      <xdr:col>3</xdr:col>
      <xdr:colOff>3276600</xdr:colOff>
      <xdr:row>125</xdr:row>
      <xdr:rowOff>171450</xdr:rowOff>
    </xdr:from>
    <xdr:to>
      <xdr:col>3</xdr:col>
      <xdr:colOff>6048375</xdr:colOff>
      <xdr:row>126</xdr:row>
      <xdr:rowOff>0</xdr:rowOff>
    </xdr:to>
    <xdr:sp macro="" textlink="">
      <xdr:nvSpPr>
        <xdr:cNvPr id="9229" name="Text Box 13">
          <a:hlinkClick xmlns:r="http://schemas.openxmlformats.org/officeDocument/2006/relationships" r:id="rId3"/>
        </xdr:cNvPr>
        <xdr:cNvSpPr txBox="1">
          <a:spLocks noChangeArrowheads="1"/>
        </xdr:cNvSpPr>
      </xdr:nvSpPr>
      <xdr:spPr bwMode="auto">
        <a:xfrm>
          <a:off x="6315075" y="2590800"/>
          <a:ext cx="2771775" cy="17145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fr-CH" sz="1000" b="0" i="0" u="sng" strike="noStrike" baseline="0">
              <a:solidFill>
                <a:srgbClr val="002060"/>
              </a:solidFill>
              <a:latin typeface="Century Gothic"/>
            </a:rPr>
            <a:t>Tutoriel CocoaPods - Installation pour Xcode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hyperlink" Target="https://www.youtube.com/watch?v=cTM8kX9jOLs&amp;ab_channel=LetCreateAnApp" TargetMode="External"/><Relationship Id="rId18" Type="http://schemas.openxmlformats.org/officeDocument/2006/relationships/hyperlink" Target="https://swiftludus.org/how-to-navigate-between-view-controllers-in-ios/" TargetMode="External"/><Relationship Id="rId26" Type="http://schemas.openxmlformats.org/officeDocument/2006/relationships/hyperlink" Target="https://github.com/IdleHandsApps/DesignableButton" TargetMode="External"/><Relationship Id="rId39" Type="http://schemas.openxmlformats.org/officeDocument/2006/relationships/drawing" Target="../drawings/drawing4.xml"/><Relationship Id="rId3" Type="http://schemas.openxmlformats.org/officeDocument/2006/relationships/hyperlink" Target="https://dev.to/apentsov/ios-database-comparison-what-are-the-differences-4h1b" TargetMode="External"/><Relationship Id="rId21" Type="http://schemas.openxmlformats.org/officeDocument/2006/relationships/hyperlink" Target="https://firebase.google.com/docs/auth/ios/manage-users" TargetMode="External"/><Relationship Id="rId34" Type="http://schemas.openxmlformats.org/officeDocument/2006/relationships/hyperlink" Target="https://www.youtube.com/watch?v=TQOhsyWUhwg&amp;ab_channel=CodePro" TargetMode="External"/><Relationship Id="rId42" Type="http://schemas.openxmlformats.org/officeDocument/2006/relationships/image" Target="../media/image5.emf"/><Relationship Id="rId7" Type="http://schemas.openxmlformats.org/officeDocument/2006/relationships/hyperlink" Target="https://www.lucidchart.com/pages/" TargetMode="External"/><Relationship Id="rId12" Type="http://schemas.openxmlformats.org/officeDocument/2006/relationships/hyperlink" Target="https://firebase.google.com/docs/ios/setup" TargetMode="External"/><Relationship Id="rId17" Type="http://schemas.openxmlformats.org/officeDocument/2006/relationships/hyperlink" Target="https://swiftludus.org/how-to-navigate-between-view-controllers-in-ios/" TargetMode="External"/><Relationship Id="rId25" Type="http://schemas.openxmlformats.org/officeDocument/2006/relationships/hyperlink" Target="https://firebase.google.com/docs/auth/ios/manage-users" TargetMode="External"/><Relationship Id="rId33" Type="http://schemas.openxmlformats.org/officeDocument/2006/relationships/hyperlink" Target="https://www.youtube.com/watch?v=4RUeW5rUcww&amp;ab_channel=Firebase" TargetMode="External"/><Relationship Id="rId38" Type="http://schemas.openxmlformats.org/officeDocument/2006/relationships/printerSettings" Target="../printerSettings/printerSettings4.bin"/><Relationship Id="rId2" Type="http://schemas.openxmlformats.org/officeDocument/2006/relationships/hyperlink" Target="https://app.moqups.com/" TargetMode="External"/><Relationship Id="rId16" Type="http://schemas.openxmlformats.org/officeDocument/2006/relationships/hyperlink" Target="https://www.youtube.com/watch?v=tpsffoRh9u0&amp;ab_channel=iOSAcademy" TargetMode="External"/><Relationship Id="rId20" Type="http://schemas.openxmlformats.org/officeDocument/2006/relationships/hyperlink" Target="https://firebase.google.com/docs/auth/ios/start" TargetMode="External"/><Relationship Id="rId29" Type="http://schemas.openxmlformats.org/officeDocument/2006/relationships/hyperlink" Target="https://www.youtube.com/watch?v=FtO5QT2D_H8&amp;ab_channel=SeanAllenSeanAllen" TargetMode="External"/><Relationship Id="rId41" Type="http://schemas.openxmlformats.org/officeDocument/2006/relationships/control" Target="../activeX/activeX4.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hyperlink" Target="https://firebase.google.com/docs/ios/setup" TargetMode="External"/><Relationship Id="rId24" Type="http://schemas.openxmlformats.org/officeDocument/2006/relationships/hyperlink" Target="https://developer.apple.com/library/archive/documentation/UserExperience/Conceptual/AutolayoutPG/WorkingwithConstraintsinInterfaceBuidler.html" TargetMode="External"/><Relationship Id="rId32" Type="http://schemas.openxmlformats.org/officeDocument/2006/relationships/hyperlink" Target="https://firebase.google.com/docs/database/ios/lists-of-data" TargetMode="External"/><Relationship Id="rId37" Type="http://schemas.openxmlformats.org/officeDocument/2006/relationships/hyperlink" Target="https://www.youtube.com/watch?v=4y_NLkYT6NU&amp;ab_channel=ReplicodeReplicode" TargetMode="External"/><Relationship Id="rId40" Type="http://schemas.openxmlformats.org/officeDocument/2006/relationships/vmlDrawing" Target="../drawings/vmlDrawing3.vml"/><Relationship Id="rId5" Type="http://schemas.openxmlformats.org/officeDocument/2006/relationships/hyperlink" Target="https://lucid.app/%20-%20R&#233;alisation%20du%20MCD" TargetMode="External"/><Relationship Id="rId15" Type="http://schemas.openxmlformats.org/officeDocument/2006/relationships/hyperlink" Target="https://www.youtube.com/watch?v=tpsffoRh9u0&amp;ab_channel=iOSAcademy" TargetMode="External"/><Relationship Id="rId23" Type="http://schemas.openxmlformats.org/officeDocument/2006/relationships/hyperlink" Target="https://firebase.google.com/docs/ios/setup" TargetMode="External"/><Relationship Id="rId28" Type="http://schemas.openxmlformats.org/officeDocument/2006/relationships/hyperlink" Target="https://www.youtube.com/watch?v=WK5vrOD1zCQ&amp;ab_channel=iOSAcademyiOSAcademy" TargetMode="External"/><Relationship Id="rId36" Type="http://schemas.openxmlformats.org/officeDocument/2006/relationships/hyperlink" Target="https://www.youtube.com/watch?v=mqVRNrvUtLc&amp;ab_channel=Rebeloper-RebelDeveloper" TargetMode="External"/><Relationship Id="rId10" Type="http://schemas.openxmlformats.org/officeDocument/2006/relationships/hyperlink" Target="https://www.lucidchart.com/" TargetMode="External"/><Relationship Id="rId19" Type="http://schemas.openxmlformats.org/officeDocument/2006/relationships/hyperlink" Target="https://firebase.google.com/docs/auth/ios/start" TargetMode="External"/><Relationship Id="rId31" Type="http://schemas.openxmlformats.org/officeDocument/2006/relationships/hyperlink" Target="https://stackoverflow.com/questions/66279978/swift-how-to-save-data-to-firebase-from-multiply-selected-cells-in-tableview" TargetMode="External"/><Relationship Id="rId44" Type="http://schemas.openxmlformats.org/officeDocument/2006/relationships/image" Target="../media/image6.emf"/><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hyperlink" Target="https://www.youtube.com/watch?v=cTM8kX9jOLs&amp;ab_channel=LetCreateAnApp" TargetMode="External"/><Relationship Id="rId22" Type="http://schemas.openxmlformats.org/officeDocument/2006/relationships/hyperlink" Target="https://medium.com/firebase-developers/ios-firebase-authentication-sdk-email-and-password-login-6a3bb27e0536" TargetMode="External"/><Relationship Id="rId27" Type="http://schemas.openxmlformats.org/officeDocument/2006/relationships/hyperlink" Target="https://www.youtube.com/watch?v=OQYqGM5_wVY&amp;ab_channel=iOSAcademy" TargetMode="External"/><Relationship Id="rId30" Type="http://schemas.openxmlformats.org/officeDocument/2006/relationships/hyperlink" Target="https://www.youtube.com/watch?v=C36sb5sc6lE&amp;ab_channel=SeanAllenSeanAllen" TargetMode="External"/><Relationship Id="rId35" Type="http://schemas.openxmlformats.org/officeDocument/2006/relationships/hyperlink" Target="https://github.com/IdleHandsApps/DesignableButton" TargetMode="External"/><Relationship Id="rId43"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18" t="s">
        <v>32</v>
      </c>
      <c r="C35" s="218"/>
      <c r="D35" s="218"/>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19" t="s">
        <v>33</v>
      </c>
      <c r="C37" s="219"/>
      <c r="D37" s="219"/>
      <c r="E37" s="108" t="s">
        <v>274</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275</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0"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20" t="s">
        <v>31</v>
      </c>
      <c r="D1" s="220"/>
      <c r="E1" s="22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21"/>
      <c r="D7" s="221"/>
      <c r="E7" s="22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27" t="str">
        <f>E58</f>
        <v>89h50min</v>
      </c>
      <c r="H9" s="227"/>
      <c r="I9" s="227"/>
      <c r="J9" s="227"/>
      <c r="K9" s="227"/>
      <c r="L9" s="227"/>
      <c r="M9" s="227"/>
      <c r="N9" s="227"/>
      <c r="O9" s="227"/>
      <c r="P9" s="227"/>
      <c r="Q9" s="227"/>
      <c r="R9" s="227"/>
      <c r="S9" s="227"/>
      <c r="T9" s="227"/>
      <c r="U9" s="227"/>
      <c r="V9" s="118"/>
      <c r="W9" s="226" t="s">
        <v>23</v>
      </c>
      <c r="X9" s="226"/>
      <c r="Y9" s="226"/>
      <c r="Z9" s="226"/>
      <c r="AA9" s="226"/>
      <c r="AB9" s="226"/>
      <c r="AC9" s="226"/>
      <c r="AD9" s="226"/>
      <c r="AE9" s="226"/>
      <c r="AF9" s="226"/>
      <c r="AG9" s="226"/>
      <c r="AH9" s="227" t="str">
        <f>E60</f>
        <v>63h30min</v>
      </c>
      <c r="AI9" s="227"/>
      <c r="AJ9" s="227"/>
      <c r="AK9" s="227"/>
      <c r="AL9" s="227"/>
      <c r="AM9" s="227"/>
      <c r="AN9" s="227"/>
      <c r="AO9" s="227"/>
      <c r="AP9" s="227"/>
      <c r="AQ9" s="227"/>
      <c r="AR9" s="227"/>
      <c r="AS9" s="227"/>
      <c r="AT9" s="227"/>
      <c r="AU9" s="227"/>
      <c r="AV9" s="227"/>
      <c r="AW9" s="22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92"/>
      <c r="CR10" s="236"/>
      <c r="CS10" s="236"/>
      <c r="CT10" s="236"/>
      <c r="CU10" s="236"/>
      <c r="CV10" s="236"/>
      <c r="CW10" s="236"/>
      <c r="CX10" s="236"/>
      <c r="CY10" s="236"/>
      <c r="CZ10" s="236"/>
      <c r="DA10" s="236"/>
      <c r="DB10" s="236"/>
      <c r="DC10" s="236"/>
      <c r="DD10" s="236"/>
      <c r="DE10" s="236"/>
      <c r="DF10" s="236"/>
      <c r="DG10" s="236"/>
      <c r="DH10" s="236"/>
      <c r="DI10" s="236"/>
      <c r="DJ10" s="236"/>
      <c r="DK10" s="236"/>
      <c r="DL10" s="236"/>
      <c r="DM10" s="236"/>
      <c r="DN10" s="236"/>
      <c r="DO10" s="236"/>
      <c r="DP10" s="236"/>
      <c r="DQ10" s="236"/>
      <c r="DR10" s="236"/>
      <c r="DS10" s="236"/>
      <c r="DT10" s="236"/>
      <c r="DU10" s="236"/>
      <c r="DV10" s="236"/>
      <c r="DW10" s="236"/>
      <c r="DX10" s="236"/>
      <c r="DY10" s="236"/>
      <c r="DZ10" s="236"/>
      <c r="EA10" s="236"/>
      <c r="EB10" s="236"/>
      <c r="EC10" s="236"/>
      <c r="ED10" s="236"/>
      <c r="EE10" s="236"/>
      <c r="EF10" s="236"/>
      <c r="EG10" s="236"/>
      <c r="EH10" s="236"/>
      <c r="EI10" s="236"/>
      <c r="EJ10" s="236"/>
      <c r="EK10" s="236"/>
      <c r="EL10" s="236"/>
      <c r="EM10" s="236"/>
      <c r="EN10" s="236"/>
      <c r="EO10" s="236"/>
      <c r="EP10" s="236"/>
      <c r="EQ10" s="236"/>
      <c r="ER10" s="236"/>
      <c r="ES10" s="236"/>
      <c r="ET10" s="236"/>
      <c r="EU10" s="236"/>
      <c r="EV10" s="236"/>
      <c r="EW10" s="236"/>
      <c r="EX10" s="236"/>
      <c r="EY10" s="236"/>
      <c r="EZ10" s="236"/>
      <c r="FA10" s="236"/>
      <c r="FB10" s="236"/>
      <c r="FC10" s="236"/>
      <c r="FD10" s="236"/>
      <c r="FE10" s="236"/>
      <c r="FF10" s="236"/>
      <c r="FG10" s="236"/>
      <c r="FH10" s="236"/>
      <c r="FI10" s="236"/>
      <c r="FJ10" s="236"/>
      <c r="FK10" s="236"/>
      <c r="FL10" s="236"/>
      <c r="FM10" s="236"/>
      <c r="FN10" s="236"/>
      <c r="FO10" s="236"/>
      <c r="FP10" s="236"/>
      <c r="FQ10" s="236"/>
      <c r="FR10" s="236"/>
      <c r="FS10" s="236"/>
      <c r="FT10" s="236"/>
      <c r="FU10" s="236"/>
      <c r="FV10" s="236"/>
      <c r="FW10" s="236"/>
      <c r="FX10" s="236"/>
      <c r="FY10" s="236"/>
      <c r="FZ10" s="236"/>
      <c r="GA10" s="236"/>
      <c r="GB10" s="236"/>
      <c r="GC10" s="236"/>
      <c r="GD10" s="236"/>
      <c r="GE10" s="236"/>
      <c r="GF10" s="236"/>
      <c r="GG10" s="236"/>
      <c r="GH10" s="236"/>
      <c r="GI10" s="236"/>
      <c r="GJ10" s="236"/>
      <c r="GK10" s="236"/>
      <c r="GL10" s="236"/>
      <c r="GM10" s="236"/>
      <c r="GN10" s="236"/>
      <c r="GO10" s="236"/>
      <c r="GP10" s="236"/>
      <c r="GQ10" s="236"/>
      <c r="GR10" s="236"/>
      <c r="GS10" s="236"/>
      <c r="GT10" s="236"/>
      <c r="GU10" s="236"/>
      <c r="GV10" s="236"/>
      <c r="GW10" s="236"/>
      <c r="GX10" s="236"/>
      <c r="GY10" s="236"/>
      <c r="GZ10" s="236"/>
      <c r="HA10" s="236"/>
      <c r="HB10" s="236"/>
      <c r="HC10" s="236"/>
      <c r="HD10" s="236"/>
      <c r="HE10" s="236"/>
      <c r="HF10" s="236"/>
      <c r="HG10" s="236"/>
      <c r="HH10" s="236"/>
      <c r="HI10" s="236"/>
      <c r="HJ10" s="236"/>
      <c r="HK10" s="236"/>
      <c r="HL10" s="236"/>
      <c r="HM10" s="236"/>
      <c r="HN10" s="236"/>
      <c r="HO10" s="236"/>
      <c r="HP10" s="236"/>
      <c r="HQ10" s="236"/>
      <c r="HR10" s="236"/>
      <c r="HS10" s="236"/>
      <c r="HT10" s="236"/>
      <c r="HU10" s="236"/>
      <c r="HV10" s="236"/>
      <c r="HW10" s="236"/>
      <c r="HX10" s="236"/>
      <c r="HY10" s="236"/>
      <c r="HZ10" s="236"/>
      <c r="IA10" s="236"/>
      <c r="IB10" s="236"/>
      <c r="IC10" s="236"/>
      <c r="ID10" s="236"/>
      <c r="IE10" s="236"/>
      <c r="IF10" s="236"/>
      <c r="IG10" s="236"/>
      <c r="IH10" s="236"/>
      <c r="II10" s="236"/>
      <c r="IJ10" s="236"/>
      <c r="IK10" s="236"/>
      <c r="IL10" s="236"/>
      <c r="IM10" s="236"/>
      <c r="IN10" s="236"/>
      <c r="IO10" s="236"/>
      <c r="IP10" s="236"/>
      <c r="IQ10" s="236"/>
      <c r="IR10" s="236"/>
      <c r="IS10" s="236"/>
      <c r="IT10" s="236"/>
      <c r="IU10" s="236"/>
      <c r="IV10" s="236"/>
      <c r="IW10" s="236"/>
      <c r="IX10" s="236"/>
      <c r="IY10" s="236"/>
      <c r="IZ10" s="236"/>
      <c r="JA10" s="236"/>
      <c r="JB10" s="236"/>
      <c r="JC10" s="236"/>
      <c r="JD10" s="236"/>
      <c r="JE10" s="236"/>
      <c r="JF10" s="236"/>
      <c r="JG10" s="236"/>
      <c r="JH10" s="236"/>
      <c r="JI10" s="236"/>
      <c r="JJ10" s="236"/>
      <c r="JK10" s="236"/>
      <c r="JL10" s="236"/>
      <c r="JM10" s="236"/>
      <c r="JN10" s="236"/>
      <c r="JO10" s="236"/>
      <c r="JP10" s="236"/>
      <c r="JQ10" s="236"/>
      <c r="JR10" s="236"/>
      <c r="JS10" s="236"/>
      <c r="JT10" s="236"/>
      <c r="JU10" s="236"/>
      <c r="JV10" s="236"/>
      <c r="JW10" s="236"/>
      <c r="JX10" s="236"/>
      <c r="JY10" s="236"/>
      <c r="JZ10" s="236"/>
      <c r="KA10" s="236"/>
      <c r="KB10" s="236"/>
      <c r="KC10" s="236"/>
      <c r="KD10" s="236"/>
      <c r="KE10" s="236"/>
      <c r="KF10" s="236"/>
      <c r="KG10" s="236"/>
      <c r="KH10" s="236"/>
      <c r="KI10" s="236"/>
      <c r="KJ10" s="236"/>
      <c r="KK10" s="236"/>
      <c r="KL10" s="236"/>
      <c r="KM10" s="236"/>
      <c r="KN10" s="236"/>
      <c r="KO10" s="236"/>
      <c r="KP10" s="236"/>
      <c r="KQ10" s="236"/>
      <c r="KR10" s="236"/>
      <c r="KS10" s="236"/>
      <c r="KT10" s="236"/>
      <c r="KU10" s="236"/>
      <c r="KV10" s="236"/>
      <c r="KW10" s="236"/>
      <c r="KX10" s="236"/>
      <c r="KY10" s="236"/>
      <c r="KZ10" s="236"/>
      <c r="LA10" s="236"/>
      <c r="LB10" s="236"/>
      <c r="LC10" s="236"/>
      <c r="LD10" s="236"/>
      <c r="LE10" s="236"/>
      <c r="LF10" s="236"/>
      <c r="LG10" s="236"/>
      <c r="LH10" s="236"/>
      <c r="LI10" s="236"/>
      <c r="LJ10" s="236"/>
      <c r="LK10" s="236"/>
      <c r="LL10" s="236"/>
      <c r="LM10" s="236"/>
      <c r="LN10" s="236"/>
      <c r="LO10" s="236"/>
      <c r="LP10" s="236"/>
      <c r="LQ10" s="236"/>
      <c r="LR10" s="236"/>
      <c r="LS10" s="236"/>
      <c r="LT10" s="236"/>
      <c r="LU10" s="236"/>
      <c r="LV10" s="236"/>
      <c r="LW10" s="236"/>
      <c r="LX10" s="236"/>
      <c r="LY10" s="236"/>
      <c r="LZ10" s="236"/>
      <c r="MA10" s="236"/>
      <c r="MB10" s="236"/>
      <c r="MC10" s="236"/>
      <c r="MD10" s="236"/>
      <c r="ME10" s="236"/>
      <c r="MF10" s="236"/>
      <c r="MG10" s="236"/>
      <c r="MH10" s="236"/>
      <c r="MI10" s="236"/>
      <c r="MJ10" s="236"/>
      <c r="MK10" s="236"/>
      <c r="ML10" s="236"/>
      <c r="MM10" s="236"/>
      <c r="MN10" s="236"/>
      <c r="MO10" s="236"/>
      <c r="MP10" s="236"/>
      <c r="MQ10" s="236"/>
      <c r="MR10" s="236"/>
      <c r="MS10" s="236"/>
      <c r="MT10" s="236"/>
      <c r="MU10" s="236"/>
      <c r="MV10" s="236"/>
      <c r="MW10" s="236"/>
      <c r="MX10" s="236"/>
      <c r="MY10" s="236"/>
      <c r="MZ10" s="236"/>
      <c r="NA10" s="236"/>
      <c r="NB10" s="236"/>
      <c r="NC10" s="236"/>
      <c r="ND10" s="236"/>
      <c r="NE10" s="236"/>
      <c r="NF10" s="236"/>
      <c r="NG10" s="236"/>
      <c r="NH10" s="236"/>
      <c r="NI10" s="236"/>
      <c r="NJ10" s="236"/>
      <c r="NK10" s="236"/>
      <c r="NL10" s="236"/>
      <c r="NM10" s="236"/>
      <c r="NN10" s="236"/>
      <c r="NO10" s="236"/>
      <c r="NP10" s="236"/>
      <c r="NQ10" s="236"/>
      <c r="NR10" s="236"/>
      <c r="NS10" s="236"/>
      <c r="NT10" s="236"/>
      <c r="NU10" s="236"/>
      <c r="NV10" s="236"/>
      <c r="NW10" s="236"/>
      <c r="NX10" s="236"/>
      <c r="NY10" s="236"/>
      <c r="NZ10" s="236"/>
      <c r="OA10" s="236"/>
      <c r="OB10" s="236"/>
      <c r="OC10" s="236"/>
      <c r="OD10" s="236"/>
      <c r="OE10" s="236"/>
      <c r="OF10" s="236"/>
      <c r="OG10" s="236"/>
      <c r="OH10" s="236"/>
      <c r="OI10" s="236"/>
      <c r="OJ10" s="236"/>
      <c r="OK10" s="236"/>
      <c r="OL10" s="236"/>
      <c r="OM10" s="236"/>
      <c r="ON10" s="236"/>
      <c r="OO10" s="236"/>
      <c r="OP10" s="236"/>
      <c r="OQ10" s="236"/>
      <c r="OR10" s="236"/>
      <c r="OS10" s="236"/>
      <c r="OT10" s="236"/>
      <c r="OU10" s="236"/>
      <c r="OV10" s="236"/>
      <c r="OW10" s="236"/>
      <c r="OX10" s="236"/>
      <c r="OY10" s="236"/>
      <c r="OZ10" s="236"/>
      <c r="PA10" s="236"/>
      <c r="PB10" s="236"/>
      <c r="PC10" s="236"/>
      <c r="PD10" s="236"/>
      <c r="PE10" s="236"/>
      <c r="PF10" s="236"/>
      <c r="PG10" s="236"/>
      <c r="PH10" s="236"/>
      <c r="PI10" s="236"/>
      <c r="PJ10" s="236"/>
      <c r="PK10" s="236"/>
      <c r="PL10" s="236"/>
      <c r="PM10" s="236"/>
      <c r="PN10" s="236"/>
      <c r="PO10" s="236"/>
      <c r="PP10" s="236"/>
      <c r="PQ10" s="236"/>
      <c r="PR10" s="236"/>
      <c r="PS10" s="236"/>
      <c r="PT10" s="236"/>
      <c r="PU10" s="236"/>
      <c r="PV10" s="236"/>
      <c r="PW10" s="236"/>
      <c r="PX10" s="236"/>
      <c r="PY10" s="236"/>
      <c r="PZ10" s="236"/>
      <c r="QA10" s="236"/>
      <c r="QB10" s="236"/>
      <c r="QC10" s="236"/>
      <c r="QD10" s="236"/>
      <c r="QE10" s="236"/>
      <c r="QF10" s="236"/>
      <c r="QG10" s="236"/>
      <c r="QH10" s="236"/>
      <c r="QI10" s="236"/>
      <c r="QJ10" s="236"/>
      <c r="QK10" s="236"/>
      <c r="QL10" s="236"/>
      <c r="QM10" s="236"/>
      <c r="QN10" s="236"/>
      <c r="QO10" s="236"/>
      <c r="QP10" s="236"/>
      <c r="QQ10" s="236"/>
      <c r="QR10" s="236"/>
      <c r="QS10" s="236"/>
      <c r="QT10" s="236"/>
      <c r="QU10" s="236"/>
      <c r="QV10" s="236"/>
      <c r="QW10" s="236"/>
      <c r="QX10" s="236"/>
      <c r="QY10" s="236"/>
      <c r="QZ10" s="236"/>
      <c r="RA10" s="236"/>
      <c r="RB10" s="236"/>
      <c r="RC10" s="236"/>
      <c r="RD10" s="236"/>
      <c r="RE10" s="236"/>
      <c r="RF10" s="236"/>
      <c r="RG10" s="236"/>
      <c r="RH10" s="236"/>
      <c r="RI10" s="236"/>
      <c r="RJ10" s="236"/>
      <c r="RK10" s="236"/>
      <c r="RL10" s="236"/>
      <c r="RM10" s="236"/>
      <c r="RN10" s="236"/>
      <c r="RO10" s="236"/>
      <c r="RP10" s="236"/>
      <c r="RQ10" s="236"/>
      <c r="RR10" s="236"/>
      <c r="RS10" s="236"/>
      <c r="RT10" s="236"/>
      <c r="RU10" s="236"/>
      <c r="RV10" s="236"/>
      <c r="RW10" s="236"/>
      <c r="RX10" s="236"/>
      <c r="RY10" s="236"/>
      <c r="RZ10" s="236"/>
      <c r="SA10" s="236"/>
      <c r="SB10" s="236"/>
      <c r="SC10" s="236"/>
      <c r="SD10" s="236"/>
      <c r="SE10" s="236"/>
      <c r="SF10" s="236"/>
      <c r="SG10" s="236"/>
      <c r="SH10" s="236"/>
      <c r="SI10" s="236"/>
      <c r="SJ10" s="236"/>
      <c r="SK10" s="236"/>
      <c r="SL10" s="236"/>
      <c r="SM10" s="236"/>
      <c r="SN10" s="236"/>
      <c r="SO10" s="236"/>
      <c r="SP10" s="236"/>
      <c r="SQ10" s="236"/>
      <c r="SR10" s="236"/>
      <c r="SS10" s="236"/>
      <c r="ST10" s="236"/>
      <c r="SU10" s="236"/>
      <c r="SV10" s="236"/>
      <c r="SW10" s="236"/>
      <c r="SX10" s="236"/>
      <c r="SY10" s="236"/>
      <c r="SZ10" s="236"/>
      <c r="TA10" s="236"/>
      <c r="TB10" s="236"/>
      <c r="TC10" s="236"/>
      <c r="TD10" s="236"/>
      <c r="TE10" s="236"/>
      <c r="TF10" s="236"/>
      <c r="TG10" s="236"/>
      <c r="TH10" s="236"/>
      <c r="TI10" s="236"/>
      <c r="TJ10" s="236"/>
      <c r="TK10" s="236"/>
      <c r="TL10" s="236"/>
      <c r="TM10" s="236"/>
      <c r="TN10" s="236"/>
      <c r="TO10" s="236"/>
      <c r="TP10" s="236"/>
      <c r="TQ10" s="236"/>
      <c r="TR10" s="236"/>
      <c r="TS10" s="236"/>
      <c r="TT10" s="236"/>
      <c r="TU10" s="236"/>
      <c r="TV10" s="236"/>
      <c r="TW10" s="236"/>
      <c r="TX10" s="236"/>
      <c r="TY10" s="236"/>
      <c r="TZ10" s="236"/>
      <c r="UA10" s="236"/>
      <c r="UB10" s="236"/>
      <c r="UC10" s="236"/>
      <c r="UD10" s="236"/>
      <c r="UE10" s="236"/>
      <c r="UF10" s="236"/>
      <c r="UG10" s="236"/>
      <c r="UH10" s="236"/>
      <c r="UI10" s="236"/>
      <c r="UJ10" s="236"/>
      <c r="UK10" s="236"/>
      <c r="UL10" s="236"/>
      <c r="UM10" s="236"/>
      <c r="UN10" s="236"/>
      <c r="UO10" s="236"/>
      <c r="UP10" s="236"/>
      <c r="UQ10" s="236"/>
      <c r="UR10" s="236"/>
      <c r="US10" s="236"/>
      <c r="UT10" s="236"/>
      <c r="UU10" s="236"/>
      <c r="UV10" s="236"/>
      <c r="UW10" s="236"/>
      <c r="UX10" s="236"/>
      <c r="UY10" s="236"/>
      <c r="UZ10" s="236"/>
      <c r="VA10" s="236"/>
      <c r="VB10" s="236"/>
      <c r="VC10" s="236"/>
      <c r="VD10" s="236"/>
      <c r="VE10" s="236"/>
      <c r="VF10" s="236"/>
      <c r="VG10" s="236"/>
      <c r="VH10" s="236"/>
      <c r="VI10" s="236"/>
      <c r="VJ10" s="236"/>
      <c r="VK10" s="236"/>
      <c r="VL10" s="236"/>
      <c r="VM10" s="236"/>
      <c r="VN10" s="236"/>
      <c r="VO10" s="236"/>
      <c r="VP10" s="236"/>
      <c r="VQ10" s="236"/>
      <c r="VR10" s="236"/>
      <c r="VS10" s="236"/>
      <c r="VT10" s="236"/>
      <c r="VU10" s="236"/>
      <c r="VV10" s="236"/>
      <c r="VW10" s="236"/>
      <c r="VX10" s="236"/>
      <c r="VY10" s="236"/>
      <c r="VZ10" s="236"/>
      <c r="WA10" s="236"/>
      <c r="WB10" s="236"/>
      <c r="WC10" s="236"/>
      <c r="WD10" s="236"/>
      <c r="WE10" s="236"/>
      <c r="WF10" s="236"/>
      <c r="WG10" s="236"/>
      <c r="WH10" s="236"/>
      <c r="WI10" s="236"/>
      <c r="WJ10" s="236"/>
      <c r="WK10" s="236"/>
      <c r="WL10" s="236"/>
      <c r="WM10" s="236"/>
      <c r="WN10" s="236"/>
      <c r="WO10" s="236"/>
      <c r="WP10" s="236"/>
      <c r="WQ10" s="236"/>
      <c r="WR10" s="236"/>
      <c r="WS10" s="236"/>
      <c r="WT10" s="236"/>
      <c r="WU10" s="236"/>
      <c r="WV10" s="236"/>
      <c r="WW10" s="236"/>
      <c r="WX10" s="236"/>
      <c r="WY10" s="236"/>
      <c r="WZ10" s="236"/>
      <c r="XA10" s="236"/>
      <c r="XB10" s="236"/>
      <c r="XC10" s="236"/>
      <c r="XD10" s="236"/>
      <c r="XE10" s="236"/>
      <c r="XF10" s="236"/>
      <c r="XG10" s="236"/>
      <c r="XH10" s="236"/>
      <c r="XI10" s="236"/>
      <c r="XJ10" s="236"/>
      <c r="XK10" s="236"/>
      <c r="XL10" s="236"/>
      <c r="XM10" s="236"/>
      <c r="XN10" s="236"/>
      <c r="XO10" s="236"/>
      <c r="XP10" s="236"/>
      <c r="XQ10" s="236"/>
      <c r="XR10" s="236"/>
      <c r="XS10" s="236"/>
      <c r="XT10" s="236"/>
      <c r="XU10" s="236"/>
      <c r="XV10" s="236"/>
      <c r="XW10" s="236"/>
      <c r="XX10" s="236"/>
      <c r="XY10" s="236"/>
      <c r="XZ10" s="236"/>
      <c r="YA10" s="236"/>
      <c r="YB10" s="236"/>
      <c r="YC10" s="236"/>
      <c r="YD10" s="236"/>
      <c r="YE10" s="236"/>
      <c r="YF10" s="236"/>
      <c r="YG10" s="236"/>
      <c r="YH10" s="236"/>
      <c r="YI10" s="236"/>
      <c r="YJ10" s="236"/>
      <c r="YK10" s="236"/>
      <c r="YL10" s="236"/>
      <c r="YM10" s="236"/>
      <c r="YN10" s="236"/>
      <c r="YO10" s="236"/>
      <c r="YP10" s="236"/>
      <c r="YQ10" s="236"/>
      <c r="YR10" s="236"/>
      <c r="YS10" s="236"/>
      <c r="YT10" s="236"/>
      <c r="YU10" s="236"/>
      <c r="YV10" s="236"/>
      <c r="YW10" s="236"/>
      <c r="YX10" s="236"/>
      <c r="YY10" s="236"/>
      <c r="YZ10" s="236"/>
      <c r="ZA10" s="236"/>
      <c r="ZB10" s="236"/>
      <c r="ZC10" s="236"/>
      <c r="ZD10" s="236"/>
      <c r="ZE10" s="236"/>
      <c r="ZF10" s="236"/>
      <c r="ZG10" s="236"/>
      <c r="ZH10" s="236"/>
      <c r="ZI10" s="236"/>
      <c r="ZJ10" s="236"/>
      <c r="ZK10" s="236"/>
      <c r="ZL10" s="236"/>
      <c r="ZM10" s="236"/>
      <c r="ZN10" s="236"/>
      <c r="ZO10" s="236"/>
      <c r="ZP10" s="236"/>
      <c r="ZQ10" s="236"/>
      <c r="ZR10" s="236"/>
      <c r="ZS10" s="236"/>
      <c r="ZT10" s="236"/>
      <c r="ZU10" s="236"/>
      <c r="ZV10" s="236"/>
      <c r="ZW10" s="236"/>
      <c r="ZX10" s="236"/>
      <c r="ZY10" s="236"/>
      <c r="ZZ10" s="236"/>
      <c r="AAA10" s="236"/>
      <c r="AAB10" s="236"/>
      <c r="AAC10" s="236"/>
      <c r="AAD10" s="236"/>
      <c r="AAE10" s="236"/>
      <c r="AAF10" s="236"/>
      <c r="AAG10" s="236"/>
      <c r="AAH10" s="236"/>
      <c r="AAI10" s="236"/>
      <c r="AAJ10" s="236"/>
      <c r="AAK10" s="236"/>
      <c r="AAL10" s="236"/>
      <c r="AAM10" s="236"/>
      <c r="AAN10" s="236"/>
      <c r="AAO10" s="236"/>
      <c r="AAP10" s="236"/>
      <c r="AAQ10" s="236"/>
      <c r="AAR10" s="236"/>
      <c r="AAS10" s="236"/>
      <c r="AAT10" s="236"/>
      <c r="AAU10" s="236"/>
      <c r="AAV10" s="236"/>
      <c r="AAW10" s="236"/>
      <c r="AAX10" s="236"/>
      <c r="AAY10" s="236"/>
      <c r="AAZ10" s="236"/>
      <c r="ABA10" s="236"/>
      <c r="ABB10" s="236"/>
      <c r="ABC10" s="236"/>
      <c r="ABD10" s="236"/>
      <c r="ABE10" s="236"/>
      <c r="ABF10" s="236"/>
      <c r="ABG10" s="236"/>
      <c r="ABH10" s="236"/>
      <c r="ABI10" s="236"/>
      <c r="ABJ10" s="236"/>
      <c r="ABK10" s="236"/>
      <c r="ABL10" s="236"/>
      <c r="ABM10" s="236"/>
      <c r="ABN10" s="236"/>
      <c r="ABO10" s="236"/>
      <c r="ABP10" s="236"/>
      <c r="ABQ10" s="236"/>
      <c r="ABR10" s="236"/>
      <c r="ABS10" s="236"/>
      <c r="ABT10" s="236"/>
      <c r="ABU10" s="236"/>
      <c r="ABV10" s="236"/>
      <c r="ABW10" s="236"/>
      <c r="ABX10" s="236"/>
      <c r="ABY10" s="236"/>
      <c r="ABZ10" s="236"/>
      <c r="ACA10" s="236"/>
      <c r="ACB10" s="236"/>
      <c r="ACC10" s="236"/>
      <c r="ACD10" s="236"/>
      <c r="ACE10" s="236"/>
      <c r="ACF10" s="236"/>
      <c r="ACG10" s="236"/>
      <c r="ACH10" s="236"/>
      <c r="ACI10" s="236"/>
      <c r="ACJ10" s="236"/>
      <c r="ACK10" s="236"/>
      <c r="ACL10" s="236"/>
      <c r="ACM10" s="236"/>
      <c r="ACN10" s="236"/>
      <c r="ACO10" s="236"/>
      <c r="ACP10" s="236"/>
      <c r="ACQ10" s="236"/>
      <c r="ACR10" s="236"/>
      <c r="ACS10" s="236"/>
      <c r="ACT10" s="236"/>
      <c r="ACU10" s="236"/>
      <c r="ACV10" s="236"/>
      <c r="ACW10" s="236"/>
      <c r="ACX10" s="236"/>
      <c r="ACY10" s="236"/>
      <c r="ACZ10" s="236"/>
      <c r="ADA10" s="236"/>
      <c r="ADB10" s="236"/>
      <c r="ADC10" s="236"/>
      <c r="ADD10" s="236"/>
      <c r="ADE10" s="236"/>
      <c r="ADF10" s="236"/>
      <c r="ADG10" s="236"/>
      <c r="ADH10" s="236"/>
      <c r="ADI10" s="236"/>
      <c r="ADJ10" s="236"/>
      <c r="ADK10" s="236"/>
      <c r="ADL10" s="236"/>
      <c r="ADM10" s="236"/>
      <c r="ADN10" s="236"/>
      <c r="ADO10" s="236"/>
      <c r="ADP10" s="236"/>
      <c r="ADQ10" s="236"/>
      <c r="ADR10" s="236"/>
      <c r="ADS10" s="236"/>
      <c r="ADT10" s="236"/>
      <c r="ADU10" s="236"/>
      <c r="ADV10" s="236"/>
      <c r="ADW10" s="236"/>
      <c r="ADX10" s="236"/>
      <c r="ADY10" s="236"/>
      <c r="ADZ10" s="236"/>
      <c r="AEA10" s="236"/>
      <c r="AEB10" s="236"/>
      <c r="AEC10" s="236"/>
      <c r="AED10" s="236"/>
      <c r="AEE10" s="236"/>
      <c r="AEF10" s="236"/>
      <c r="AEG10" s="236"/>
      <c r="AEH10" s="236"/>
      <c r="AEI10" s="236"/>
      <c r="AEJ10" s="236"/>
      <c r="AEK10" s="236"/>
      <c r="AEL10" s="236"/>
      <c r="AEM10" s="236"/>
      <c r="AEN10" s="236"/>
      <c r="AEO10" s="236"/>
      <c r="AEP10" s="236"/>
      <c r="AEQ10" s="236"/>
      <c r="AER10" s="236"/>
      <c r="AES10" s="236"/>
      <c r="AET10" s="236"/>
      <c r="AEU10" s="236"/>
      <c r="AEV10" s="236"/>
      <c r="AEW10" s="236"/>
      <c r="AEX10" s="236"/>
      <c r="AEY10" s="236"/>
      <c r="AEZ10" s="236"/>
      <c r="AFA10" s="236"/>
      <c r="AFB10" s="236"/>
      <c r="AFC10" s="236"/>
      <c r="AFD10" s="236"/>
      <c r="AFE10" s="236"/>
      <c r="AFF10" s="236"/>
      <c r="AFG10" s="236"/>
      <c r="AFH10" s="236"/>
      <c r="AFI10" s="236"/>
      <c r="AFJ10" s="236"/>
      <c r="AFK10" s="236"/>
      <c r="AFL10" s="236"/>
      <c r="AFM10" s="236"/>
      <c r="AFN10" s="236"/>
      <c r="AFO10" s="236"/>
      <c r="AFP10" s="236"/>
      <c r="AFQ10" s="236"/>
      <c r="AFR10" s="236"/>
      <c r="AFS10" s="236"/>
      <c r="AFT10" s="236"/>
      <c r="AFU10" s="236"/>
      <c r="AFV10" s="236"/>
      <c r="AFW10" s="236"/>
      <c r="AFX10" s="236"/>
      <c r="AFY10" s="236"/>
      <c r="AFZ10" s="236"/>
      <c r="AGA10" s="236"/>
      <c r="AGB10" s="236"/>
      <c r="AGC10" s="236"/>
      <c r="AGD10" s="236"/>
      <c r="AGE10" s="236"/>
      <c r="AGF10" s="236"/>
      <c r="AGG10" s="236"/>
      <c r="AGH10" s="236"/>
      <c r="AGI10" s="236"/>
      <c r="AGJ10" s="236"/>
      <c r="AGK10" s="236"/>
      <c r="AGL10" s="236"/>
      <c r="AGM10" s="236"/>
      <c r="AGN10" s="236"/>
      <c r="AGO10" s="236"/>
      <c r="AGP10" s="236"/>
      <c r="AGQ10" s="236"/>
      <c r="AGR10" s="236"/>
      <c r="AGS10" s="236"/>
      <c r="AGT10" s="236"/>
      <c r="AGU10" s="236"/>
      <c r="AGV10" s="236"/>
      <c r="AGW10" s="236"/>
      <c r="AGX10" s="236"/>
      <c r="AGY10" s="236"/>
      <c r="AGZ10" s="236"/>
      <c r="AHA10" s="236"/>
      <c r="AHB10" s="236"/>
      <c r="AHC10" s="236"/>
      <c r="AHD10" s="236"/>
      <c r="AHE10" s="236"/>
      <c r="AHF10" s="236"/>
      <c r="AHG10" s="236"/>
      <c r="AHH10" s="236"/>
      <c r="AHI10" s="236"/>
      <c r="AHJ10" s="236"/>
      <c r="AHK10" s="236"/>
      <c r="AHL10" s="236"/>
      <c r="AHM10" s="236"/>
      <c r="AHN10" s="236"/>
      <c r="AHO10" s="236"/>
      <c r="AHP10" s="236"/>
      <c r="AHQ10" s="236"/>
      <c r="AHR10" s="236"/>
      <c r="AHS10" s="236"/>
      <c r="AHT10" s="236"/>
      <c r="AHU10" s="236"/>
      <c r="AHV10" s="236"/>
      <c r="AHW10" s="236"/>
      <c r="AHX10" s="236"/>
      <c r="AHY10" s="236"/>
      <c r="AHZ10" s="236"/>
      <c r="AIA10" s="236"/>
      <c r="AIB10" s="236"/>
      <c r="AIC10" s="236"/>
      <c r="AID10" s="236"/>
      <c r="AIE10" s="236"/>
      <c r="AIF10" s="236"/>
      <c r="AIG10" s="236"/>
      <c r="AIH10" s="236"/>
      <c r="AII10" s="236"/>
      <c r="AIJ10" s="236"/>
      <c r="AIK10" s="236"/>
      <c r="AIL10" s="236"/>
      <c r="AIM10" s="236"/>
      <c r="AIN10" s="236"/>
      <c r="AIO10" s="236"/>
      <c r="AIP10" s="236"/>
      <c r="AIQ10" s="236"/>
      <c r="AIR10" s="236"/>
      <c r="AIS10" s="236"/>
      <c r="AIT10" s="236"/>
      <c r="AIU10" s="236"/>
      <c r="AIV10" s="236"/>
      <c r="AIW10" s="236"/>
      <c r="AIX10" s="236"/>
      <c r="AIY10" s="236"/>
      <c r="AIZ10" s="236"/>
      <c r="AJA10" s="236"/>
      <c r="AJB10" s="236"/>
      <c r="AJC10" s="236"/>
      <c r="AJD10" s="236"/>
      <c r="AJE10" s="236"/>
      <c r="AJF10" s="236"/>
      <c r="AJG10" s="236"/>
      <c r="AJH10" s="236"/>
      <c r="AJI10" s="236"/>
      <c r="AJJ10" s="236"/>
      <c r="AJK10" s="236"/>
      <c r="AJL10" s="236"/>
      <c r="AJM10" s="236"/>
      <c r="AJN10" s="236"/>
      <c r="AJO10" s="236"/>
      <c r="AJP10" s="236"/>
      <c r="AJQ10" s="236"/>
      <c r="AJR10" s="236"/>
      <c r="AJS10" s="236"/>
      <c r="AJT10" s="236"/>
      <c r="AJU10" s="236"/>
      <c r="AJV10" s="236"/>
      <c r="AJW10" s="236"/>
      <c r="AJX10" s="236"/>
      <c r="AJY10" s="236"/>
      <c r="AJZ10" s="236"/>
      <c r="AKA10" s="236"/>
      <c r="AKB10" s="236"/>
      <c r="AKC10" s="236"/>
      <c r="AKD10" s="236"/>
      <c r="AKE10" s="236"/>
      <c r="AKF10" s="236"/>
      <c r="AKG10" s="236"/>
      <c r="AKH10" s="236"/>
      <c r="AKI10" s="236"/>
      <c r="AKJ10" s="236"/>
      <c r="AKK10" s="236"/>
      <c r="AKL10" s="236"/>
      <c r="AKM10" s="236"/>
      <c r="AKN10" s="236"/>
      <c r="AKO10" s="236"/>
      <c r="AKP10" s="236"/>
      <c r="AKQ10" s="236"/>
      <c r="AKR10" s="236"/>
      <c r="AKS10" s="236"/>
      <c r="AKT10" s="236"/>
      <c r="AKU10" s="236"/>
      <c r="AKV10" s="236"/>
      <c r="AKW10" s="236"/>
      <c r="AKX10" s="236"/>
      <c r="AKY10" s="236"/>
      <c r="AKZ10" s="236"/>
      <c r="ALA10" s="236"/>
      <c r="ALB10" s="236"/>
      <c r="ALC10" s="236"/>
      <c r="ALD10" s="236"/>
      <c r="ALE10" s="236"/>
      <c r="ALF10" s="236"/>
      <c r="ALG10" s="236"/>
      <c r="ALH10" s="236"/>
      <c r="ALI10" s="236"/>
      <c r="ALJ10" s="236"/>
      <c r="ALK10" s="236"/>
      <c r="ALL10" s="236"/>
      <c r="ALM10" s="236"/>
      <c r="ALN10" s="236"/>
      <c r="ALO10" s="236"/>
      <c r="ALP10" s="236"/>
      <c r="ALQ10" s="236"/>
      <c r="ALR10" s="236"/>
      <c r="ALS10" s="236"/>
      <c r="ALT10" s="236"/>
      <c r="ALU10" s="236"/>
      <c r="ALV10" s="236"/>
      <c r="ALW10" s="236"/>
      <c r="ALX10" s="236"/>
      <c r="ALY10" s="236"/>
      <c r="ALZ10" s="236"/>
      <c r="AMA10" s="236"/>
      <c r="AMB10" s="236"/>
      <c r="AMC10" s="236"/>
      <c r="AMD10" s="236"/>
      <c r="AME10" s="236"/>
      <c r="AMF10" s="236"/>
      <c r="AMG10" s="236"/>
      <c r="AMH10" s="236"/>
      <c r="AMI10" s="236"/>
      <c r="AMJ10" s="236"/>
      <c r="AMK10" s="236"/>
      <c r="AML10" s="236"/>
      <c r="AMM10" s="236"/>
      <c r="AMN10" s="236"/>
      <c r="AMO10" s="236"/>
      <c r="AMP10" s="236"/>
      <c r="AMQ10" s="236"/>
      <c r="AMR10" s="236"/>
      <c r="AMS10" s="236"/>
      <c r="AMT10" s="236"/>
      <c r="AMU10" s="236"/>
      <c r="AMV10" s="236"/>
      <c r="AMW10" s="236"/>
      <c r="AMX10" s="236"/>
      <c r="AMY10" s="236"/>
      <c r="AMZ10" s="236"/>
      <c r="ANA10" s="236"/>
      <c r="ANB10" s="236"/>
      <c r="ANC10" s="236"/>
      <c r="AND10" s="236"/>
      <c r="ANE10" s="236"/>
      <c r="ANF10" s="236"/>
      <c r="ANG10" s="236"/>
      <c r="ANH10" s="236"/>
      <c r="ANI10" s="236"/>
      <c r="ANJ10" s="236"/>
      <c r="ANK10" s="236"/>
      <c r="ANL10" s="236"/>
      <c r="ANM10" s="236"/>
      <c r="ANN10" s="236"/>
      <c r="ANO10" s="236"/>
      <c r="ANP10" s="236"/>
      <c r="ANQ10" s="236"/>
      <c r="ANR10" s="236"/>
      <c r="ANS10" s="236"/>
      <c r="ANT10" s="236"/>
      <c r="ANU10" s="236"/>
      <c r="ANV10" s="236"/>
      <c r="ANW10" s="236"/>
      <c r="ANX10" s="236"/>
      <c r="ANY10" s="236"/>
      <c r="ANZ10" s="236"/>
      <c r="AOA10" s="236"/>
      <c r="AOB10" s="236"/>
      <c r="AOC10" s="236"/>
      <c r="AOD10" s="236"/>
      <c r="AOE10" s="236"/>
      <c r="AOF10" s="236"/>
      <c r="AOG10" s="236"/>
      <c r="AOH10" s="236"/>
      <c r="AOI10" s="236"/>
      <c r="AOJ10" s="236"/>
      <c r="AOK10" s="236"/>
      <c r="AOL10" s="236"/>
      <c r="AOM10" s="236"/>
      <c r="AON10" s="236"/>
      <c r="AOO10" s="236"/>
      <c r="AOP10" s="236"/>
      <c r="AOQ10" s="236"/>
      <c r="AOR10" s="236"/>
      <c r="AOS10" s="236"/>
      <c r="AOT10" s="236"/>
      <c r="AOU10" s="236"/>
      <c r="AOV10" s="236"/>
      <c r="AOW10" s="236"/>
      <c r="AOX10" s="236"/>
      <c r="AOY10" s="236"/>
      <c r="AOZ10" s="236"/>
      <c r="APA10" s="236"/>
      <c r="APB10" s="236"/>
      <c r="APC10" s="236"/>
      <c r="APD10" s="236"/>
      <c r="APE10" s="236"/>
      <c r="APF10" s="236"/>
      <c r="APG10" s="236"/>
      <c r="APH10" s="236"/>
      <c r="API10" s="236"/>
      <c r="APJ10" s="236"/>
      <c r="APK10" s="236"/>
      <c r="APL10" s="236"/>
      <c r="APM10" s="236"/>
      <c r="APN10" s="236"/>
      <c r="APO10" s="236"/>
      <c r="APP10" s="236"/>
      <c r="APQ10" s="236"/>
      <c r="APR10" s="236"/>
      <c r="APS10" s="236"/>
      <c r="APT10" s="236"/>
      <c r="APU10" s="236"/>
      <c r="APV10" s="236"/>
      <c r="APW10" s="236"/>
      <c r="APX10" s="236"/>
      <c r="APY10" s="236"/>
      <c r="APZ10" s="236"/>
      <c r="AQA10" s="236"/>
      <c r="AQB10" s="236"/>
      <c r="AQC10" s="236"/>
      <c r="AQD10" s="236"/>
      <c r="AQE10" s="236"/>
      <c r="AQF10" s="236"/>
      <c r="AQG10" s="236"/>
      <c r="AQH10" s="236"/>
      <c r="AQI10" s="236"/>
      <c r="AQJ10" s="236"/>
      <c r="AQK10" s="236"/>
      <c r="AQL10" s="236"/>
      <c r="AQM10" s="236"/>
      <c r="AQN10" s="236"/>
      <c r="AQO10" s="236"/>
      <c r="AQP10" s="236"/>
      <c r="AQQ10" s="236"/>
      <c r="AQR10" s="236"/>
      <c r="AQS10" s="236"/>
      <c r="AQT10" s="236"/>
      <c r="AQU10" s="236"/>
      <c r="AQV10" s="236"/>
      <c r="AQW10" s="236"/>
      <c r="AQX10" s="236"/>
      <c r="AQY10" s="236"/>
      <c r="AQZ10" s="236"/>
      <c r="ARA10" s="236"/>
      <c r="ARB10" s="236"/>
      <c r="ARC10" s="236"/>
      <c r="ARD10" s="236"/>
      <c r="ARE10" s="236"/>
      <c r="ARF10" s="236"/>
      <c r="ARG10" s="236"/>
      <c r="ARH10" s="236"/>
      <c r="ARI10" s="236"/>
      <c r="ARJ10" s="236"/>
      <c r="ARK10" s="236"/>
      <c r="ARL10" s="236"/>
      <c r="ARM10" s="236"/>
      <c r="ARN10" s="236"/>
      <c r="ARO10" s="236"/>
      <c r="ARP10" s="236"/>
      <c r="ARQ10" s="236"/>
      <c r="ARR10" s="236"/>
      <c r="ARS10" s="236"/>
      <c r="ART10" s="236"/>
      <c r="ARU10" s="236"/>
      <c r="ARV10" s="236"/>
      <c r="ARW10" s="236"/>
      <c r="ARX10" s="236"/>
      <c r="ARY10" s="236"/>
      <c r="ARZ10" s="236"/>
      <c r="ASA10" s="236"/>
      <c r="ASB10" s="236"/>
      <c r="ASC10" s="236"/>
      <c r="ASD10" s="236"/>
      <c r="ASE10" s="236"/>
      <c r="ASF10" s="236"/>
      <c r="ASG10" s="236"/>
      <c r="ASH10" s="236"/>
      <c r="ASI10" s="236"/>
      <c r="ASJ10" s="236"/>
      <c r="ASK10" s="236"/>
      <c r="ASL10" s="236"/>
      <c r="ASM10" s="236"/>
      <c r="ASN10" s="236"/>
      <c r="ASO10" s="236"/>
      <c r="ASP10" s="236"/>
      <c r="ASQ10" s="236"/>
      <c r="ASR10" s="236"/>
      <c r="ASS10" s="236"/>
      <c r="AST10" s="236"/>
      <c r="ASU10" s="236"/>
      <c r="ASV10" s="236"/>
      <c r="ASW10" s="236"/>
      <c r="ASX10" s="236"/>
      <c r="ASY10" s="236"/>
      <c r="ASZ10" s="236"/>
      <c r="ATA10" s="236"/>
      <c r="ATB10" s="236"/>
      <c r="ATC10" s="236"/>
      <c r="ATD10" s="236"/>
      <c r="ATE10" s="236"/>
      <c r="ATF10" s="236"/>
      <c r="ATG10" s="236"/>
      <c r="ATH10" s="236"/>
      <c r="ATI10" s="236"/>
      <c r="ATJ10" s="236"/>
      <c r="ATK10" s="236"/>
      <c r="ATL10" s="236"/>
      <c r="ATM10" s="236"/>
      <c r="ATN10" s="236"/>
      <c r="ATO10" s="236"/>
      <c r="ATP10" s="236"/>
      <c r="ATQ10" s="236"/>
      <c r="ATR10" s="236"/>
      <c r="ATS10" s="236"/>
      <c r="ATT10" s="236"/>
      <c r="ATU10" s="236"/>
      <c r="ATV10" s="236"/>
      <c r="ATW10" s="236"/>
      <c r="ATX10" s="236"/>
      <c r="ATY10" s="236"/>
      <c r="ATZ10" s="236"/>
      <c r="AUA10" s="236"/>
      <c r="AUB10" s="236"/>
      <c r="AUC10" s="236"/>
      <c r="AUD10" s="236"/>
      <c r="AUE10" s="236"/>
      <c r="AUF10" s="236"/>
      <c r="AUG10" s="236"/>
      <c r="AUH10" s="236"/>
      <c r="AUI10" s="236"/>
      <c r="AUJ10" s="236"/>
      <c r="AUK10" s="236"/>
      <c r="AUL10" s="236"/>
      <c r="AUM10" s="236"/>
      <c r="AUN10" s="236"/>
      <c r="AUO10" s="236"/>
      <c r="AUP10" s="236"/>
      <c r="AUQ10" s="236"/>
      <c r="AUR10" s="236"/>
      <c r="AUS10" s="236"/>
      <c r="AUT10" s="236"/>
      <c r="AUU10" s="236"/>
      <c r="AUV10" s="236"/>
      <c r="AUW10" s="236"/>
      <c r="AUX10" s="236"/>
      <c r="AUY10" s="236"/>
      <c r="AUZ10" s="236"/>
      <c r="AVA10" s="236"/>
      <c r="AVB10" s="236"/>
      <c r="AVC10" s="236"/>
      <c r="AVD10" s="236"/>
      <c r="AVE10" s="236"/>
      <c r="AVF10" s="236"/>
      <c r="AVG10" s="236"/>
      <c r="AVH10" s="236"/>
      <c r="AVI10" s="236"/>
      <c r="AVJ10" s="236"/>
      <c r="AVK10" s="236"/>
      <c r="AVL10" s="236"/>
      <c r="AVM10" s="236"/>
      <c r="AVN10" s="236"/>
      <c r="AVO10" s="236"/>
      <c r="AVP10" s="236"/>
      <c r="AVQ10" s="236"/>
      <c r="AVR10" s="236"/>
      <c r="AVS10" s="236"/>
      <c r="AVT10" s="236"/>
      <c r="AVU10" s="236"/>
      <c r="AVV10" s="236"/>
      <c r="AVW10" s="236"/>
      <c r="AVX10" s="236"/>
      <c r="AVY10" s="236"/>
      <c r="AVZ10" s="236"/>
      <c r="AWA10" s="236"/>
      <c r="AWB10" s="236"/>
      <c r="AWC10" s="236"/>
      <c r="AWD10" s="236"/>
      <c r="AWE10" s="236"/>
      <c r="AWF10" s="236"/>
      <c r="AWG10" s="236"/>
      <c r="AWH10" s="236"/>
      <c r="AWI10" s="236"/>
      <c r="AWJ10" s="236"/>
      <c r="AWK10" s="236"/>
      <c r="AWL10" s="236"/>
      <c r="AWM10" s="236"/>
      <c r="AWN10" s="236"/>
      <c r="AWO10" s="236"/>
      <c r="AWP10" s="236"/>
      <c r="AWQ10" s="236"/>
      <c r="AWR10" s="236"/>
      <c r="AWS10" s="236"/>
      <c r="AWT10" s="236"/>
      <c r="AWU10" s="236"/>
      <c r="AWV10" s="236"/>
      <c r="AWW10" s="236"/>
      <c r="AWX10" s="236"/>
      <c r="AWY10" s="236"/>
      <c r="AWZ10" s="236"/>
      <c r="AXA10" s="236"/>
      <c r="AXB10" s="236"/>
      <c r="AXC10" s="236"/>
      <c r="AXD10" s="236"/>
      <c r="AXE10" s="236"/>
      <c r="AXF10" s="236"/>
      <c r="AXG10" s="236"/>
      <c r="AXH10" s="236"/>
      <c r="AXI10" s="236"/>
      <c r="AXJ10" s="236"/>
      <c r="AXK10" s="236"/>
      <c r="AXL10" s="236"/>
      <c r="AXM10" s="236"/>
      <c r="AXN10" s="236"/>
      <c r="AXO10" s="236"/>
      <c r="AXP10" s="236"/>
      <c r="AXQ10" s="236"/>
      <c r="AXR10" s="236"/>
      <c r="AXS10" s="236"/>
      <c r="AXT10" s="236"/>
      <c r="AXU10" s="236"/>
      <c r="AXV10" s="236"/>
      <c r="AXW10" s="236"/>
      <c r="AXX10" s="236"/>
      <c r="AXY10" s="236"/>
      <c r="AXZ10" s="236"/>
      <c r="AYA10" s="236"/>
      <c r="AYB10" s="236"/>
      <c r="AYC10" s="236"/>
      <c r="AYD10" s="236"/>
      <c r="AYE10" s="236"/>
      <c r="AYF10" s="236"/>
      <c r="AYG10" s="236"/>
      <c r="AYH10" s="236"/>
      <c r="AYI10" s="236"/>
      <c r="AYJ10" s="236"/>
      <c r="AYK10" s="236"/>
      <c r="AYL10" s="236"/>
      <c r="AYM10" s="236"/>
      <c r="AYN10" s="236"/>
      <c r="AYO10" s="236"/>
      <c r="AYP10" s="236"/>
      <c r="AYQ10" s="236"/>
      <c r="AYR10" s="236"/>
      <c r="AYS10" s="236"/>
      <c r="AYT10" s="236"/>
      <c r="AYU10" s="236"/>
      <c r="AYV10" s="236"/>
      <c r="AYW10" s="236"/>
      <c r="AYX10" s="236"/>
      <c r="AYY10" s="236"/>
      <c r="AYZ10" s="236"/>
      <c r="AZA10" s="236"/>
      <c r="AZB10" s="236"/>
      <c r="AZC10" s="236"/>
      <c r="AZD10" s="236"/>
      <c r="AZE10" s="236"/>
      <c r="AZF10" s="236"/>
      <c r="AZG10" s="236"/>
      <c r="AZH10" s="236"/>
      <c r="AZI10" s="236"/>
      <c r="AZJ10" s="236"/>
      <c r="AZK10" s="236"/>
      <c r="AZL10" s="236"/>
      <c r="AZM10" s="236"/>
      <c r="AZN10" s="236"/>
      <c r="AZO10" s="236"/>
      <c r="AZP10" s="236"/>
      <c r="AZQ10" s="236"/>
      <c r="AZR10" s="236"/>
      <c r="AZS10" s="236"/>
      <c r="AZT10" s="236"/>
      <c r="AZU10" s="236"/>
      <c r="AZV10" s="236"/>
      <c r="AZW10" s="236"/>
      <c r="AZX10" s="236"/>
      <c r="AZY10" s="236"/>
      <c r="AZZ10" s="236"/>
      <c r="BAA10" s="236"/>
      <c r="BAB10" s="236"/>
      <c r="BAC10" s="236"/>
      <c r="BAD10" s="236"/>
      <c r="BAE10" s="236"/>
      <c r="BAF10" s="236"/>
      <c r="BAG10" s="236"/>
      <c r="BAH10" s="236"/>
      <c r="BAI10" s="236"/>
      <c r="BAJ10" s="236"/>
      <c r="BAK10" s="236"/>
      <c r="BAL10" s="236"/>
      <c r="BAM10" s="236"/>
      <c r="BAN10" s="236"/>
      <c r="BAO10" s="236"/>
      <c r="BAP10" s="236"/>
      <c r="BAQ10" s="236"/>
      <c r="BAR10" s="236"/>
      <c r="BAS10" s="236"/>
      <c r="BAT10" s="236"/>
      <c r="BAU10" s="236"/>
      <c r="BAV10" s="236"/>
      <c r="BAW10" s="236"/>
      <c r="BAX10" s="236"/>
      <c r="BAY10" s="236"/>
      <c r="BAZ10" s="236"/>
      <c r="BBA10" s="236"/>
      <c r="BBB10" s="236"/>
      <c r="BBC10" s="236"/>
      <c r="BBD10" s="236"/>
      <c r="BBE10" s="236"/>
      <c r="BBF10" s="236"/>
      <c r="BBG10" s="236"/>
      <c r="BBH10" s="236"/>
      <c r="BBI10" s="236"/>
      <c r="BBJ10" s="236"/>
      <c r="BBK10" s="236"/>
      <c r="BBL10" s="236"/>
      <c r="BBM10" s="236"/>
      <c r="BBN10" s="236"/>
      <c r="BBO10" s="236"/>
      <c r="BBP10" s="236"/>
      <c r="BBQ10" s="236"/>
      <c r="BBR10" s="236"/>
      <c r="BBS10" s="236"/>
      <c r="BBT10" s="236"/>
      <c r="BBU10" s="236"/>
      <c r="BBV10" s="236"/>
      <c r="BBW10" s="236"/>
      <c r="BBX10" s="236"/>
      <c r="BBY10" s="236"/>
      <c r="BBZ10" s="236"/>
      <c r="BCA10" s="236"/>
      <c r="BCB10" s="236"/>
      <c r="BCC10" s="236"/>
      <c r="BCD10" s="236"/>
      <c r="BCE10" s="236"/>
      <c r="BCF10" s="236"/>
      <c r="BCG10" s="236"/>
      <c r="BCH10" s="236"/>
      <c r="BCI10" s="236"/>
      <c r="BCJ10" s="236"/>
      <c r="BCK10" s="236"/>
      <c r="BCL10" s="236"/>
      <c r="BCM10" s="236"/>
      <c r="BCN10" s="236"/>
      <c r="BCO10" s="236"/>
      <c r="BCP10" s="236"/>
      <c r="BCQ10" s="236"/>
      <c r="BCR10" s="236"/>
      <c r="BCS10" s="236"/>
      <c r="BCT10" s="236"/>
      <c r="BCU10" s="236"/>
      <c r="BCV10" s="236"/>
      <c r="BCW10" s="236"/>
      <c r="BCX10" s="236"/>
      <c r="BCY10" s="236"/>
      <c r="BCZ10" s="236"/>
      <c r="BDA10" s="236"/>
      <c r="BDB10" s="236"/>
      <c r="BDC10" s="236"/>
      <c r="BDD10" s="236"/>
      <c r="BDE10" s="236"/>
      <c r="BDF10" s="236"/>
      <c r="BDG10" s="236"/>
      <c r="BDH10" s="236"/>
      <c r="BDI10" s="236"/>
      <c r="BDJ10" s="236"/>
      <c r="BDK10" s="236"/>
      <c r="BDL10" s="236"/>
      <c r="BDM10" s="236"/>
      <c r="BDN10" s="236"/>
      <c r="BDO10" s="236"/>
      <c r="BDP10" s="236"/>
      <c r="BDQ10" s="236"/>
      <c r="BDR10" s="236"/>
      <c r="BDS10" s="236"/>
      <c r="BDT10" s="236"/>
      <c r="BDU10" s="236"/>
      <c r="BDV10" s="236"/>
      <c r="BDW10" s="236"/>
      <c r="BDX10" s="236"/>
      <c r="BDY10" s="236"/>
      <c r="BDZ10" s="236"/>
      <c r="BEA10" s="236"/>
      <c r="BEB10" s="236"/>
      <c r="BEC10" s="236"/>
      <c r="BED10" s="236"/>
      <c r="BEE10" s="236"/>
      <c r="BEF10" s="236"/>
      <c r="BEG10" s="236"/>
      <c r="BEH10" s="236"/>
      <c r="BEI10" s="236"/>
      <c r="BEJ10" s="236"/>
      <c r="BEK10" s="236"/>
      <c r="BEL10" s="236"/>
      <c r="BEM10" s="236"/>
      <c r="BEN10" s="236"/>
      <c r="BEO10" s="236"/>
      <c r="BEP10" s="236"/>
      <c r="BEQ10" s="236"/>
      <c r="BER10" s="236"/>
      <c r="BES10" s="236"/>
      <c r="BET10" s="236"/>
      <c r="BEU10" s="236"/>
      <c r="BEV10" s="236"/>
      <c r="BEW10" s="236"/>
      <c r="BEX10" s="236"/>
      <c r="BEY10" s="236"/>
      <c r="BEZ10" s="236"/>
      <c r="BFA10" s="236"/>
      <c r="BFB10" s="236"/>
      <c r="BFC10" s="236"/>
      <c r="BFD10" s="236"/>
      <c r="BFE10" s="236"/>
      <c r="BFF10" s="236"/>
      <c r="BFG10" s="236"/>
      <c r="BFH10" s="236"/>
      <c r="BFI10" s="236"/>
      <c r="BFJ10" s="236"/>
      <c r="BFK10" s="236"/>
      <c r="BFL10" s="236"/>
      <c r="BFM10" s="236"/>
      <c r="BFN10" s="236"/>
      <c r="BFO10" s="236"/>
      <c r="BFP10" s="236"/>
      <c r="BFQ10" s="236"/>
      <c r="BFR10" s="236"/>
      <c r="BFS10" s="236"/>
      <c r="BFT10" s="236"/>
      <c r="BFU10" s="236"/>
      <c r="BFV10" s="236"/>
      <c r="BFW10" s="236"/>
      <c r="BFX10" s="236"/>
      <c r="BFY10" s="236"/>
      <c r="BFZ10" s="236"/>
      <c r="BGA10" s="236"/>
      <c r="BGB10" s="236"/>
      <c r="BGC10" s="236"/>
      <c r="BGD10" s="236"/>
      <c r="BGE10" s="236"/>
      <c r="BGF10" s="236"/>
      <c r="BGG10" s="236"/>
      <c r="BGH10" s="236"/>
      <c r="BGI10" s="236"/>
      <c r="BGJ10" s="236"/>
      <c r="BGK10" s="236"/>
      <c r="BGL10" s="236"/>
      <c r="BGM10" s="236"/>
      <c r="BGN10" s="236"/>
      <c r="BGO10" s="236"/>
      <c r="BGP10" s="236"/>
      <c r="BGQ10" s="236"/>
      <c r="BGR10" s="236"/>
      <c r="BGS10" s="236"/>
      <c r="BGT10" s="236"/>
      <c r="BGU10" s="236"/>
      <c r="BGV10" s="236"/>
      <c r="BGW10" s="236"/>
      <c r="BGX10" s="236"/>
      <c r="BGY10" s="236"/>
      <c r="BGZ10" s="236"/>
      <c r="BHA10" s="236"/>
      <c r="BHB10" s="236"/>
      <c r="BHC10" s="236"/>
      <c r="BHD10" s="236"/>
      <c r="BHE10" s="236"/>
      <c r="BHF10" s="90"/>
    </row>
    <row r="11" spans="1:1866" ht="20.100000000000001" customHeight="1" x14ac:dyDescent="0.25">
      <c r="B11" s="96"/>
      <c r="C11" s="240"/>
      <c r="D11" s="240"/>
      <c r="E11" s="240"/>
      <c r="F11" s="225" t="s">
        <v>41</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73</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37" t="s">
        <v>73</v>
      </c>
      <c r="DW11" s="237"/>
      <c r="DX11" s="237"/>
      <c r="DY11" s="237"/>
      <c r="DZ11" s="237"/>
      <c r="EA11" s="237"/>
      <c r="EB11" s="237"/>
      <c r="EC11" s="237"/>
      <c r="ED11" s="237"/>
      <c r="EE11" s="237"/>
      <c r="EF11" s="237"/>
      <c r="EG11" s="237"/>
      <c r="EH11" s="237"/>
      <c r="EI11" s="237"/>
      <c r="EJ11" s="237"/>
      <c r="EK11" s="237"/>
      <c r="EL11" s="237"/>
      <c r="EM11" s="237"/>
      <c r="EN11" s="237"/>
      <c r="EO11" s="237"/>
      <c r="EP11" s="237"/>
      <c r="EQ11" s="237"/>
      <c r="ER11" s="237"/>
      <c r="ES11" s="237"/>
      <c r="ET11" s="237"/>
      <c r="EU11" s="237"/>
      <c r="EV11" s="237"/>
      <c r="EW11" s="237"/>
      <c r="EX11" s="237"/>
      <c r="EY11" s="237"/>
      <c r="EZ11" s="237"/>
      <c r="FA11" s="237"/>
      <c r="FB11" s="237"/>
      <c r="FC11" s="237"/>
      <c r="FD11" s="237"/>
      <c r="FE11" s="237"/>
      <c r="FF11" s="237"/>
      <c r="FG11" s="237"/>
      <c r="FH11" s="237"/>
      <c r="FI11" s="237"/>
      <c r="FJ11" s="237"/>
      <c r="FK11" s="237"/>
      <c r="FL11" s="237"/>
      <c r="FM11" s="237"/>
      <c r="FN11" s="237"/>
      <c r="FO11" s="237"/>
      <c r="FP11" s="237"/>
      <c r="FQ11" s="237"/>
      <c r="FR11" s="237"/>
      <c r="FS11" s="237"/>
      <c r="FT11" s="237"/>
      <c r="FU11" s="237"/>
      <c r="FV11" s="237"/>
      <c r="FW11" s="237"/>
      <c r="FX11" s="237"/>
      <c r="FY11" s="237"/>
      <c r="FZ11" s="237"/>
      <c r="GA11" s="237"/>
      <c r="GB11" s="237"/>
      <c r="GC11" s="237"/>
      <c r="GD11" s="237" t="s">
        <v>72</v>
      </c>
      <c r="GE11" s="237"/>
      <c r="GF11" s="237"/>
      <c r="GG11" s="237"/>
      <c r="GH11" s="237"/>
      <c r="GI11" s="237"/>
      <c r="GJ11" s="237"/>
      <c r="GK11" s="237"/>
      <c r="GL11" s="237"/>
      <c r="GM11" s="237"/>
      <c r="GN11" s="237"/>
      <c r="GO11" s="237"/>
      <c r="GP11" s="237"/>
      <c r="GQ11" s="237"/>
      <c r="GR11" s="237"/>
      <c r="GS11" s="237"/>
      <c r="GT11" s="237"/>
      <c r="GU11" s="237"/>
      <c r="GV11" s="237"/>
      <c r="GW11" s="237"/>
      <c r="GX11" s="237"/>
      <c r="GY11" s="237"/>
      <c r="GZ11" s="237"/>
      <c r="HA11" s="237"/>
      <c r="HB11" s="237"/>
      <c r="HC11" s="237"/>
      <c r="HD11" s="237"/>
      <c r="HE11" s="237"/>
      <c r="HF11" s="237"/>
      <c r="HG11" s="237"/>
      <c r="HH11" s="237"/>
      <c r="HI11" s="237"/>
      <c r="HJ11" s="237"/>
      <c r="HK11" s="237"/>
      <c r="HL11" s="237"/>
      <c r="HM11" s="237"/>
      <c r="HN11" s="237"/>
      <c r="HO11" s="237"/>
      <c r="HP11" s="237"/>
      <c r="HQ11" s="237"/>
      <c r="HR11" s="237"/>
      <c r="HS11" s="237"/>
      <c r="HT11" s="237"/>
      <c r="HU11" s="237"/>
      <c r="HV11" s="237"/>
      <c r="HW11" s="237"/>
      <c r="HX11" s="237"/>
      <c r="HY11" s="237"/>
      <c r="HZ11" s="237"/>
      <c r="IA11" s="237"/>
      <c r="IB11" s="237"/>
      <c r="IC11" s="237"/>
      <c r="ID11" s="237"/>
      <c r="IE11" s="237"/>
      <c r="IF11" s="237"/>
      <c r="IG11" s="237"/>
      <c r="IH11" s="237"/>
      <c r="II11" s="237"/>
      <c r="IJ11" s="237"/>
      <c r="IK11" s="237"/>
      <c r="IL11" s="237" t="s">
        <v>72</v>
      </c>
      <c r="IM11" s="237"/>
      <c r="IN11" s="237"/>
      <c r="IO11" s="237"/>
      <c r="IP11" s="237"/>
      <c r="IQ11" s="237"/>
      <c r="IR11" s="237"/>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t="s">
        <v>85</v>
      </c>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t="s">
        <v>84</v>
      </c>
      <c r="NC11" s="237"/>
      <c r="ND11" s="237"/>
      <c r="NE11" s="237"/>
      <c r="NF11" s="237"/>
      <c r="NG11" s="237"/>
      <c r="NH11" s="237"/>
      <c r="NI11" s="237"/>
      <c r="NJ11" s="237"/>
      <c r="NK11" s="237"/>
      <c r="NL11" s="237"/>
      <c r="NM11" s="237"/>
      <c r="NN11" s="237"/>
      <c r="NO11" s="237"/>
      <c r="NP11" s="237"/>
      <c r="NQ11" s="237"/>
      <c r="NR11" s="237"/>
      <c r="NS11" s="237"/>
      <c r="NT11" s="237"/>
      <c r="NU11" s="237"/>
      <c r="NV11" s="237"/>
      <c r="NW11" s="237"/>
      <c r="NX11" s="237"/>
      <c r="NY11" s="237"/>
      <c r="NZ11" s="237"/>
      <c r="OA11" s="237"/>
      <c r="OB11" s="237"/>
      <c r="OC11" s="237"/>
      <c r="OD11" s="237"/>
      <c r="OE11" s="237"/>
      <c r="OF11" s="237"/>
      <c r="OG11" s="237"/>
      <c r="OH11" s="237"/>
      <c r="OI11" s="237"/>
      <c r="OJ11" s="237"/>
      <c r="OK11" s="237"/>
      <c r="OL11" s="237"/>
      <c r="OM11" s="237"/>
      <c r="ON11" s="237"/>
      <c r="OO11" s="237"/>
      <c r="OP11" s="237"/>
      <c r="OQ11" s="237"/>
      <c r="OR11" s="237"/>
      <c r="OS11" s="237"/>
      <c r="OT11" s="237"/>
      <c r="OU11" s="237"/>
      <c r="OV11" s="237"/>
      <c r="OW11" s="237"/>
      <c r="OX11" s="237"/>
      <c r="OY11" s="237"/>
      <c r="OZ11" s="237"/>
      <c r="PA11" s="237"/>
      <c r="PB11" s="237"/>
      <c r="PC11" s="237"/>
      <c r="PD11" s="237"/>
      <c r="PE11" s="237"/>
      <c r="PF11" s="237"/>
      <c r="PG11" s="237"/>
      <c r="PH11" s="237"/>
      <c r="PI11" s="237"/>
      <c r="PJ11" s="237" t="s">
        <v>84</v>
      </c>
      <c r="PK11" s="237"/>
      <c r="PL11" s="237"/>
      <c r="PM11" s="237"/>
      <c r="PN11" s="237"/>
      <c r="PO11" s="237"/>
      <c r="PP11" s="237"/>
      <c r="PQ11" s="237"/>
      <c r="PR11" s="237"/>
      <c r="PS11" s="237"/>
      <c r="PT11" s="237"/>
      <c r="PU11" s="237"/>
      <c r="PV11" s="237"/>
      <c r="PW11" s="237"/>
      <c r="PX11" s="237"/>
      <c r="PY11" s="237"/>
      <c r="PZ11" s="237"/>
      <c r="QA11" s="237"/>
      <c r="QB11" s="237"/>
      <c r="QC11" s="237"/>
      <c r="QD11" s="237"/>
      <c r="QE11" s="237"/>
      <c r="QF11" s="237"/>
      <c r="QG11" s="237"/>
      <c r="QH11" s="237"/>
      <c r="QI11" s="237"/>
      <c r="QJ11" s="237"/>
      <c r="QK11" s="237"/>
      <c r="QL11" s="237"/>
      <c r="QM11" s="237"/>
      <c r="QN11" s="237"/>
      <c r="QO11" s="237"/>
      <c r="QP11" s="237"/>
      <c r="QQ11" s="237"/>
      <c r="QR11" s="237"/>
      <c r="QS11" s="237"/>
      <c r="QT11" s="237"/>
      <c r="QU11" s="237"/>
      <c r="QV11" s="237"/>
      <c r="QW11" s="237"/>
      <c r="QX11" s="237"/>
      <c r="QY11" s="237"/>
      <c r="QZ11" s="237"/>
      <c r="RA11" s="237"/>
      <c r="RB11" s="237"/>
      <c r="RC11" s="237"/>
      <c r="RD11" s="237"/>
      <c r="RE11" s="237"/>
      <c r="RF11" s="237"/>
      <c r="RG11" s="237"/>
      <c r="RH11" s="237"/>
      <c r="RI11" s="237"/>
      <c r="RJ11" s="237"/>
      <c r="RK11" s="237"/>
      <c r="RL11" s="237"/>
      <c r="RM11" s="237"/>
      <c r="RN11" s="237"/>
      <c r="RO11" s="237"/>
      <c r="RP11" s="237"/>
      <c r="RQ11" s="237"/>
      <c r="RR11" s="237" t="s">
        <v>83</v>
      </c>
      <c r="RS11" s="237"/>
      <c r="RT11" s="237"/>
      <c r="RU11" s="237"/>
      <c r="RV11" s="237"/>
      <c r="RW11" s="237"/>
      <c r="RX11" s="237"/>
      <c r="RY11" s="237"/>
      <c r="RZ11" s="237"/>
      <c r="SA11" s="237"/>
      <c r="SB11" s="237"/>
      <c r="SC11" s="237"/>
      <c r="SD11" s="237"/>
      <c r="SE11" s="237"/>
      <c r="SF11" s="237"/>
      <c r="SG11" s="237"/>
      <c r="SH11" s="237"/>
      <c r="SI11" s="237"/>
      <c r="SJ11" s="237"/>
      <c r="SK11" s="237"/>
      <c r="SL11" s="237"/>
      <c r="SM11" s="237"/>
      <c r="SN11" s="237"/>
      <c r="SO11" s="237"/>
      <c r="SP11" s="237"/>
      <c r="SQ11" s="237"/>
      <c r="SR11" s="237"/>
      <c r="SS11" s="237"/>
      <c r="ST11" s="237"/>
      <c r="SU11" s="237"/>
      <c r="SV11" s="237"/>
      <c r="SW11" s="237"/>
      <c r="SX11" s="237"/>
      <c r="SY11" s="237"/>
      <c r="SZ11" s="237"/>
      <c r="TA11" s="237"/>
      <c r="TB11" s="237"/>
      <c r="TC11" s="237"/>
      <c r="TD11" s="237"/>
      <c r="TE11" s="237"/>
      <c r="TF11" s="237"/>
      <c r="TG11" s="237"/>
      <c r="TH11" s="237"/>
      <c r="TI11" s="237"/>
      <c r="TJ11" s="237"/>
      <c r="TK11" s="237"/>
      <c r="TL11" s="237"/>
      <c r="TM11" s="237"/>
      <c r="TN11" s="237"/>
      <c r="TO11" s="237"/>
      <c r="TP11" s="237"/>
      <c r="TQ11" s="237"/>
      <c r="TR11" s="237"/>
      <c r="TS11" s="237"/>
      <c r="TT11" s="237"/>
      <c r="TU11" s="237"/>
      <c r="TV11" s="237"/>
      <c r="TW11" s="237"/>
      <c r="TX11" s="237"/>
      <c r="TY11" s="237"/>
      <c r="TZ11" s="237" t="s">
        <v>82</v>
      </c>
      <c r="UA11" s="237"/>
      <c r="UB11" s="237"/>
      <c r="UC11" s="237"/>
      <c r="UD11" s="237"/>
      <c r="UE11" s="237"/>
      <c r="UF11" s="237"/>
      <c r="UG11" s="237"/>
      <c r="UH11" s="237"/>
      <c r="UI11" s="237"/>
      <c r="UJ11" s="237"/>
      <c r="UK11" s="237"/>
      <c r="UL11" s="237"/>
      <c r="UM11" s="237"/>
      <c r="UN11" s="237"/>
      <c r="UO11" s="237"/>
      <c r="UP11" s="237"/>
      <c r="UQ11" s="237"/>
      <c r="UR11" s="237"/>
      <c r="US11" s="237"/>
      <c r="UT11" s="237"/>
      <c r="UU11" s="237"/>
      <c r="UV11" s="237"/>
      <c r="UW11" s="237"/>
      <c r="UX11" s="237"/>
      <c r="UY11" s="237"/>
      <c r="UZ11" s="237"/>
      <c r="VA11" s="237"/>
      <c r="VB11" s="237"/>
      <c r="VC11" s="237"/>
      <c r="VD11" s="237"/>
      <c r="VE11" s="237"/>
      <c r="VF11" s="237"/>
      <c r="VG11" s="237"/>
      <c r="VH11" s="237"/>
      <c r="VI11" s="237"/>
      <c r="VJ11" s="237"/>
      <c r="VK11" s="237"/>
      <c r="VL11" s="237"/>
      <c r="VM11" s="237"/>
      <c r="VN11" s="237"/>
      <c r="VO11" s="237"/>
      <c r="VP11" s="237"/>
      <c r="VQ11" s="237"/>
      <c r="VR11" s="237"/>
      <c r="VS11" s="237"/>
      <c r="VT11" s="237"/>
      <c r="VU11" s="237"/>
      <c r="VV11" s="237"/>
      <c r="VW11" s="237"/>
      <c r="VX11" s="237"/>
      <c r="VY11" s="237"/>
      <c r="VZ11" s="237"/>
      <c r="WA11" s="237"/>
      <c r="WB11" s="237"/>
      <c r="WC11" s="237"/>
      <c r="WD11" s="237"/>
      <c r="WE11" s="237"/>
      <c r="WF11" s="237"/>
      <c r="WG11" s="237"/>
      <c r="WH11" s="237" t="s">
        <v>82</v>
      </c>
      <c r="WI11" s="237"/>
      <c r="WJ11" s="237"/>
      <c r="WK11" s="237"/>
      <c r="WL11" s="237"/>
      <c r="WM11" s="237"/>
      <c r="WN11" s="237"/>
      <c r="WO11" s="237"/>
      <c r="WP11" s="237"/>
      <c r="WQ11" s="237"/>
      <c r="WR11" s="237"/>
      <c r="WS11" s="237"/>
      <c r="WT11" s="237"/>
      <c r="WU11" s="237"/>
      <c r="WV11" s="237"/>
      <c r="WW11" s="237"/>
      <c r="WX11" s="237"/>
      <c r="WY11" s="237"/>
      <c r="WZ11" s="237"/>
      <c r="XA11" s="237"/>
      <c r="XB11" s="237"/>
      <c r="XC11" s="237"/>
      <c r="XD11" s="237"/>
      <c r="XE11" s="237"/>
      <c r="XF11" s="237"/>
      <c r="XG11" s="237"/>
      <c r="XH11" s="237"/>
      <c r="XI11" s="237"/>
      <c r="XJ11" s="237"/>
      <c r="XK11" s="237"/>
      <c r="XL11" s="237"/>
      <c r="XM11" s="237"/>
      <c r="XN11" s="237"/>
      <c r="XO11" s="237"/>
      <c r="XP11" s="237"/>
      <c r="XQ11" s="237"/>
      <c r="XR11" s="237"/>
      <c r="XS11" s="237"/>
      <c r="XT11" s="237"/>
      <c r="XU11" s="237"/>
      <c r="XV11" s="237"/>
      <c r="XW11" s="237"/>
      <c r="XX11" s="237"/>
      <c r="XY11" s="237"/>
      <c r="XZ11" s="237"/>
      <c r="YA11" s="237"/>
      <c r="YB11" s="237"/>
      <c r="YC11" s="237"/>
      <c r="YD11" s="237"/>
      <c r="YE11" s="237"/>
      <c r="YF11" s="237"/>
      <c r="YG11" s="237"/>
      <c r="YH11" s="237"/>
      <c r="YI11" s="237"/>
      <c r="YJ11" s="237"/>
      <c r="YK11" s="237"/>
      <c r="YL11" s="237"/>
      <c r="YM11" s="237"/>
      <c r="YN11" s="237"/>
      <c r="YO11" s="237"/>
      <c r="YP11" s="237" t="s">
        <v>81</v>
      </c>
      <c r="YQ11" s="237"/>
      <c r="YR11" s="237"/>
      <c r="YS11" s="237"/>
      <c r="YT11" s="237"/>
      <c r="YU11" s="237"/>
      <c r="YV11" s="237"/>
      <c r="YW11" s="237"/>
      <c r="YX11" s="237"/>
      <c r="YY11" s="237"/>
      <c r="YZ11" s="237"/>
      <c r="ZA11" s="237"/>
      <c r="ZB11" s="237"/>
      <c r="ZC11" s="237"/>
      <c r="ZD11" s="237"/>
      <c r="ZE11" s="237"/>
      <c r="ZF11" s="237"/>
      <c r="ZG11" s="237"/>
      <c r="ZH11" s="237"/>
      <c r="ZI11" s="237"/>
      <c r="ZJ11" s="237"/>
      <c r="ZK11" s="237"/>
      <c r="ZL11" s="237"/>
      <c r="ZM11" s="237"/>
      <c r="ZN11" s="237"/>
      <c r="ZO11" s="237"/>
      <c r="ZP11" s="237"/>
      <c r="ZQ11" s="237"/>
      <c r="ZR11" s="237"/>
      <c r="ZS11" s="237"/>
      <c r="ZT11" s="237"/>
      <c r="ZU11" s="237"/>
      <c r="ZV11" s="237"/>
      <c r="ZW11" s="237"/>
      <c r="ZX11" s="237"/>
      <c r="ZY11" s="237"/>
      <c r="ZZ11" s="237"/>
      <c r="AAA11" s="237"/>
      <c r="AAB11" s="237"/>
      <c r="AAC11" s="237"/>
      <c r="AAD11" s="237"/>
      <c r="AAE11" s="237"/>
      <c r="AAF11" s="237"/>
      <c r="AAG11" s="237"/>
      <c r="AAH11" s="237"/>
      <c r="AAI11" s="237"/>
      <c r="AAJ11" s="237"/>
      <c r="AAK11" s="237"/>
      <c r="AAL11" s="237"/>
      <c r="AAM11" s="237"/>
      <c r="AAN11" s="237"/>
      <c r="AAO11" s="237"/>
      <c r="AAP11" s="237"/>
      <c r="AAQ11" s="237"/>
      <c r="AAR11" s="237"/>
      <c r="AAS11" s="237"/>
      <c r="AAT11" s="237"/>
      <c r="AAU11" s="237"/>
      <c r="AAV11" s="237"/>
      <c r="AAW11" s="237"/>
      <c r="AAX11" s="237" t="s">
        <v>81</v>
      </c>
      <c r="AAY11" s="237"/>
      <c r="AAZ11" s="237"/>
      <c r="ABA11" s="237"/>
      <c r="ABB11" s="237"/>
      <c r="ABC11" s="237"/>
      <c r="ABD11" s="237"/>
      <c r="ABE11" s="237"/>
      <c r="ABF11" s="237"/>
      <c r="ABG11" s="237"/>
      <c r="ABH11" s="237"/>
      <c r="ABI11" s="237"/>
      <c r="ABJ11" s="237"/>
      <c r="ABK11" s="237"/>
      <c r="ABL11" s="237"/>
      <c r="ABM11" s="237"/>
      <c r="ABN11" s="237"/>
      <c r="ABO11" s="237"/>
      <c r="ABP11" s="237"/>
      <c r="ABQ11" s="237"/>
      <c r="ABR11" s="237"/>
      <c r="ABS11" s="237"/>
      <c r="ABT11" s="237"/>
      <c r="ABU11" s="237"/>
      <c r="ABV11" s="237"/>
      <c r="ABW11" s="237"/>
      <c r="ABX11" s="237"/>
      <c r="ABY11" s="237"/>
      <c r="ABZ11" s="237"/>
      <c r="ACA11" s="237"/>
      <c r="ACB11" s="237"/>
      <c r="ACC11" s="237"/>
      <c r="ACD11" s="237"/>
      <c r="ACE11" s="237"/>
      <c r="ACF11" s="237"/>
      <c r="ACG11" s="237"/>
      <c r="ACH11" s="237"/>
      <c r="ACI11" s="237"/>
      <c r="ACJ11" s="237"/>
      <c r="ACK11" s="237"/>
      <c r="ACL11" s="237"/>
      <c r="ACM11" s="237"/>
      <c r="ACN11" s="237"/>
      <c r="ACO11" s="237"/>
      <c r="ACP11" s="237"/>
      <c r="ACQ11" s="237"/>
      <c r="ACR11" s="237"/>
      <c r="ACS11" s="237"/>
      <c r="ACT11" s="237"/>
      <c r="ACU11" s="237"/>
      <c r="ACV11" s="237"/>
      <c r="ACW11" s="237"/>
      <c r="ACX11" s="237"/>
      <c r="ACY11" s="237"/>
      <c r="ACZ11" s="237"/>
      <c r="ADA11" s="237"/>
      <c r="ADB11" s="237"/>
      <c r="ADC11" s="237"/>
      <c r="ADD11" s="237"/>
      <c r="ADE11" s="237"/>
      <c r="ADF11" s="237" t="s">
        <v>80</v>
      </c>
      <c r="ADG11" s="237"/>
      <c r="ADH11" s="237"/>
      <c r="ADI11" s="237"/>
      <c r="ADJ11" s="237"/>
      <c r="ADK11" s="237"/>
      <c r="ADL11" s="237"/>
      <c r="ADM11" s="237"/>
      <c r="ADN11" s="237"/>
      <c r="ADO11" s="237"/>
      <c r="ADP11" s="237"/>
      <c r="ADQ11" s="237"/>
      <c r="ADR11" s="237"/>
      <c r="ADS11" s="237"/>
      <c r="ADT11" s="237"/>
      <c r="ADU11" s="237"/>
      <c r="ADV11" s="237"/>
      <c r="ADW11" s="237"/>
      <c r="ADX11" s="237"/>
      <c r="ADY11" s="237"/>
      <c r="ADZ11" s="237"/>
      <c r="AEA11" s="237"/>
      <c r="AEB11" s="237"/>
      <c r="AEC11" s="237"/>
      <c r="AED11" s="237"/>
      <c r="AEE11" s="237"/>
      <c r="AEF11" s="237"/>
      <c r="AEG11" s="237"/>
      <c r="AEH11" s="237"/>
      <c r="AEI11" s="237"/>
      <c r="AEJ11" s="237"/>
      <c r="AEK11" s="237"/>
      <c r="AEL11" s="237"/>
      <c r="AEM11" s="237"/>
      <c r="AEN11" s="237"/>
      <c r="AEO11" s="237"/>
      <c r="AEP11" s="237"/>
      <c r="AEQ11" s="237"/>
      <c r="AER11" s="237"/>
      <c r="AES11" s="237"/>
      <c r="AET11" s="237"/>
      <c r="AEU11" s="237"/>
      <c r="AEV11" s="237"/>
      <c r="AEW11" s="237"/>
      <c r="AEX11" s="237"/>
      <c r="AEY11" s="237"/>
      <c r="AEZ11" s="237"/>
      <c r="AFA11" s="237"/>
      <c r="AFB11" s="237"/>
      <c r="AFC11" s="237"/>
      <c r="AFD11" s="237"/>
      <c r="AFE11" s="237"/>
      <c r="AFF11" s="237"/>
      <c r="AFG11" s="237"/>
      <c r="AFH11" s="237"/>
      <c r="AFI11" s="237"/>
      <c r="AFJ11" s="237"/>
      <c r="AFK11" s="237"/>
      <c r="AFL11" s="237"/>
      <c r="AFM11" s="237"/>
      <c r="AFN11" s="237" t="s">
        <v>80</v>
      </c>
      <c r="AFO11" s="237"/>
      <c r="AFP11" s="237"/>
      <c r="AFQ11" s="237"/>
      <c r="AFR11" s="237"/>
      <c r="AFS11" s="237"/>
      <c r="AFT11" s="237"/>
      <c r="AFU11" s="237"/>
      <c r="AFV11" s="237"/>
      <c r="AFW11" s="237"/>
      <c r="AFX11" s="237"/>
      <c r="AFY11" s="237"/>
      <c r="AFZ11" s="237"/>
      <c r="AGA11" s="237"/>
      <c r="AGB11" s="237"/>
      <c r="AGC11" s="237"/>
      <c r="AGD11" s="237"/>
      <c r="AGE11" s="237"/>
      <c r="AGF11" s="237"/>
      <c r="AGG11" s="237"/>
      <c r="AGH11" s="237"/>
      <c r="AGI11" s="237"/>
      <c r="AGJ11" s="237"/>
      <c r="AGK11" s="237"/>
      <c r="AGL11" s="237"/>
      <c r="AGM11" s="237"/>
      <c r="AGN11" s="237"/>
      <c r="AGO11" s="237"/>
      <c r="AGP11" s="237"/>
      <c r="AGQ11" s="237"/>
      <c r="AGR11" s="237"/>
      <c r="AGS11" s="237"/>
      <c r="AGT11" s="237"/>
      <c r="AGU11" s="237"/>
      <c r="AGV11" s="237"/>
      <c r="AGW11" s="237"/>
      <c r="AGX11" s="237"/>
      <c r="AGY11" s="237"/>
      <c r="AGZ11" s="237"/>
      <c r="AHA11" s="237"/>
      <c r="AHB11" s="237"/>
      <c r="AHC11" s="237"/>
      <c r="AHD11" s="237"/>
      <c r="AHE11" s="237"/>
      <c r="AHF11" s="237"/>
      <c r="AHG11" s="237"/>
      <c r="AHH11" s="237"/>
      <c r="AHI11" s="237"/>
      <c r="AHJ11" s="237"/>
      <c r="AHK11" s="237"/>
      <c r="AHL11" s="237"/>
      <c r="AHM11" s="237"/>
      <c r="AHN11" s="237"/>
      <c r="AHO11" s="237"/>
      <c r="AHP11" s="237"/>
      <c r="AHQ11" s="237"/>
      <c r="AHR11" s="237"/>
      <c r="AHS11" s="237"/>
      <c r="AHT11" s="237"/>
      <c r="AHU11" s="237"/>
      <c r="AHV11" s="237" t="s">
        <v>79</v>
      </c>
      <c r="AHW11" s="237"/>
      <c r="AHX11" s="237"/>
      <c r="AHY11" s="237"/>
      <c r="AHZ11" s="237"/>
      <c r="AIA11" s="237"/>
      <c r="AIB11" s="237"/>
      <c r="AIC11" s="237"/>
      <c r="AID11" s="237"/>
      <c r="AIE11" s="237"/>
      <c r="AIF11" s="237"/>
      <c r="AIG11" s="237"/>
      <c r="AIH11" s="237"/>
      <c r="AII11" s="237"/>
      <c r="AIJ11" s="237"/>
      <c r="AIK11" s="237"/>
      <c r="AIL11" s="237"/>
      <c r="AIM11" s="237"/>
      <c r="AIN11" s="237"/>
      <c r="AIO11" s="237"/>
      <c r="AIP11" s="237"/>
      <c r="AIQ11" s="237"/>
      <c r="AIR11" s="237"/>
      <c r="AIS11" s="237"/>
      <c r="AIT11" s="237"/>
      <c r="AIU11" s="237"/>
      <c r="AIV11" s="237"/>
      <c r="AIW11" s="237"/>
      <c r="AIX11" s="237"/>
      <c r="AIY11" s="237"/>
      <c r="AIZ11" s="237"/>
      <c r="AJA11" s="237"/>
      <c r="AJB11" s="237"/>
      <c r="AJC11" s="237"/>
      <c r="AJD11" s="237"/>
      <c r="AJE11" s="237"/>
      <c r="AJF11" s="237"/>
      <c r="AJG11" s="237"/>
      <c r="AJH11" s="237"/>
      <c r="AJI11" s="237"/>
      <c r="AJJ11" s="237"/>
      <c r="AJK11" s="237"/>
      <c r="AJL11" s="237"/>
      <c r="AJM11" s="237"/>
      <c r="AJN11" s="237"/>
      <c r="AJO11" s="237"/>
      <c r="AJP11" s="237"/>
      <c r="AJQ11" s="237"/>
      <c r="AJR11" s="237"/>
      <c r="AJS11" s="237"/>
      <c r="AJT11" s="237"/>
      <c r="AJU11" s="237"/>
      <c r="AJV11" s="237"/>
      <c r="AJW11" s="237"/>
      <c r="AJX11" s="237"/>
      <c r="AJY11" s="237"/>
      <c r="AJZ11" s="237"/>
      <c r="AKA11" s="237"/>
      <c r="AKB11" s="237"/>
      <c r="AKC11" s="237"/>
      <c r="AKD11" s="237" t="s">
        <v>79</v>
      </c>
      <c r="AKE11" s="237"/>
      <c r="AKF11" s="237"/>
      <c r="AKG11" s="237"/>
      <c r="AKH11" s="237"/>
      <c r="AKI11" s="237"/>
      <c r="AKJ11" s="237"/>
      <c r="AKK11" s="237"/>
      <c r="AKL11" s="237"/>
      <c r="AKM11" s="237"/>
      <c r="AKN11" s="237"/>
      <c r="AKO11" s="237"/>
      <c r="AKP11" s="237"/>
      <c r="AKQ11" s="237"/>
      <c r="AKR11" s="237"/>
      <c r="AKS11" s="237"/>
      <c r="AKT11" s="237"/>
      <c r="AKU11" s="237"/>
      <c r="AKV11" s="237"/>
      <c r="AKW11" s="237"/>
      <c r="AKX11" s="237"/>
      <c r="AKY11" s="237"/>
      <c r="AKZ11" s="237"/>
      <c r="ALA11" s="237"/>
      <c r="ALB11" s="237"/>
      <c r="ALC11" s="237"/>
      <c r="ALD11" s="237"/>
      <c r="ALE11" s="237"/>
      <c r="ALF11" s="237"/>
      <c r="ALG11" s="237"/>
      <c r="ALH11" s="237"/>
      <c r="ALI11" s="237"/>
      <c r="ALJ11" s="237"/>
      <c r="ALK11" s="237"/>
      <c r="ALL11" s="237"/>
      <c r="ALM11" s="237"/>
      <c r="ALN11" s="237"/>
      <c r="ALO11" s="237"/>
      <c r="ALP11" s="237"/>
      <c r="ALQ11" s="237"/>
      <c r="ALR11" s="237"/>
      <c r="ALS11" s="237"/>
      <c r="ALT11" s="237"/>
      <c r="ALU11" s="237"/>
      <c r="ALV11" s="237"/>
      <c r="ALW11" s="237"/>
      <c r="ALX11" s="237"/>
      <c r="ALY11" s="237"/>
      <c r="ALZ11" s="237"/>
      <c r="AMA11" s="237"/>
      <c r="AMB11" s="237"/>
      <c r="AMC11" s="237"/>
      <c r="AMD11" s="237"/>
      <c r="AME11" s="237"/>
      <c r="AMF11" s="237"/>
      <c r="AMG11" s="237"/>
      <c r="AMH11" s="237"/>
      <c r="AMI11" s="237"/>
      <c r="AMJ11" s="237"/>
      <c r="AMK11" s="237"/>
      <c r="AML11" s="237" t="s">
        <v>78</v>
      </c>
      <c r="AMM11" s="237"/>
      <c r="AMN11" s="237"/>
      <c r="AMO11" s="237"/>
      <c r="AMP11" s="237"/>
      <c r="AMQ11" s="237"/>
      <c r="AMR11" s="237"/>
      <c r="AMS11" s="237"/>
      <c r="AMT11" s="237"/>
      <c r="AMU11" s="237"/>
      <c r="AMV11" s="237"/>
      <c r="AMW11" s="237"/>
      <c r="AMX11" s="237"/>
      <c r="AMY11" s="237"/>
      <c r="AMZ11" s="237"/>
      <c r="ANA11" s="237"/>
      <c r="ANB11" s="237"/>
      <c r="ANC11" s="237"/>
      <c r="AND11" s="237"/>
      <c r="ANE11" s="237"/>
      <c r="ANF11" s="237"/>
      <c r="ANG11" s="237"/>
      <c r="ANH11" s="237"/>
      <c r="ANI11" s="237"/>
      <c r="ANJ11" s="237"/>
      <c r="ANK11" s="237"/>
      <c r="ANL11" s="237"/>
      <c r="ANM11" s="237"/>
      <c r="ANN11" s="237"/>
      <c r="ANO11" s="237"/>
      <c r="ANP11" s="237"/>
      <c r="ANQ11" s="237"/>
      <c r="ANR11" s="237"/>
      <c r="ANS11" s="237"/>
      <c r="ANT11" s="237"/>
      <c r="ANU11" s="237"/>
      <c r="ANV11" s="237"/>
      <c r="ANW11" s="237"/>
      <c r="ANX11" s="237"/>
      <c r="ANY11" s="237"/>
      <c r="ANZ11" s="237"/>
      <c r="AOA11" s="237"/>
      <c r="AOB11" s="237"/>
      <c r="AOC11" s="237"/>
      <c r="AOD11" s="237"/>
      <c r="AOE11" s="237"/>
      <c r="AOF11" s="237"/>
      <c r="AOG11" s="237"/>
      <c r="AOH11" s="237"/>
      <c r="AOI11" s="237"/>
      <c r="AOJ11" s="237"/>
      <c r="AOK11" s="237"/>
      <c r="AOL11" s="237"/>
      <c r="AOM11" s="237"/>
      <c r="AON11" s="237"/>
      <c r="AOO11" s="237"/>
      <c r="AOP11" s="237"/>
      <c r="AOQ11" s="237"/>
      <c r="AOR11" s="237"/>
      <c r="AOS11" s="237"/>
      <c r="AOT11" s="237" t="s">
        <v>77</v>
      </c>
      <c r="AOU11" s="237"/>
      <c r="AOV11" s="237"/>
      <c r="AOW11" s="237"/>
      <c r="AOX11" s="237"/>
      <c r="AOY11" s="237"/>
      <c r="AOZ11" s="237"/>
      <c r="APA11" s="237"/>
      <c r="APB11" s="237"/>
      <c r="APC11" s="237"/>
      <c r="APD11" s="237"/>
      <c r="APE11" s="237"/>
      <c r="APF11" s="237"/>
      <c r="APG11" s="237"/>
      <c r="APH11" s="237"/>
      <c r="API11" s="237"/>
      <c r="APJ11" s="237"/>
      <c r="APK11" s="237"/>
      <c r="APL11" s="237"/>
      <c r="APM11" s="237"/>
      <c r="APN11" s="237"/>
      <c r="APO11" s="237"/>
      <c r="APP11" s="237"/>
      <c r="APQ11" s="237"/>
      <c r="APR11" s="237"/>
      <c r="APS11" s="237"/>
      <c r="APT11" s="237"/>
      <c r="APU11" s="237"/>
      <c r="APV11" s="237"/>
      <c r="APW11" s="237"/>
      <c r="APX11" s="237"/>
      <c r="APY11" s="237"/>
      <c r="APZ11" s="237"/>
      <c r="AQA11" s="237"/>
      <c r="AQB11" s="237"/>
      <c r="AQC11" s="237"/>
      <c r="AQD11" s="237"/>
      <c r="AQE11" s="237"/>
      <c r="AQF11" s="237"/>
      <c r="AQG11" s="237"/>
      <c r="AQH11" s="237"/>
      <c r="AQI11" s="237"/>
      <c r="AQJ11" s="237"/>
      <c r="AQK11" s="237"/>
      <c r="AQL11" s="237"/>
      <c r="AQM11" s="237"/>
      <c r="AQN11" s="237"/>
      <c r="AQO11" s="237"/>
      <c r="AQP11" s="237"/>
      <c r="AQQ11" s="237"/>
      <c r="AQR11" s="237"/>
      <c r="AQS11" s="237"/>
      <c r="AQT11" s="237"/>
      <c r="AQU11" s="237"/>
      <c r="AQV11" s="237"/>
      <c r="AQW11" s="237"/>
      <c r="AQX11" s="237"/>
      <c r="AQY11" s="237"/>
      <c r="AQZ11" s="237"/>
      <c r="ARA11" s="237"/>
      <c r="ARB11" s="237" t="s">
        <v>77</v>
      </c>
      <c r="ARC11" s="237"/>
      <c r="ARD11" s="237"/>
      <c r="ARE11" s="237"/>
      <c r="ARF11" s="237"/>
      <c r="ARG11" s="237"/>
      <c r="ARH11" s="237"/>
      <c r="ARI11" s="237"/>
      <c r="ARJ11" s="237"/>
      <c r="ARK11" s="237"/>
      <c r="ARL11" s="237"/>
      <c r="ARM11" s="237"/>
      <c r="ARN11" s="237"/>
      <c r="ARO11" s="237"/>
      <c r="ARP11" s="237"/>
      <c r="ARQ11" s="237"/>
      <c r="ARR11" s="237"/>
      <c r="ARS11" s="237"/>
      <c r="ART11" s="237"/>
      <c r="ARU11" s="237"/>
      <c r="ARV11" s="237"/>
      <c r="ARW11" s="237"/>
      <c r="ARX11" s="237"/>
      <c r="ARY11" s="237"/>
      <c r="ARZ11" s="237"/>
      <c r="ASA11" s="237"/>
      <c r="ASB11" s="237"/>
      <c r="ASC11" s="237"/>
      <c r="ASD11" s="237"/>
      <c r="ASE11" s="237"/>
      <c r="ASF11" s="237"/>
      <c r="ASG11" s="237"/>
      <c r="ASH11" s="237"/>
      <c r="ASI11" s="237"/>
      <c r="ASJ11" s="237"/>
      <c r="ASK11" s="237"/>
      <c r="ASL11" s="237"/>
      <c r="ASM11" s="237"/>
      <c r="ASN11" s="237"/>
      <c r="ASO11" s="237"/>
      <c r="ASP11" s="237"/>
      <c r="ASQ11" s="237"/>
      <c r="ASR11" s="237"/>
      <c r="ASS11" s="237"/>
      <c r="AST11" s="237"/>
      <c r="ASU11" s="237"/>
      <c r="ASV11" s="237"/>
      <c r="ASW11" s="237"/>
      <c r="ASX11" s="237"/>
      <c r="ASY11" s="237"/>
      <c r="ASZ11" s="237"/>
      <c r="ATA11" s="237"/>
      <c r="ATB11" s="237"/>
      <c r="ATC11" s="237"/>
      <c r="ATD11" s="237"/>
      <c r="ATE11" s="237"/>
      <c r="ATF11" s="237"/>
      <c r="ATG11" s="237"/>
      <c r="ATH11" s="237"/>
      <c r="ATI11" s="237"/>
      <c r="ATJ11" s="237" t="s">
        <v>76</v>
      </c>
      <c r="ATK11" s="237"/>
      <c r="ATL11" s="237"/>
      <c r="ATM11" s="237"/>
      <c r="ATN11" s="237"/>
      <c r="ATO11" s="237"/>
      <c r="ATP11" s="237"/>
      <c r="ATQ11" s="237"/>
      <c r="ATR11" s="237"/>
      <c r="ATS11" s="237"/>
      <c r="ATT11" s="237"/>
      <c r="ATU11" s="237"/>
      <c r="ATV11" s="237"/>
      <c r="ATW11" s="237"/>
      <c r="ATX11" s="237"/>
      <c r="ATY11" s="237"/>
      <c r="ATZ11" s="237"/>
      <c r="AUA11" s="237"/>
      <c r="AUB11" s="237"/>
      <c r="AUC11" s="237"/>
      <c r="AUD11" s="237"/>
      <c r="AUE11" s="237"/>
      <c r="AUF11" s="237"/>
      <c r="AUG11" s="237"/>
      <c r="AUH11" s="237"/>
      <c r="AUI11" s="237"/>
      <c r="AUJ11" s="237"/>
      <c r="AUK11" s="237"/>
      <c r="AUL11" s="237"/>
      <c r="AUM11" s="237"/>
      <c r="AUN11" s="237"/>
      <c r="AUO11" s="237"/>
      <c r="AUP11" s="237"/>
      <c r="AUQ11" s="237"/>
      <c r="AUR11" s="237"/>
      <c r="AUS11" s="237"/>
      <c r="AUT11" s="237"/>
      <c r="AUU11" s="237"/>
      <c r="AUV11" s="237"/>
      <c r="AUW11" s="237"/>
      <c r="AUX11" s="237"/>
      <c r="AUY11" s="237"/>
      <c r="AUZ11" s="237"/>
      <c r="AVA11" s="237"/>
      <c r="AVB11" s="237"/>
      <c r="AVC11" s="237"/>
      <c r="AVD11" s="237"/>
      <c r="AVE11" s="237"/>
      <c r="AVF11" s="237"/>
      <c r="AVG11" s="237"/>
      <c r="AVH11" s="237"/>
      <c r="AVI11" s="237"/>
      <c r="AVJ11" s="237"/>
      <c r="AVK11" s="237"/>
      <c r="AVL11" s="237"/>
      <c r="AVM11" s="237"/>
      <c r="AVN11" s="237"/>
      <c r="AVO11" s="237"/>
      <c r="AVP11" s="237"/>
      <c r="AVQ11" s="237"/>
      <c r="AVR11" s="237" t="s">
        <v>75</v>
      </c>
      <c r="AVS11" s="237"/>
      <c r="AVT11" s="237"/>
      <c r="AVU11" s="237"/>
      <c r="AVV11" s="237"/>
      <c r="AVW11" s="237"/>
      <c r="AVX11" s="237"/>
      <c r="AVY11" s="237"/>
      <c r="AVZ11" s="237"/>
      <c r="AWA11" s="237"/>
      <c r="AWB11" s="237"/>
      <c r="AWC11" s="237"/>
      <c r="AWD11" s="237"/>
      <c r="AWE11" s="237"/>
      <c r="AWF11" s="237"/>
      <c r="AWG11" s="237"/>
      <c r="AWH11" s="237"/>
      <c r="AWI11" s="237"/>
      <c r="AWJ11" s="237"/>
      <c r="AWK11" s="237"/>
      <c r="AWL11" s="237"/>
      <c r="AWM11" s="237"/>
      <c r="AWN11" s="237"/>
      <c r="AWO11" s="237"/>
      <c r="AWP11" s="237"/>
      <c r="AWQ11" s="237"/>
      <c r="AWR11" s="237"/>
      <c r="AWS11" s="237"/>
      <c r="AWT11" s="237"/>
      <c r="AWU11" s="237"/>
      <c r="AWV11" s="237"/>
      <c r="AWW11" s="237"/>
      <c r="AWX11" s="237"/>
      <c r="AWY11" s="237"/>
      <c r="AWZ11" s="237"/>
      <c r="AXA11" s="237"/>
      <c r="AXB11" s="237"/>
      <c r="AXC11" s="237"/>
      <c r="AXD11" s="237"/>
      <c r="AXE11" s="237"/>
      <c r="AXF11" s="237"/>
      <c r="AXG11" s="237"/>
      <c r="AXH11" s="237"/>
      <c r="AXI11" s="237"/>
      <c r="AXJ11" s="237"/>
      <c r="AXK11" s="237"/>
      <c r="AXL11" s="237"/>
      <c r="AXM11" s="237"/>
      <c r="AXN11" s="237"/>
      <c r="AXO11" s="237"/>
      <c r="AXP11" s="237"/>
      <c r="AXQ11" s="237"/>
      <c r="AXR11" s="237"/>
      <c r="AXS11" s="237"/>
      <c r="AXT11" s="237"/>
      <c r="AXU11" s="237"/>
      <c r="AXV11" s="237"/>
      <c r="AXW11" s="237"/>
      <c r="AXX11" s="237"/>
      <c r="AXY11" s="237"/>
      <c r="AXZ11" s="237" t="s">
        <v>75</v>
      </c>
      <c r="AYA11" s="237"/>
      <c r="AYB11" s="237"/>
      <c r="AYC11" s="237"/>
      <c r="AYD11" s="237"/>
      <c r="AYE11" s="237"/>
      <c r="AYF11" s="237"/>
      <c r="AYG11" s="237"/>
      <c r="AYH11" s="237"/>
      <c r="AYI11" s="237"/>
      <c r="AYJ11" s="237"/>
      <c r="AYK11" s="237"/>
      <c r="AYL11" s="237"/>
      <c r="AYM11" s="237"/>
      <c r="AYN11" s="237"/>
      <c r="AYO11" s="237"/>
      <c r="AYP11" s="237"/>
      <c r="AYQ11" s="237"/>
      <c r="AYR11" s="237"/>
      <c r="AYS11" s="237"/>
      <c r="AYT11" s="237"/>
      <c r="AYU11" s="237"/>
      <c r="AYV11" s="237"/>
      <c r="AYW11" s="237"/>
      <c r="AYX11" s="237"/>
      <c r="AYY11" s="237"/>
      <c r="AYZ11" s="237"/>
      <c r="AZA11" s="237"/>
      <c r="AZB11" s="237"/>
      <c r="AZC11" s="237"/>
      <c r="AZD11" s="237"/>
      <c r="AZE11" s="237"/>
      <c r="AZF11" s="237"/>
      <c r="AZG11" s="237"/>
      <c r="AZH11" s="237"/>
      <c r="AZI11" s="237"/>
      <c r="AZJ11" s="237"/>
      <c r="AZK11" s="237"/>
      <c r="AZL11" s="237"/>
      <c r="AZM11" s="237"/>
      <c r="AZN11" s="237"/>
      <c r="AZO11" s="237"/>
      <c r="AZP11" s="237"/>
      <c r="AZQ11" s="237"/>
      <c r="AZR11" s="237"/>
      <c r="AZS11" s="237"/>
      <c r="AZT11" s="237"/>
      <c r="AZU11" s="237"/>
      <c r="AZV11" s="237"/>
      <c r="AZW11" s="237"/>
      <c r="AZX11" s="237"/>
      <c r="AZY11" s="237"/>
      <c r="AZZ11" s="237"/>
      <c r="BAA11" s="237"/>
      <c r="BAB11" s="237"/>
      <c r="BAC11" s="237"/>
      <c r="BAD11" s="237"/>
      <c r="BAE11" s="237"/>
      <c r="BAF11" s="237"/>
      <c r="BAG11" s="237"/>
      <c r="BAH11" s="237" t="s">
        <v>74</v>
      </c>
      <c r="BAI11" s="237"/>
      <c r="BAJ11" s="237"/>
      <c r="BAK11" s="237"/>
      <c r="BAL11" s="237"/>
      <c r="BAM11" s="237"/>
      <c r="BAN11" s="237"/>
      <c r="BAO11" s="237"/>
      <c r="BAP11" s="237"/>
      <c r="BAQ11" s="237"/>
      <c r="BAR11" s="237"/>
      <c r="BAS11" s="237"/>
      <c r="BAT11" s="237"/>
      <c r="BAU11" s="237"/>
      <c r="BAV11" s="237"/>
      <c r="BAW11" s="237"/>
      <c r="BAX11" s="237"/>
      <c r="BAY11" s="237"/>
      <c r="BAZ11" s="237"/>
      <c r="BBA11" s="237"/>
      <c r="BBB11" s="237"/>
      <c r="BBC11" s="237"/>
      <c r="BBD11" s="237"/>
      <c r="BBE11" s="237"/>
      <c r="BBF11" s="237"/>
      <c r="BBG11" s="237"/>
      <c r="BBH11" s="237"/>
      <c r="BBI11" s="237"/>
      <c r="BBJ11" s="237"/>
      <c r="BBK11" s="237"/>
      <c r="BBL11" s="237"/>
      <c r="BBM11" s="237"/>
      <c r="BBN11" s="237"/>
      <c r="BBO11" s="237"/>
      <c r="BBP11" s="237"/>
      <c r="BBQ11" s="237"/>
      <c r="BBR11" s="237"/>
      <c r="BBS11" s="237"/>
      <c r="BBT11" s="237"/>
      <c r="BBU11" s="237"/>
      <c r="BBV11" s="237"/>
      <c r="BBW11" s="237"/>
      <c r="BBX11" s="237"/>
      <c r="BBY11" s="237"/>
      <c r="BBZ11" s="237"/>
      <c r="BCA11" s="237"/>
      <c r="BCB11" s="237"/>
      <c r="BCC11" s="237"/>
      <c r="BCD11" s="237"/>
      <c r="BCE11" s="237"/>
      <c r="BCF11" s="237"/>
      <c r="BCG11" s="237"/>
      <c r="BCH11" s="237"/>
      <c r="BCI11" s="237"/>
      <c r="BCJ11" s="237"/>
      <c r="BCK11" s="237"/>
      <c r="BCL11" s="237"/>
      <c r="BCM11" s="237"/>
      <c r="BCN11" s="237"/>
      <c r="BCO11" s="237"/>
      <c r="BCP11" s="237" t="s">
        <v>74</v>
      </c>
      <c r="BCQ11" s="237"/>
      <c r="BCR11" s="237"/>
      <c r="BCS11" s="237"/>
      <c r="BCT11" s="237"/>
      <c r="BCU11" s="237"/>
      <c r="BCV11" s="237"/>
      <c r="BCW11" s="237"/>
      <c r="BCX11" s="237"/>
      <c r="BCY11" s="237"/>
      <c r="BCZ11" s="237"/>
      <c r="BDA11" s="237"/>
      <c r="BDB11" s="237"/>
      <c r="BDC11" s="237"/>
      <c r="BDD11" s="237"/>
      <c r="BDE11" s="237"/>
      <c r="BDF11" s="237"/>
      <c r="BDG11" s="237"/>
      <c r="BDH11" s="237"/>
      <c r="BDI11" s="237"/>
      <c r="BDJ11" s="237"/>
      <c r="BDK11" s="237"/>
      <c r="BDL11" s="237"/>
      <c r="BDM11" s="237"/>
      <c r="BDN11" s="237"/>
      <c r="BDO11" s="237"/>
      <c r="BDP11" s="237"/>
      <c r="BDQ11" s="237"/>
      <c r="BDR11" s="237"/>
      <c r="BDS11" s="237"/>
      <c r="BDT11" s="237"/>
      <c r="BDU11" s="237"/>
      <c r="BDV11" s="237"/>
      <c r="BDW11" s="237"/>
      <c r="BDX11" s="237"/>
      <c r="BDY11" s="237"/>
      <c r="BDZ11" s="237"/>
      <c r="BEA11" s="237"/>
      <c r="BEB11" s="237"/>
      <c r="BEC11" s="237"/>
      <c r="BED11" s="237"/>
      <c r="BEE11" s="237"/>
      <c r="BEF11" s="237"/>
      <c r="BEG11" s="237"/>
      <c r="BEH11" s="237"/>
      <c r="BEI11" s="237"/>
      <c r="BEJ11" s="237"/>
      <c r="BEK11" s="237"/>
      <c r="BEL11" s="237"/>
      <c r="BEM11" s="237"/>
      <c r="BEN11" s="237"/>
      <c r="BEO11" s="237"/>
      <c r="BEP11" s="237"/>
      <c r="BEQ11" s="237"/>
      <c r="BER11" s="237"/>
      <c r="BES11" s="237"/>
      <c r="BET11" s="237"/>
      <c r="BEU11" s="237"/>
      <c r="BEV11" s="237"/>
      <c r="BEW11" s="237"/>
      <c r="BEX11" s="237" t="s">
        <v>86</v>
      </c>
      <c r="BEY11" s="237"/>
      <c r="BEZ11" s="237"/>
      <c r="BFA11" s="237"/>
      <c r="BFB11" s="237"/>
      <c r="BFC11" s="237"/>
      <c r="BFD11" s="237"/>
      <c r="BFE11" s="237"/>
      <c r="BFF11" s="237"/>
      <c r="BFG11" s="237"/>
      <c r="BFH11" s="237"/>
      <c r="BFI11" s="237"/>
      <c r="BFJ11" s="237"/>
      <c r="BFK11" s="237"/>
      <c r="BFL11" s="237"/>
      <c r="BFM11" s="237"/>
      <c r="BFN11" s="237"/>
      <c r="BFO11" s="237"/>
      <c r="BFP11" s="237"/>
      <c r="BFQ11" s="237"/>
      <c r="BFR11" s="237"/>
      <c r="BFS11" s="237"/>
      <c r="BFT11" s="237"/>
      <c r="BFU11" s="237"/>
      <c r="BFV11" s="237"/>
      <c r="BFW11" s="237"/>
      <c r="BFX11" s="237"/>
      <c r="BFY11" s="237"/>
      <c r="BFZ11" s="237"/>
      <c r="BGA11" s="237"/>
      <c r="BGB11" s="237"/>
      <c r="BGC11" s="237"/>
      <c r="BGD11" s="237"/>
      <c r="BGE11" s="237"/>
      <c r="BGF11" s="237"/>
      <c r="BGG11" s="237"/>
      <c r="BGH11" s="237"/>
      <c r="BGI11" s="237"/>
      <c r="BGJ11" s="237"/>
      <c r="BGK11" s="237"/>
      <c r="BGL11" s="237"/>
      <c r="BGM11" s="237"/>
      <c r="BGN11" s="237"/>
      <c r="BGO11" s="237"/>
      <c r="BGP11" s="237"/>
      <c r="BGQ11" s="237"/>
      <c r="BGR11" s="237"/>
      <c r="BGS11" s="237"/>
      <c r="BGT11" s="237"/>
      <c r="BGU11" s="237"/>
      <c r="BGV11" s="237"/>
      <c r="BGW11" s="237"/>
      <c r="BGX11" s="237"/>
      <c r="BGY11" s="237"/>
      <c r="BGZ11" s="237"/>
      <c r="BHA11" s="237"/>
      <c r="BHB11" s="237"/>
      <c r="BHC11" s="237"/>
      <c r="BHD11" s="237"/>
      <c r="BHE11" s="237"/>
      <c r="BHF11" s="90"/>
      <c r="BJN11" s="3" t="s">
        <v>41</v>
      </c>
      <c r="BLV11" s="3" t="s">
        <v>41</v>
      </c>
      <c r="BOD11" s="3" t="s">
        <v>41</v>
      </c>
      <c r="BQL11" s="3" t="s">
        <v>41</v>
      </c>
      <c r="BST11" s="3" t="s">
        <v>41</v>
      </c>
    </row>
    <row r="12" spans="1:1866" ht="15.75" customHeight="1" thickBot="1" x14ac:dyDescent="0.3">
      <c r="B12" s="97"/>
      <c r="C12" s="241"/>
      <c r="D12" s="241"/>
      <c r="E12" s="241"/>
      <c r="F12" s="224" t="s">
        <v>43</v>
      </c>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44</v>
      </c>
      <c r="BO12" s="224"/>
      <c r="BP12" s="224"/>
      <c r="BQ12" s="224"/>
      <c r="BR12" s="224"/>
      <c r="BS12" s="224"/>
      <c r="BT12" s="224"/>
      <c r="BU12" s="224"/>
      <c r="BV12" s="224"/>
      <c r="BW12" s="224"/>
      <c r="BX12" s="224"/>
      <c r="BY12" s="224"/>
      <c r="BZ12" s="224"/>
      <c r="CA12" s="224"/>
      <c r="CB12" s="224"/>
      <c r="CC12" s="224"/>
      <c r="CD12" s="224"/>
      <c r="CE12" s="224"/>
      <c r="CF12" s="224"/>
      <c r="CG12" s="224"/>
      <c r="CH12" s="224"/>
      <c r="CI12" s="224"/>
      <c r="CJ12" s="224"/>
      <c r="CK12" s="224"/>
      <c r="CL12" s="224"/>
      <c r="CM12" s="224"/>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38" t="s">
        <v>43</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38" t="s">
        <v>44</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43</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44</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44</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43</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44</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44</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43</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44</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43</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44</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43</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44</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43</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44</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44</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43</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44</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44</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43</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44</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43</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44</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90"/>
    </row>
    <row r="13" spans="1:1866" ht="42.75" customHeight="1" thickBot="1" x14ac:dyDescent="0.3">
      <c r="B13" s="96"/>
      <c r="C13" s="250" t="s">
        <v>7</v>
      </c>
      <c r="D13" s="143"/>
      <c r="E13" s="228" t="s">
        <v>39</v>
      </c>
      <c r="F13" s="233" t="s">
        <v>8</v>
      </c>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5"/>
      <c r="BN13" s="233" t="s">
        <v>28</v>
      </c>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5"/>
      <c r="DV13" s="233" t="s">
        <v>19</v>
      </c>
      <c r="DW13" s="234"/>
      <c r="DX13" s="234"/>
      <c r="DY13" s="234"/>
      <c r="DZ13" s="234"/>
      <c r="EA13" s="234"/>
      <c r="EB13" s="234"/>
      <c r="EC13" s="234"/>
      <c r="ED13" s="234"/>
      <c r="EE13" s="234"/>
      <c r="EF13" s="234"/>
      <c r="EG13" s="234"/>
      <c r="EH13" s="234"/>
      <c r="EI13" s="234"/>
      <c r="EJ13" s="234"/>
      <c r="EK13" s="234"/>
      <c r="EL13" s="234"/>
      <c r="EM13" s="234"/>
      <c r="EN13" s="234"/>
      <c r="EO13" s="234"/>
      <c r="EP13" s="234"/>
      <c r="EQ13" s="234"/>
      <c r="ER13" s="234"/>
      <c r="ES13" s="234"/>
      <c r="ET13" s="234"/>
      <c r="EU13" s="234"/>
      <c r="EV13" s="234"/>
      <c r="EW13" s="234"/>
      <c r="EX13" s="234"/>
      <c r="EY13" s="234"/>
      <c r="EZ13" s="234"/>
      <c r="FA13" s="234"/>
      <c r="FB13" s="234"/>
      <c r="FC13" s="234"/>
      <c r="FD13" s="234"/>
      <c r="FE13" s="234"/>
      <c r="FF13" s="234"/>
      <c r="FG13" s="234"/>
      <c r="FH13" s="234"/>
      <c r="FI13" s="234"/>
      <c r="FJ13" s="234"/>
      <c r="FK13" s="234"/>
      <c r="FL13" s="234"/>
      <c r="FM13" s="234"/>
      <c r="FN13" s="234"/>
      <c r="FO13" s="234"/>
      <c r="FP13" s="234"/>
      <c r="FQ13" s="234"/>
      <c r="FR13" s="234"/>
      <c r="FS13" s="234"/>
      <c r="FT13" s="234"/>
      <c r="FU13" s="234"/>
      <c r="FV13" s="234"/>
      <c r="FW13" s="234"/>
      <c r="FX13" s="234"/>
      <c r="FY13" s="234"/>
      <c r="FZ13" s="234"/>
      <c r="GA13" s="234"/>
      <c r="GB13" s="234"/>
      <c r="GC13" s="235"/>
      <c r="GD13" s="233" t="s">
        <v>42</v>
      </c>
      <c r="GE13" s="234"/>
      <c r="GF13" s="234"/>
      <c r="GG13" s="234"/>
      <c r="GH13" s="234"/>
      <c r="GI13" s="234"/>
      <c r="GJ13" s="234"/>
      <c r="GK13" s="234"/>
      <c r="GL13" s="234"/>
      <c r="GM13" s="234"/>
      <c r="GN13" s="234"/>
      <c r="GO13" s="234"/>
      <c r="GP13" s="234"/>
      <c r="GQ13" s="234"/>
      <c r="GR13" s="234"/>
      <c r="GS13" s="234"/>
      <c r="GT13" s="234"/>
      <c r="GU13" s="234"/>
      <c r="GV13" s="234"/>
      <c r="GW13" s="234"/>
      <c r="GX13" s="234"/>
      <c r="GY13" s="234"/>
      <c r="GZ13" s="234"/>
      <c r="HA13" s="234"/>
      <c r="HB13" s="234"/>
      <c r="HC13" s="234"/>
      <c r="HD13" s="234"/>
      <c r="HE13" s="234"/>
      <c r="HF13" s="234"/>
      <c r="HG13" s="234"/>
      <c r="HH13" s="234"/>
      <c r="HI13" s="234"/>
      <c r="HJ13" s="234"/>
      <c r="HK13" s="234"/>
      <c r="HL13" s="234"/>
      <c r="HM13" s="234"/>
      <c r="HN13" s="234"/>
      <c r="HO13" s="234"/>
      <c r="HP13" s="234"/>
      <c r="HQ13" s="234"/>
      <c r="HR13" s="234"/>
      <c r="HS13" s="234"/>
      <c r="HT13" s="234"/>
      <c r="HU13" s="234"/>
      <c r="HV13" s="234"/>
      <c r="HW13" s="234"/>
      <c r="HX13" s="234"/>
      <c r="HY13" s="234"/>
      <c r="HZ13" s="234"/>
      <c r="IA13" s="234"/>
      <c r="IB13" s="234"/>
      <c r="IC13" s="234"/>
      <c r="ID13" s="234"/>
      <c r="IE13" s="234"/>
      <c r="IF13" s="234"/>
      <c r="IG13" s="234"/>
      <c r="IH13" s="234"/>
      <c r="II13" s="234"/>
      <c r="IJ13" s="234"/>
      <c r="IK13" s="235"/>
      <c r="IL13" s="233" t="s">
        <v>71</v>
      </c>
      <c r="IM13" s="234"/>
      <c r="IN13" s="234"/>
      <c r="IO13" s="234"/>
      <c r="IP13" s="234"/>
      <c r="IQ13" s="234"/>
      <c r="IR13" s="234"/>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5"/>
      <c r="KT13" s="233" t="s">
        <v>70</v>
      </c>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5"/>
      <c r="NB13" s="233" t="s">
        <v>69</v>
      </c>
      <c r="NC13" s="234"/>
      <c r="ND13" s="234"/>
      <c r="NE13" s="234"/>
      <c r="NF13" s="234"/>
      <c r="NG13" s="234"/>
      <c r="NH13" s="234"/>
      <c r="NI13" s="234"/>
      <c r="NJ13" s="234"/>
      <c r="NK13" s="234"/>
      <c r="NL13" s="234"/>
      <c r="NM13" s="234"/>
      <c r="NN13" s="234"/>
      <c r="NO13" s="234"/>
      <c r="NP13" s="234"/>
      <c r="NQ13" s="234"/>
      <c r="NR13" s="234"/>
      <c r="NS13" s="234"/>
      <c r="NT13" s="234"/>
      <c r="NU13" s="234"/>
      <c r="NV13" s="234"/>
      <c r="NW13" s="234"/>
      <c r="NX13" s="234"/>
      <c r="NY13" s="234"/>
      <c r="NZ13" s="234"/>
      <c r="OA13" s="234"/>
      <c r="OB13" s="234"/>
      <c r="OC13" s="234"/>
      <c r="OD13" s="234"/>
      <c r="OE13" s="234"/>
      <c r="OF13" s="234"/>
      <c r="OG13" s="234"/>
      <c r="OH13" s="234"/>
      <c r="OI13" s="234"/>
      <c r="OJ13" s="234"/>
      <c r="OK13" s="234"/>
      <c r="OL13" s="234"/>
      <c r="OM13" s="234"/>
      <c r="ON13" s="234"/>
      <c r="OO13" s="234"/>
      <c r="OP13" s="234"/>
      <c r="OQ13" s="234"/>
      <c r="OR13" s="234"/>
      <c r="OS13" s="234"/>
      <c r="OT13" s="234"/>
      <c r="OU13" s="234"/>
      <c r="OV13" s="234"/>
      <c r="OW13" s="234"/>
      <c r="OX13" s="234"/>
      <c r="OY13" s="234"/>
      <c r="OZ13" s="234"/>
      <c r="PA13" s="234"/>
      <c r="PB13" s="234"/>
      <c r="PC13" s="234"/>
      <c r="PD13" s="234"/>
      <c r="PE13" s="234"/>
      <c r="PF13" s="234"/>
      <c r="PG13" s="234"/>
      <c r="PH13" s="234"/>
      <c r="PI13" s="235"/>
      <c r="PJ13" s="233" t="s">
        <v>68</v>
      </c>
      <c r="PK13" s="234"/>
      <c r="PL13" s="234"/>
      <c r="PM13" s="234"/>
      <c r="PN13" s="234"/>
      <c r="PO13" s="234"/>
      <c r="PP13" s="234"/>
      <c r="PQ13" s="234"/>
      <c r="PR13" s="234"/>
      <c r="PS13" s="234"/>
      <c r="PT13" s="234"/>
      <c r="PU13" s="234"/>
      <c r="PV13" s="234"/>
      <c r="PW13" s="234"/>
      <c r="PX13" s="234"/>
      <c r="PY13" s="234"/>
      <c r="PZ13" s="234"/>
      <c r="QA13" s="234"/>
      <c r="QB13" s="234"/>
      <c r="QC13" s="234"/>
      <c r="QD13" s="234"/>
      <c r="QE13" s="234"/>
      <c r="QF13" s="234"/>
      <c r="QG13" s="234"/>
      <c r="QH13" s="234"/>
      <c r="QI13" s="234"/>
      <c r="QJ13" s="234"/>
      <c r="QK13" s="234"/>
      <c r="QL13" s="234"/>
      <c r="QM13" s="234"/>
      <c r="QN13" s="234"/>
      <c r="QO13" s="234"/>
      <c r="QP13" s="234"/>
      <c r="QQ13" s="234"/>
      <c r="QR13" s="234"/>
      <c r="QS13" s="234"/>
      <c r="QT13" s="234"/>
      <c r="QU13" s="234"/>
      <c r="QV13" s="234"/>
      <c r="QW13" s="234"/>
      <c r="QX13" s="234"/>
      <c r="QY13" s="234"/>
      <c r="QZ13" s="234"/>
      <c r="RA13" s="234"/>
      <c r="RB13" s="234"/>
      <c r="RC13" s="234"/>
      <c r="RD13" s="234"/>
      <c r="RE13" s="234"/>
      <c r="RF13" s="234"/>
      <c r="RG13" s="234"/>
      <c r="RH13" s="234"/>
      <c r="RI13" s="234"/>
      <c r="RJ13" s="234"/>
      <c r="RK13" s="234"/>
      <c r="RL13" s="234"/>
      <c r="RM13" s="234"/>
      <c r="RN13" s="234"/>
      <c r="RO13" s="234"/>
      <c r="RP13" s="234"/>
      <c r="RQ13" s="235"/>
      <c r="RR13" s="233" t="s">
        <v>67</v>
      </c>
      <c r="RS13" s="234"/>
      <c r="RT13" s="234"/>
      <c r="RU13" s="234"/>
      <c r="RV13" s="234"/>
      <c r="RW13" s="234"/>
      <c r="RX13" s="234"/>
      <c r="RY13" s="234"/>
      <c r="RZ13" s="234"/>
      <c r="SA13" s="234"/>
      <c r="SB13" s="234"/>
      <c r="SC13" s="234"/>
      <c r="SD13" s="234"/>
      <c r="SE13" s="234"/>
      <c r="SF13" s="234"/>
      <c r="SG13" s="234"/>
      <c r="SH13" s="234"/>
      <c r="SI13" s="234"/>
      <c r="SJ13" s="234"/>
      <c r="SK13" s="234"/>
      <c r="SL13" s="234"/>
      <c r="SM13" s="234"/>
      <c r="SN13" s="234"/>
      <c r="SO13" s="234"/>
      <c r="SP13" s="234"/>
      <c r="SQ13" s="234"/>
      <c r="SR13" s="234"/>
      <c r="SS13" s="234"/>
      <c r="ST13" s="234"/>
      <c r="SU13" s="234"/>
      <c r="SV13" s="234"/>
      <c r="SW13" s="234"/>
      <c r="SX13" s="234"/>
      <c r="SY13" s="234"/>
      <c r="SZ13" s="234"/>
      <c r="TA13" s="234"/>
      <c r="TB13" s="234"/>
      <c r="TC13" s="234"/>
      <c r="TD13" s="234"/>
      <c r="TE13" s="234"/>
      <c r="TF13" s="234"/>
      <c r="TG13" s="234"/>
      <c r="TH13" s="234"/>
      <c r="TI13" s="234"/>
      <c r="TJ13" s="234"/>
      <c r="TK13" s="234"/>
      <c r="TL13" s="234"/>
      <c r="TM13" s="234"/>
      <c r="TN13" s="234"/>
      <c r="TO13" s="234"/>
      <c r="TP13" s="234"/>
      <c r="TQ13" s="234"/>
      <c r="TR13" s="234"/>
      <c r="TS13" s="234"/>
      <c r="TT13" s="234"/>
      <c r="TU13" s="234"/>
      <c r="TV13" s="234"/>
      <c r="TW13" s="234"/>
      <c r="TX13" s="234"/>
      <c r="TY13" s="235"/>
      <c r="TZ13" s="233" t="s">
        <v>66</v>
      </c>
      <c r="UA13" s="234"/>
      <c r="UB13" s="234"/>
      <c r="UC13" s="234"/>
      <c r="UD13" s="234"/>
      <c r="UE13" s="234"/>
      <c r="UF13" s="234"/>
      <c r="UG13" s="234"/>
      <c r="UH13" s="234"/>
      <c r="UI13" s="234"/>
      <c r="UJ13" s="234"/>
      <c r="UK13" s="234"/>
      <c r="UL13" s="234"/>
      <c r="UM13" s="234"/>
      <c r="UN13" s="234"/>
      <c r="UO13" s="234"/>
      <c r="UP13" s="234"/>
      <c r="UQ13" s="234"/>
      <c r="UR13" s="234"/>
      <c r="US13" s="234"/>
      <c r="UT13" s="234"/>
      <c r="UU13" s="234"/>
      <c r="UV13" s="234"/>
      <c r="UW13" s="234"/>
      <c r="UX13" s="234"/>
      <c r="UY13" s="234"/>
      <c r="UZ13" s="234"/>
      <c r="VA13" s="234"/>
      <c r="VB13" s="234"/>
      <c r="VC13" s="234"/>
      <c r="VD13" s="234"/>
      <c r="VE13" s="234"/>
      <c r="VF13" s="234"/>
      <c r="VG13" s="234"/>
      <c r="VH13" s="234"/>
      <c r="VI13" s="234"/>
      <c r="VJ13" s="234"/>
      <c r="VK13" s="234"/>
      <c r="VL13" s="234"/>
      <c r="VM13" s="234"/>
      <c r="VN13" s="234"/>
      <c r="VO13" s="234"/>
      <c r="VP13" s="234"/>
      <c r="VQ13" s="234"/>
      <c r="VR13" s="234"/>
      <c r="VS13" s="234"/>
      <c r="VT13" s="234"/>
      <c r="VU13" s="234"/>
      <c r="VV13" s="234"/>
      <c r="VW13" s="234"/>
      <c r="VX13" s="234"/>
      <c r="VY13" s="234"/>
      <c r="VZ13" s="234"/>
      <c r="WA13" s="234"/>
      <c r="WB13" s="234"/>
      <c r="WC13" s="234"/>
      <c r="WD13" s="234"/>
      <c r="WE13" s="234"/>
      <c r="WF13" s="234"/>
      <c r="WG13" s="235"/>
      <c r="WH13" s="233" t="s">
        <v>65</v>
      </c>
      <c r="WI13" s="234"/>
      <c r="WJ13" s="234"/>
      <c r="WK13" s="234"/>
      <c r="WL13" s="234"/>
      <c r="WM13" s="234"/>
      <c r="WN13" s="234"/>
      <c r="WO13" s="234"/>
      <c r="WP13" s="234"/>
      <c r="WQ13" s="234"/>
      <c r="WR13" s="234"/>
      <c r="WS13" s="234"/>
      <c r="WT13" s="234"/>
      <c r="WU13" s="234"/>
      <c r="WV13" s="234"/>
      <c r="WW13" s="234"/>
      <c r="WX13" s="234"/>
      <c r="WY13" s="234"/>
      <c r="WZ13" s="234"/>
      <c r="XA13" s="234"/>
      <c r="XB13" s="234"/>
      <c r="XC13" s="234"/>
      <c r="XD13" s="234"/>
      <c r="XE13" s="234"/>
      <c r="XF13" s="234"/>
      <c r="XG13" s="234"/>
      <c r="XH13" s="234"/>
      <c r="XI13" s="234"/>
      <c r="XJ13" s="234"/>
      <c r="XK13" s="234"/>
      <c r="XL13" s="234"/>
      <c r="XM13" s="234"/>
      <c r="XN13" s="234"/>
      <c r="XO13" s="234"/>
      <c r="XP13" s="234"/>
      <c r="XQ13" s="234"/>
      <c r="XR13" s="234"/>
      <c r="XS13" s="234"/>
      <c r="XT13" s="234"/>
      <c r="XU13" s="234"/>
      <c r="XV13" s="234"/>
      <c r="XW13" s="234"/>
      <c r="XX13" s="234"/>
      <c r="XY13" s="234"/>
      <c r="XZ13" s="234"/>
      <c r="YA13" s="234"/>
      <c r="YB13" s="234"/>
      <c r="YC13" s="234"/>
      <c r="YD13" s="234"/>
      <c r="YE13" s="234"/>
      <c r="YF13" s="234"/>
      <c r="YG13" s="234"/>
      <c r="YH13" s="234"/>
      <c r="YI13" s="234"/>
      <c r="YJ13" s="234"/>
      <c r="YK13" s="234"/>
      <c r="YL13" s="234"/>
      <c r="YM13" s="234"/>
      <c r="YN13" s="234"/>
      <c r="YO13" s="235"/>
      <c r="YP13" s="233" t="s">
        <v>64</v>
      </c>
      <c r="YQ13" s="234"/>
      <c r="YR13" s="234"/>
      <c r="YS13" s="234"/>
      <c r="YT13" s="234"/>
      <c r="YU13" s="234"/>
      <c r="YV13" s="234"/>
      <c r="YW13" s="234"/>
      <c r="YX13" s="234"/>
      <c r="YY13" s="234"/>
      <c r="YZ13" s="234"/>
      <c r="ZA13" s="234"/>
      <c r="ZB13" s="234"/>
      <c r="ZC13" s="234"/>
      <c r="ZD13" s="234"/>
      <c r="ZE13" s="234"/>
      <c r="ZF13" s="234"/>
      <c r="ZG13" s="234"/>
      <c r="ZH13" s="234"/>
      <c r="ZI13" s="234"/>
      <c r="ZJ13" s="234"/>
      <c r="ZK13" s="234"/>
      <c r="ZL13" s="234"/>
      <c r="ZM13" s="234"/>
      <c r="ZN13" s="234"/>
      <c r="ZO13" s="234"/>
      <c r="ZP13" s="234"/>
      <c r="ZQ13" s="234"/>
      <c r="ZR13" s="234"/>
      <c r="ZS13" s="234"/>
      <c r="ZT13" s="234"/>
      <c r="ZU13" s="234"/>
      <c r="ZV13" s="234"/>
      <c r="ZW13" s="234"/>
      <c r="ZX13" s="234"/>
      <c r="ZY13" s="234"/>
      <c r="ZZ13" s="234"/>
      <c r="AAA13" s="234"/>
      <c r="AAB13" s="234"/>
      <c r="AAC13" s="234"/>
      <c r="AAD13" s="234"/>
      <c r="AAE13" s="234"/>
      <c r="AAF13" s="234"/>
      <c r="AAG13" s="234"/>
      <c r="AAH13" s="234"/>
      <c r="AAI13" s="234"/>
      <c r="AAJ13" s="234"/>
      <c r="AAK13" s="234"/>
      <c r="AAL13" s="234"/>
      <c r="AAM13" s="234"/>
      <c r="AAN13" s="234"/>
      <c r="AAO13" s="234"/>
      <c r="AAP13" s="234"/>
      <c r="AAQ13" s="234"/>
      <c r="AAR13" s="234"/>
      <c r="AAS13" s="234"/>
      <c r="AAT13" s="234"/>
      <c r="AAU13" s="234"/>
      <c r="AAV13" s="234"/>
      <c r="AAW13" s="235"/>
      <c r="AAX13" s="233" t="s">
        <v>63</v>
      </c>
      <c r="AAY13" s="234"/>
      <c r="AAZ13" s="234"/>
      <c r="ABA13" s="234"/>
      <c r="ABB13" s="234"/>
      <c r="ABC13" s="234"/>
      <c r="ABD13" s="234"/>
      <c r="ABE13" s="234"/>
      <c r="ABF13" s="234"/>
      <c r="ABG13" s="234"/>
      <c r="ABH13" s="234"/>
      <c r="ABI13" s="234"/>
      <c r="ABJ13" s="234"/>
      <c r="ABK13" s="234"/>
      <c r="ABL13" s="234"/>
      <c r="ABM13" s="234"/>
      <c r="ABN13" s="234"/>
      <c r="ABO13" s="234"/>
      <c r="ABP13" s="234"/>
      <c r="ABQ13" s="234"/>
      <c r="ABR13" s="234"/>
      <c r="ABS13" s="234"/>
      <c r="ABT13" s="234"/>
      <c r="ABU13" s="234"/>
      <c r="ABV13" s="234"/>
      <c r="ABW13" s="234"/>
      <c r="ABX13" s="234"/>
      <c r="ABY13" s="234"/>
      <c r="ABZ13" s="234"/>
      <c r="ACA13" s="234"/>
      <c r="ACB13" s="234"/>
      <c r="ACC13" s="234"/>
      <c r="ACD13" s="234"/>
      <c r="ACE13" s="234"/>
      <c r="ACF13" s="234"/>
      <c r="ACG13" s="234"/>
      <c r="ACH13" s="234"/>
      <c r="ACI13" s="234"/>
      <c r="ACJ13" s="234"/>
      <c r="ACK13" s="234"/>
      <c r="ACL13" s="234"/>
      <c r="ACM13" s="234"/>
      <c r="ACN13" s="234"/>
      <c r="ACO13" s="234"/>
      <c r="ACP13" s="234"/>
      <c r="ACQ13" s="234"/>
      <c r="ACR13" s="234"/>
      <c r="ACS13" s="234"/>
      <c r="ACT13" s="234"/>
      <c r="ACU13" s="234"/>
      <c r="ACV13" s="234"/>
      <c r="ACW13" s="234"/>
      <c r="ACX13" s="234"/>
      <c r="ACY13" s="234"/>
      <c r="ACZ13" s="234"/>
      <c r="ADA13" s="234"/>
      <c r="ADB13" s="234"/>
      <c r="ADC13" s="234"/>
      <c r="ADD13" s="234"/>
      <c r="ADE13" s="235"/>
      <c r="ADF13" s="233" t="s">
        <v>62</v>
      </c>
      <c r="ADG13" s="234"/>
      <c r="ADH13" s="234"/>
      <c r="ADI13" s="234"/>
      <c r="ADJ13" s="234"/>
      <c r="ADK13" s="234"/>
      <c r="ADL13" s="234"/>
      <c r="ADM13" s="234"/>
      <c r="ADN13" s="234"/>
      <c r="ADO13" s="234"/>
      <c r="ADP13" s="234"/>
      <c r="ADQ13" s="234"/>
      <c r="ADR13" s="234"/>
      <c r="ADS13" s="234"/>
      <c r="ADT13" s="234"/>
      <c r="ADU13" s="234"/>
      <c r="ADV13" s="234"/>
      <c r="ADW13" s="234"/>
      <c r="ADX13" s="234"/>
      <c r="ADY13" s="234"/>
      <c r="ADZ13" s="234"/>
      <c r="AEA13" s="234"/>
      <c r="AEB13" s="234"/>
      <c r="AEC13" s="234"/>
      <c r="AED13" s="234"/>
      <c r="AEE13" s="234"/>
      <c r="AEF13" s="234"/>
      <c r="AEG13" s="234"/>
      <c r="AEH13" s="234"/>
      <c r="AEI13" s="234"/>
      <c r="AEJ13" s="234"/>
      <c r="AEK13" s="234"/>
      <c r="AEL13" s="234"/>
      <c r="AEM13" s="234"/>
      <c r="AEN13" s="234"/>
      <c r="AEO13" s="234"/>
      <c r="AEP13" s="234"/>
      <c r="AEQ13" s="234"/>
      <c r="AER13" s="234"/>
      <c r="AES13" s="234"/>
      <c r="AET13" s="234"/>
      <c r="AEU13" s="234"/>
      <c r="AEV13" s="234"/>
      <c r="AEW13" s="234"/>
      <c r="AEX13" s="234"/>
      <c r="AEY13" s="234"/>
      <c r="AEZ13" s="234"/>
      <c r="AFA13" s="234"/>
      <c r="AFB13" s="234"/>
      <c r="AFC13" s="234"/>
      <c r="AFD13" s="234"/>
      <c r="AFE13" s="234"/>
      <c r="AFF13" s="234"/>
      <c r="AFG13" s="234"/>
      <c r="AFH13" s="234"/>
      <c r="AFI13" s="234"/>
      <c r="AFJ13" s="234"/>
      <c r="AFK13" s="234"/>
      <c r="AFL13" s="234"/>
      <c r="AFM13" s="235"/>
      <c r="AFN13" s="233" t="s">
        <v>61</v>
      </c>
      <c r="AFO13" s="234"/>
      <c r="AFP13" s="234"/>
      <c r="AFQ13" s="234"/>
      <c r="AFR13" s="234"/>
      <c r="AFS13" s="234"/>
      <c r="AFT13" s="234"/>
      <c r="AFU13" s="234"/>
      <c r="AFV13" s="234"/>
      <c r="AFW13" s="234"/>
      <c r="AFX13" s="234"/>
      <c r="AFY13" s="234"/>
      <c r="AFZ13" s="234"/>
      <c r="AGA13" s="234"/>
      <c r="AGB13" s="234"/>
      <c r="AGC13" s="234"/>
      <c r="AGD13" s="234"/>
      <c r="AGE13" s="234"/>
      <c r="AGF13" s="234"/>
      <c r="AGG13" s="234"/>
      <c r="AGH13" s="234"/>
      <c r="AGI13" s="234"/>
      <c r="AGJ13" s="234"/>
      <c r="AGK13" s="234"/>
      <c r="AGL13" s="234"/>
      <c r="AGM13" s="234"/>
      <c r="AGN13" s="234"/>
      <c r="AGO13" s="234"/>
      <c r="AGP13" s="234"/>
      <c r="AGQ13" s="234"/>
      <c r="AGR13" s="234"/>
      <c r="AGS13" s="234"/>
      <c r="AGT13" s="234"/>
      <c r="AGU13" s="234"/>
      <c r="AGV13" s="234"/>
      <c r="AGW13" s="234"/>
      <c r="AGX13" s="234"/>
      <c r="AGY13" s="234"/>
      <c r="AGZ13" s="234"/>
      <c r="AHA13" s="234"/>
      <c r="AHB13" s="234"/>
      <c r="AHC13" s="234"/>
      <c r="AHD13" s="234"/>
      <c r="AHE13" s="234"/>
      <c r="AHF13" s="234"/>
      <c r="AHG13" s="234"/>
      <c r="AHH13" s="234"/>
      <c r="AHI13" s="234"/>
      <c r="AHJ13" s="234"/>
      <c r="AHK13" s="234"/>
      <c r="AHL13" s="234"/>
      <c r="AHM13" s="234"/>
      <c r="AHN13" s="234"/>
      <c r="AHO13" s="234"/>
      <c r="AHP13" s="234"/>
      <c r="AHQ13" s="234"/>
      <c r="AHR13" s="234"/>
      <c r="AHS13" s="234"/>
      <c r="AHT13" s="234"/>
      <c r="AHU13" s="235"/>
      <c r="AHV13" s="233" t="s">
        <v>60</v>
      </c>
      <c r="AHW13" s="234"/>
      <c r="AHX13" s="234"/>
      <c r="AHY13" s="234"/>
      <c r="AHZ13" s="234"/>
      <c r="AIA13" s="234"/>
      <c r="AIB13" s="234"/>
      <c r="AIC13" s="234"/>
      <c r="AID13" s="234"/>
      <c r="AIE13" s="234"/>
      <c r="AIF13" s="234"/>
      <c r="AIG13" s="234"/>
      <c r="AIH13" s="234"/>
      <c r="AII13" s="234"/>
      <c r="AIJ13" s="234"/>
      <c r="AIK13" s="234"/>
      <c r="AIL13" s="234"/>
      <c r="AIM13" s="234"/>
      <c r="AIN13" s="234"/>
      <c r="AIO13" s="234"/>
      <c r="AIP13" s="234"/>
      <c r="AIQ13" s="234"/>
      <c r="AIR13" s="234"/>
      <c r="AIS13" s="234"/>
      <c r="AIT13" s="234"/>
      <c r="AIU13" s="234"/>
      <c r="AIV13" s="234"/>
      <c r="AIW13" s="234"/>
      <c r="AIX13" s="234"/>
      <c r="AIY13" s="234"/>
      <c r="AIZ13" s="234"/>
      <c r="AJA13" s="234"/>
      <c r="AJB13" s="234"/>
      <c r="AJC13" s="234"/>
      <c r="AJD13" s="234"/>
      <c r="AJE13" s="234"/>
      <c r="AJF13" s="234"/>
      <c r="AJG13" s="234"/>
      <c r="AJH13" s="234"/>
      <c r="AJI13" s="234"/>
      <c r="AJJ13" s="234"/>
      <c r="AJK13" s="234"/>
      <c r="AJL13" s="234"/>
      <c r="AJM13" s="234"/>
      <c r="AJN13" s="234"/>
      <c r="AJO13" s="234"/>
      <c r="AJP13" s="234"/>
      <c r="AJQ13" s="234"/>
      <c r="AJR13" s="234"/>
      <c r="AJS13" s="234"/>
      <c r="AJT13" s="234"/>
      <c r="AJU13" s="234"/>
      <c r="AJV13" s="234"/>
      <c r="AJW13" s="234"/>
      <c r="AJX13" s="234"/>
      <c r="AJY13" s="234"/>
      <c r="AJZ13" s="234"/>
      <c r="AKA13" s="234"/>
      <c r="AKB13" s="234"/>
      <c r="AKC13" s="235"/>
      <c r="AKD13" s="233" t="s">
        <v>59</v>
      </c>
      <c r="AKE13" s="234"/>
      <c r="AKF13" s="234"/>
      <c r="AKG13" s="234"/>
      <c r="AKH13" s="234"/>
      <c r="AKI13" s="234"/>
      <c r="AKJ13" s="234"/>
      <c r="AKK13" s="234"/>
      <c r="AKL13" s="234"/>
      <c r="AKM13" s="234"/>
      <c r="AKN13" s="234"/>
      <c r="AKO13" s="234"/>
      <c r="AKP13" s="234"/>
      <c r="AKQ13" s="234"/>
      <c r="AKR13" s="234"/>
      <c r="AKS13" s="234"/>
      <c r="AKT13" s="234"/>
      <c r="AKU13" s="234"/>
      <c r="AKV13" s="234"/>
      <c r="AKW13" s="234"/>
      <c r="AKX13" s="234"/>
      <c r="AKY13" s="234"/>
      <c r="AKZ13" s="234"/>
      <c r="ALA13" s="234"/>
      <c r="ALB13" s="234"/>
      <c r="ALC13" s="234"/>
      <c r="ALD13" s="234"/>
      <c r="ALE13" s="234"/>
      <c r="ALF13" s="234"/>
      <c r="ALG13" s="234"/>
      <c r="ALH13" s="234"/>
      <c r="ALI13" s="234"/>
      <c r="ALJ13" s="234"/>
      <c r="ALK13" s="234"/>
      <c r="ALL13" s="234"/>
      <c r="ALM13" s="234"/>
      <c r="ALN13" s="234"/>
      <c r="ALO13" s="234"/>
      <c r="ALP13" s="234"/>
      <c r="ALQ13" s="234"/>
      <c r="ALR13" s="234"/>
      <c r="ALS13" s="234"/>
      <c r="ALT13" s="234"/>
      <c r="ALU13" s="234"/>
      <c r="ALV13" s="234"/>
      <c r="ALW13" s="234"/>
      <c r="ALX13" s="234"/>
      <c r="ALY13" s="234"/>
      <c r="ALZ13" s="234"/>
      <c r="AMA13" s="234"/>
      <c r="AMB13" s="234"/>
      <c r="AMC13" s="234"/>
      <c r="AMD13" s="234"/>
      <c r="AME13" s="234"/>
      <c r="AMF13" s="234"/>
      <c r="AMG13" s="234"/>
      <c r="AMH13" s="234"/>
      <c r="AMI13" s="234"/>
      <c r="AMJ13" s="234"/>
      <c r="AMK13" s="235"/>
      <c r="AML13" s="233" t="s">
        <v>58</v>
      </c>
      <c r="AMM13" s="234"/>
      <c r="AMN13" s="234"/>
      <c r="AMO13" s="234"/>
      <c r="AMP13" s="234"/>
      <c r="AMQ13" s="234"/>
      <c r="AMR13" s="234"/>
      <c r="AMS13" s="234"/>
      <c r="AMT13" s="234"/>
      <c r="AMU13" s="234"/>
      <c r="AMV13" s="234"/>
      <c r="AMW13" s="234"/>
      <c r="AMX13" s="234"/>
      <c r="AMY13" s="234"/>
      <c r="AMZ13" s="234"/>
      <c r="ANA13" s="234"/>
      <c r="ANB13" s="234"/>
      <c r="ANC13" s="234"/>
      <c r="AND13" s="234"/>
      <c r="ANE13" s="234"/>
      <c r="ANF13" s="234"/>
      <c r="ANG13" s="234"/>
      <c r="ANH13" s="234"/>
      <c r="ANI13" s="234"/>
      <c r="ANJ13" s="234"/>
      <c r="ANK13" s="234"/>
      <c r="ANL13" s="234"/>
      <c r="ANM13" s="234"/>
      <c r="ANN13" s="234"/>
      <c r="ANO13" s="234"/>
      <c r="ANP13" s="234"/>
      <c r="ANQ13" s="234"/>
      <c r="ANR13" s="234"/>
      <c r="ANS13" s="234"/>
      <c r="ANT13" s="234"/>
      <c r="ANU13" s="234"/>
      <c r="ANV13" s="234"/>
      <c r="ANW13" s="234"/>
      <c r="ANX13" s="234"/>
      <c r="ANY13" s="234"/>
      <c r="ANZ13" s="234"/>
      <c r="AOA13" s="234"/>
      <c r="AOB13" s="234"/>
      <c r="AOC13" s="234"/>
      <c r="AOD13" s="234"/>
      <c r="AOE13" s="234"/>
      <c r="AOF13" s="234"/>
      <c r="AOG13" s="234"/>
      <c r="AOH13" s="234"/>
      <c r="AOI13" s="234"/>
      <c r="AOJ13" s="234"/>
      <c r="AOK13" s="234"/>
      <c r="AOL13" s="234"/>
      <c r="AOM13" s="234"/>
      <c r="AON13" s="234"/>
      <c r="AOO13" s="234"/>
      <c r="AOP13" s="234"/>
      <c r="AOQ13" s="234"/>
      <c r="AOR13" s="234"/>
      <c r="AOS13" s="235"/>
      <c r="AOT13" s="233" t="s">
        <v>57</v>
      </c>
      <c r="AOU13" s="234"/>
      <c r="AOV13" s="234"/>
      <c r="AOW13" s="234"/>
      <c r="AOX13" s="234"/>
      <c r="AOY13" s="234"/>
      <c r="AOZ13" s="234"/>
      <c r="APA13" s="234"/>
      <c r="APB13" s="234"/>
      <c r="APC13" s="234"/>
      <c r="APD13" s="234"/>
      <c r="APE13" s="234"/>
      <c r="APF13" s="234"/>
      <c r="APG13" s="234"/>
      <c r="APH13" s="234"/>
      <c r="API13" s="234"/>
      <c r="APJ13" s="234"/>
      <c r="APK13" s="234"/>
      <c r="APL13" s="234"/>
      <c r="APM13" s="234"/>
      <c r="APN13" s="234"/>
      <c r="APO13" s="234"/>
      <c r="APP13" s="234"/>
      <c r="APQ13" s="234"/>
      <c r="APR13" s="234"/>
      <c r="APS13" s="234"/>
      <c r="APT13" s="234"/>
      <c r="APU13" s="234"/>
      <c r="APV13" s="234"/>
      <c r="APW13" s="234"/>
      <c r="APX13" s="234"/>
      <c r="APY13" s="234"/>
      <c r="APZ13" s="234"/>
      <c r="AQA13" s="234"/>
      <c r="AQB13" s="234"/>
      <c r="AQC13" s="234"/>
      <c r="AQD13" s="234"/>
      <c r="AQE13" s="234"/>
      <c r="AQF13" s="234"/>
      <c r="AQG13" s="234"/>
      <c r="AQH13" s="234"/>
      <c r="AQI13" s="234"/>
      <c r="AQJ13" s="234"/>
      <c r="AQK13" s="234"/>
      <c r="AQL13" s="234"/>
      <c r="AQM13" s="234"/>
      <c r="AQN13" s="234"/>
      <c r="AQO13" s="234"/>
      <c r="AQP13" s="234"/>
      <c r="AQQ13" s="234"/>
      <c r="AQR13" s="234"/>
      <c r="AQS13" s="234"/>
      <c r="AQT13" s="234"/>
      <c r="AQU13" s="234"/>
      <c r="AQV13" s="234"/>
      <c r="AQW13" s="234"/>
      <c r="AQX13" s="234"/>
      <c r="AQY13" s="234"/>
      <c r="AQZ13" s="234"/>
      <c r="ARA13" s="235"/>
      <c r="ARB13" s="233" t="s">
        <v>56</v>
      </c>
      <c r="ARC13" s="234"/>
      <c r="ARD13" s="234"/>
      <c r="ARE13" s="234"/>
      <c r="ARF13" s="234"/>
      <c r="ARG13" s="234"/>
      <c r="ARH13" s="234"/>
      <c r="ARI13" s="234"/>
      <c r="ARJ13" s="234"/>
      <c r="ARK13" s="234"/>
      <c r="ARL13" s="234"/>
      <c r="ARM13" s="234"/>
      <c r="ARN13" s="234"/>
      <c r="ARO13" s="234"/>
      <c r="ARP13" s="234"/>
      <c r="ARQ13" s="234"/>
      <c r="ARR13" s="234"/>
      <c r="ARS13" s="234"/>
      <c r="ART13" s="234"/>
      <c r="ARU13" s="234"/>
      <c r="ARV13" s="234"/>
      <c r="ARW13" s="234"/>
      <c r="ARX13" s="234"/>
      <c r="ARY13" s="234"/>
      <c r="ARZ13" s="234"/>
      <c r="ASA13" s="234"/>
      <c r="ASB13" s="234"/>
      <c r="ASC13" s="234"/>
      <c r="ASD13" s="234"/>
      <c r="ASE13" s="234"/>
      <c r="ASF13" s="234"/>
      <c r="ASG13" s="234"/>
      <c r="ASH13" s="234"/>
      <c r="ASI13" s="234"/>
      <c r="ASJ13" s="234"/>
      <c r="ASK13" s="234"/>
      <c r="ASL13" s="234"/>
      <c r="ASM13" s="234"/>
      <c r="ASN13" s="234"/>
      <c r="ASO13" s="234"/>
      <c r="ASP13" s="234"/>
      <c r="ASQ13" s="234"/>
      <c r="ASR13" s="234"/>
      <c r="ASS13" s="234"/>
      <c r="AST13" s="234"/>
      <c r="ASU13" s="234"/>
      <c r="ASV13" s="234"/>
      <c r="ASW13" s="234"/>
      <c r="ASX13" s="234"/>
      <c r="ASY13" s="234"/>
      <c r="ASZ13" s="234"/>
      <c r="ATA13" s="234"/>
      <c r="ATB13" s="234"/>
      <c r="ATC13" s="234"/>
      <c r="ATD13" s="234"/>
      <c r="ATE13" s="234"/>
      <c r="ATF13" s="234"/>
      <c r="ATG13" s="234"/>
      <c r="ATH13" s="234"/>
      <c r="ATI13" s="235"/>
      <c r="ATJ13" s="233" t="s">
        <v>55</v>
      </c>
      <c r="ATK13" s="234"/>
      <c r="ATL13" s="234"/>
      <c r="ATM13" s="234"/>
      <c r="ATN13" s="234"/>
      <c r="ATO13" s="234"/>
      <c r="ATP13" s="234"/>
      <c r="ATQ13" s="234"/>
      <c r="ATR13" s="234"/>
      <c r="ATS13" s="234"/>
      <c r="ATT13" s="234"/>
      <c r="ATU13" s="234"/>
      <c r="ATV13" s="234"/>
      <c r="ATW13" s="234"/>
      <c r="ATX13" s="234"/>
      <c r="ATY13" s="234"/>
      <c r="ATZ13" s="234"/>
      <c r="AUA13" s="234"/>
      <c r="AUB13" s="234"/>
      <c r="AUC13" s="234"/>
      <c r="AUD13" s="234"/>
      <c r="AUE13" s="234"/>
      <c r="AUF13" s="234"/>
      <c r="AUG13" s="234"/>
      <c r="AUH13" s="234"/>
      <c r="AUI13" s="234"/>
      <c r="AUJ13" s="234"/>
      <c r="AUK13" s="234"/>
      <c r="AUL13" s="234"/>
      <c r="AUM13" s="234"/>
      <c r="AUN13" s="234"/>
      <c r="AUO13" s="234"/>
      <c r="AUP13" s="234"/>
      <c r="AUQ13" s="234"/>
      <c r="AUR13" s="234"/>
      <c r="AUS13" s="234"/>
      <c r="AUT13" s="234"/>
      <c r="AUU13" s="234"/>
      <c r="AUV13" s="234"/>
      <c r="AUW13" s="234"/>
      <c r="AUX13" s="234"/>
      <c r="AUY13" s="234"/>
      <c r="AUZ13" s="234"/>
      <c r="AVA13" s="234"/>
      <c r="AVB13" s="234"/>
      <c r="AVC13" s="234"/>
      <c r="AVD13" s="234"/>
      <c r="AVE13" s="234"/>
      <c r="AVF13" s="234"/>
      <c r="AVG13" s="234"/>
      <c r="AVH13" s="234"/>
      <c r="AVI13" s="234"/>
      <c r="AVJ13" s="234"/>
      <c r="AVK13" s="234"/>
      <c r="AVL13" s="234"/>
      <c r="AVM13" s="234"/>
      <c r="AVN13" s="234"/>
      <c r="AVO13" s="234"/>
      <c r="AVP13" s="234"/>
      <c r="AVQ13" s="235"/>
      <c r="AVR13" s="233" t="s">
        <v>54</v>
      </c>
      <c r="AVS13" s="234"/>
      <c r="AVT13" s="234"/>
      <c r="AVU13" s="234"/>
      <c r="AVV13" s="234"/>
      <c r="AVW13" s="234"/>
      <c r="AVX13" s="234"/>
      <c r="AVY13" s="234"/>
      <c r="AVZ13" s="234"/>
      <c r="AWA13" s="234"/>
      <c r="AWB13" s="234"/>
      <c r="AWC13" s="234"/>
      <c r="AWD13" s="234"/>
      <c r="AWE13" s="234"/>
      <c r="AWF13" s="234"/>
      <c r="AWG13" s="234"/>
      <c r="AWH13" s="234"/>
      <c r="AWI13" s="234"/>
      <c r="AWJ13" s="234"/>
      <c r="AWK13" s="234"/>
      <c r="AWL13" s="234"/>
      <c r="AWM13" s="234"/>
      <c r="AWN13" s="234"/>
      <c r="AWO13" s="234"/>
      <c r="AWP13" s="234"/>
      <c r="AWQ13" s="234"/>
      <c r="AWR13" s="234"/>
      <c r="AWS13" s="234"/>
      <c r="AWT13" s="234"/>
      <c r="AWU13" s="234"/>
      <c r="AWV13" s="234"/>
      <c r="AWW13" s="234"/>
      <c r="AWX13" s="234"/>
      <c r="AWY13" s="234"/>
      <c r="AWZ13" s="234"/>
      <c r="AXA13" s="234"/>
      <c r="AXB13" s="234"/>
      <c r="AXC13" s="234"/>
      <c r="AXD13" s="234"/>
      <c r="AXE13" s="234"/>
      <c r="AXF13" s="234"/>
      <c r="AXG13" s="234"/>
      <c r="AXH13" s="234"/>
      <c r="AXI13" s="234"/>
      <c r="AXJ13" s="234"/>
      <c r="AXK13" s="234"/>
      <c r="AXL13" s="234"/>
      <c r="AXM13" s="234"/>
      <c r="AXN13" s="234"/>
      <c r="AXO13" s="234"/>
      <c r="AXP13" s="234"/>
      <c r="AXQ13" s="234"/>
      <c r="AXR13" s="234"/>
      <c r="AXS13" s="234"/>
      <c r="AXT13" s="234"/>
      <c r="AXU13" s="234"/>
      <c r="AXV13" s="234"/>
      <c r="AXW13" s="234"/>
      <c r="AXX13" s="234"/>
      <c r="AXY13" s="235"/>
      <c r="AXZ13" s="233" t="s">
        <v>53</v>
      </c>
      <c r="AYA13" s="234"/>
      <c r="AYB13" s="234"/>
      <c r="AYC13" s="234"/>
      <c r="AYD13" s="234"/>
      <c r="AYE13" s="234"/>
      <c r="AYF13" s="234"/>
      <c r="AYG13" s="234"/>
      <c r="AYH13" s="234"/>
      <c r="AYI13" s="234"/>
      <c r="AYJ13" s="234"/>
      <c r="AYK13" s="234"/>
      <c r="AYL13" s="234"/>
      <c r="AYM13" s="234"/>
      <c r="AYN13" s="234"/>
      <c r="AYO13" s="234"/>
      <c r="AYP13" s="234"/>
      <c r="AYQ13" s="234"/>
      <c r="AYR13" s="234"/>
      <c r="AYS13" s="234"/>
      <c r="AYT13" s="234"/>
      <c r="AYU13" s="234"/>
      <c r="AYV13" s="234"/>
      <c r="AYW13" s="234"/>
      <c r="AYX13" s="234"/>
      <c r="AYY13" s="234"/>
      <c r="AYZ13" s="234"/>
      <c r="AZA13" s="234"/>
      <c r="AZB13" s="234"/>
      <c r="AZC13" s="234"/>
      <c r="AZD13" s="234"/>
      <c r="AZE13" s="234"/>
      <c r="AZF13" s="234"/>
      <c r="AZG13" s="234"/>
      <c r="AZH13" s="234"/>
      <c r="AZI13" s="234"/>
      <c r="AZJ13" s="234"/>
      <c r="AZK13" s="234"/>
      <c r="AZL13" s="234"/>
      <c r="AZM13" s="234"/>
      <c r="AZN13" s="234"/>
      <c r="AZO13" s="234"/>
      <c r="AZP13" s="234"/>
      <c r="AZQ13" s="234"/>
      <c r="AZR13" s="234"/>
      <c r="AZS13" s="234"/>
      <c r="AZT13" s="234"/>
      <c r="AZU13" s="234"/>
      <c r="AZV13" s="234"/>
      <c r="AZW13" s="234"/>
      <c r="AZX13" s="234"/>
      <c r="AZY13" s="234"/>
      <c r="AZZ13" s="234"/>
      <c r="BAA13" s="234"/>
      <c r="BAB13" s="234"/>
      <c r="BAC13" s="234"/>
      <c r="BAD13" s="234"/>
      <c r="BAE13" s="234"/>
      <c r="BAF13" s="234"/>
      <c r="BAG13" s="235"/>
      <c r="BAH13" s="233" t="s">
        <v>52</v>
      </c>
      <c r="BAI13" s="234"/>
      <c r="BAJ13" s="234"/>
      <c r="BAK13" s="234"/>
      <c r="BAL13" s="234"/>
      <c r="BAM13" s="234"/>
      <c r="BAN13" s="234"/>
      <c r="BAO13" s="234"/>
      <c r="BAP13" s="234"/>
      <c r="BAQ13" s="234"/>
      <c r="BAR13" s="234"/>
      <c r="BAS13" s="234"/>
      <c r="BAT13" s="234"/>
      <c r="BAU13" s="234"/>
      <c r="BAV13" s="234"/>
      <c r="BAW13" s="234"/>
      <c r="BAX13" s="234"/>
      <c r="BAY13" s="234"/>
      <c r="BAZ13" s="234"/>
      <c r="BBA13" s="234"/>
      <c r="BBB13" s="234"/>
      <c r="BBC13" s="234"/>
      <c r="BBD13" s="234"/>
      <c r="BBE13" s="234"/>
      <c r="BBF13" s="234"/>
      <c r="BBG13" s="234"/>
      <c r="BBH13" s="234"/>
      <c r="BBI13" s="234"/>
      <c r="BBJ13" s="234"/>
      <c r="BBK13" s="234"/>
      <c r="BBL13" s="234"/>
      <c r="BBM13" s="234"/>
      <c r="BBN13" s="234"/>
      <c r="BBO13" s="234"/>
      <c r="BBP13" s="234"/>
      <c r="BBQ13" s="234"/>
      <c r="BBR13" s="234"/>
      <c r="BBS13" s="234"/>
      <c r="BBT13" s="234"/>
      <c r="BBU13" s="234"/>
      <c r="BBV13" s="234"/>
      <c r="BBW13" s="234"/>
      <c r="BBX13" s="234"/>
      <c r="BBY13" s="234"/>
      <c r="BBZ13" s="234"/>
      <c r="BCA13" s="234"/>
      <c r="BCB13" s="234"/>
      <c r="BCC13" s="234"/>
      <c r="BCD13" s="234"/>
      <c r="BCE13" s="234"/>
      <c r="BCF13" s="234"/>
      <c r="BCG13" s="234"/>
      <c r="BCH13" s="234"/>
      <c r="BCI13" s="234"/>
      <c r="BCJ13" s="234"/>
      <c r="BCK13" s="234"/>
      <c r="BCL13" s="234"/>
      <c r="BCM13" s="234"/>
      <c r="BCN13" s="234"/>
      <c r="BCO13" s="235"/>
      <c r="BCP13" s="233" t="s">
        <v>51</v>
      </c>
      <c r="BCQ13" s="234"/>
      <c r="BCR13" s="234"/>
      <c r="BCS13" s="234"/>
      <c r="BCT13" s="234"/>
      <c r="BCU13" s="234"/>
      <c r="BCV13" s="234"/>
      <c r="BCW13" s="234"/>
      <c r="BCX13" s="234"/>
      <c r="BCY13" s="234"/>
      <c r="BCZ13" s="234"/>
      <c r="BDA13" s="234"/>
      <c r="BDB13" s="234"/>
      <c r="BDC13" s="234"/>
      <c r="BDD13" s="234"/>
      <c r="BDE13" s="234"/>
      <c r="BDF13" s="234"/>
      <c r="BDG13" s="234"/>
      <c r="BDH13" s="234"/>
      <c r="BDI13" s="234"/>
      <c r="BDJ13" s="234"/>
      <c r="BDK13" s="234"/>
      <c r="BDL13" s="234"/>
      <c r="BDM13" s="234"/>
      <c r="BDN13" s="234"/>
      <c r="BDO13" s="234"/>
      <c r="BDP13" s="234"/>
      <c r="BDQ13" s="234"/>
      <c r="BDR13" s="234"/>
      <c r="BDS13" s="234"/>
      <c r="BDT13" s="234"/>
      <c r="BDU13" s="234"/>
      <c r="BDV13" s="234"/>
      <c r="BDW13" s="234"/>
      <c r="BDX13" s="234"/>
      <c r="BDY13" s="234"/>
      <c r="BDZ13" s="234"/>
      <c r="BEA13" s="234"/>
      <c r="BEB13" s="234"/>
      <c r="BEC13" s="234"/>
      <c r="BED13" s="234"/>
      <c r="BEE13" s="234"/>
      <c r="BEF13" s="234"/>
      <c r="BEG13" s="234"/>
      <c r="BEH13" s="234"/>
      <c r="BEI13" s="234"/>
      <c r="BEJ13" s="234"/>
      <c r="BEK13" s="234"/>
      <c r="BEL13" s="234"/>
      <c r="BEM13" s="234"/>
      <c r="BEN13" s="234"/>
      <c r="BEO13" s="234"/>
      <c r="BEP13" s="234"/>
      <c r="BEQ13" s="234"/>
      <c r="BER13" s="234"/>
      <c r="BES13" s="234"/>
      <c r="BET13" s="234"/>
      <c r="BEU13" s="234"/>
      <c r="BEV13" s="234"/>
      <c r="BEW13" s="235"/>
      <c r="BEX13" s="233" t="s">
        <v>50</v>
      </c>
      <c r="BEY13" s="234"/>
      <c r="BEZ13" s="234"/>
      <c r="BFA13" s="234"/>
      <c r="BFB13" s="234"/>
      <c r="BFC13" s="234"/>
      <c r="BFD13" s="234"/>
      <c r="BFE13" s="234"/>
      <c r="BFF13" s="234"/>
      <c r="BFG13" s="234"/>
      <c r="BFH13" s="234"/>
      <c r="BFI13" s="234"/>
      <c r="BFJ13" s="234"/>
      <c r="BFK13" s="234"/>
      <c r="BFL13" s="234"/>
      <c r="BFM13" s="234"/>
      <c r="BFN13" s="234"/>
      <c r="BFO13" s="234"/>
      <c r="BFP13" s="234"/>
      <c r="BFQ13" s="234"/>
      <c r="BFR13" s="234"/>
      <c r="BFS13" s="234"/>
      <c r="BFT13" s="234"/>
      <c r="BFU13" s="234"/>
      <c r="BFV13" s="234"/>
      <c r="BFW13" s="234"/>
      <c r="BFX13" s="234"/>
      <c r="BFY13" s="234"/>
      <c r="BFZ13" s="234"/>
      <c r="BGA13" s="234"/>
      <c r="BGB13" s="234"/>
      <c r="BGC13" s="234"/>
      <c r="BGD13" s="234"/>
      <c r="BGE13" s="234"/>
      <c r="BGF13" s="234"/>
      <c r="BGG13" s="234"/>
      <c r="BGH13" s="234"/>
      <c r="BGI13" s="234"/>
      <c r="BGJ13" s="234"/>
      <c r="BGK13" s="234"/>
      <c r="BGL13" s="234"/>
      <c r="BGM13" s="234"/>
      <c r="BGN13" s="234"/>
      <c r="BGO13" s="234"/>
      <c r="BGP13" s="234"/>
      <c r="BGQ13" s="234"/>
      <c r="BGR13" s="234"/>
      <c r="BGS13" s="234"/>
      <c r="BGT13" s="234"/>
      <c r="BGU13" s="234"/>
      <c r="BGV13" s="234"/>
      <c r="BGW13" s="234"/>
      <c r="BGX13" s="234"/>
      <c r="BGY13" s="234"/>
      <c r="BGZ13" s="234"/>
      <c r="BHA13" s="234"/>
      <c r="BHB13" s="234"/>
      <c r="BHC13" s="234"/>
      <c r="BHD13" s="234"/>
      <c r="BHE13" s="235"/>
      <c r="BHF13" s="90"/>
      <c r="BJN13" s="3" t="s">
        <v>49</v>
      </c>
      <c r="BLV13" s="3" t="s">
        <v>48</v>
      </c>
      <c r="BOD13" s="3" t="s">
        <v>47</v>
      </c>
      <c r="BQL13" s="3" t="s">
        <v>46</v>
      </c>
      <c r="BST13" s="3" t="s">
        <v>45</v>
      </c>
    </row>
    <row r="14" spans="1:1866" ht="12.75" customHeight="1" thickBot="1" x14ac:dyDescent="0.35">
      <c r="B14" s="96"/>
      <c r="C14" s="251"/>
      <c r="D14" s="144"/>
      <c r="E14" s="229"/>
      <c r="F14" s="102"/>
      <c r="G14" s="103"/>
      <c r="H14" s="103"/>
      <c r="I14" s="103"/>
      <c r="J14" s="232" t="s">
        <v>34</v>
      </c>
      <c r="K14" s="232"/>
      <c r="L14" s="232"/>
      <c r="M14" s="232"/>
      <c r="N14" s="103"/>
      <c r="O14" s="103"/>
      <c r="P14" s="231" t="s">
        <v>24</v>
      </c>
      <c r="Q14" s="231"/>
      <c r="R14" s="231"/>
      <c r="S14" s="231"/>
      <c r="T14" s="128"/>
      <c r="U14" s="128"/>
      <c r="V14" s="232" t="s">
        <v>35</v>
      </c>
      <c r="W14" s="232"/>
      <c r="X14" s="232"/>
      <c r="Y14" s="232"/>
      <c r="Z14" s="103"/>
      <c r="AA14" s="103"/>
      <c r="AB14" s="231" t="s">
        <v>25</v>
      </c>
      <c r="AC14" s="231"/>
      <c r="AD14" s="231"/>
      <c r="AE14" s="231"/>
      <c r="AF14" s="128"/>
      <c r="AG14" s="128"/>
      <c r="AH14" s="232" t="s">
        <v>36</v>
      </c>
      <c r="AI14" s="232"/>
      <c r="AJ14" s="232"/>
      <c r="AK14" s="232"/>
      <c r="AL14" s="103"/>
      <c r="AM14" s="103"/>
      <c r="AN14" s="231" t="s">
        <v>26</v>
      </c>
      <c r="AO14" s="231"/>
      <c r="AP14" s="231"/>
      <c r="AQ14" s="231"/>
      <c r="AR14" s="128"/>
      <c r="AS14" s="128"/>
      <c r="AT14" s="232" t="s">
        <v>37</v>
      </c>
      <c r="AU14" s="232"/>
      <c r="AV14" s="232"/>
      <c r="AW14" s="232"/>
      <c r="AX14" s="103"/>
      <c r="AY14" s="103"/>
      <c r="AZ14" s="231" t="s">
        <v>27</v>
      </c>
      <c r="BA14" s="231"/>
      <c r="BB14" s="231"/>
      <c r="BC14" s="231"/>
      <c r="BD14" s="128"/>
      <c r="BE14" s="128"/>
      <c r="BF14" s="232" t="s">
        <v>38</v>
      </c>
      <c r="BG14" s="232"/>
      <c r="BH14" s="232"/>
      <c r="BI14" s="232"/>
      <c r="BJ14" s="103"/>
      <c r="BK14" s="103"/>
      <c r="BL14" s="103"/>
      <c r="BM14" s="104"/>
      <c r="BN14" s="102"/>
      <c r="BO14" s="103"/>
      <c r="BP14" s="103"/>
      <c r="BQ14" s="103"/>
      <c r="BR14" s="232" t="s">
        <v>34</v>
      </c>
      <c r="BS14" s="232"/>
      <c r="BT14" s="232"/>
      <c r="BU14" s="232"/>
      <c r="BV14" s="103"/>
      <c r="BW14" s="103"/>
      <c r="BX14" s="231" t="s">
        <v>24</v>
      </c>
      <c r="BY14" s="231"/>
      <c r="BZ14" s="231"/>
      <c r="CA14" s="231"/>
      <c r="CB14" s="128"/>
      <c r="CC14" s="128"/>
      <c r="CD14" s="232" t="s">
        <v>35</v>
      </c>
      <c r="CE14" s="232"/>
      <c r="CF14" s="232"/>
      <c r="CG14" s="232"/>
      <c r="CH14" s="103"/>
      <c r="CI14" s="103"/>
      <c r="CJ14" s="231" t="s">
        <v>25</v>
      </c>
      <c r="CK14" s="231"/>
      <c r="CL14" s="231"/>
      <c r="CM14" s="231"/>
      <c r="CN14" s="128"/>
      <c r="CO14" s="128"/>
      <c r="CP14" s="232" t="s">
        <v>36</v>
      </c>
      <c r="CQ14" s="232"/>
      <c r="CR14" s="232"/>
      <c r="CS14" s="232"/>
      <c r="CT14" s="103"/>
      <c r="CU14" s="103"/>
      <c r="CV14" s="231" t="s">
        <v>26</v>
      </c>
      <c r="CW14" s="231"/>
      <c r="CX14" s="231"/>
      <c r="CY14" s="231"/>
      <c r="CZ14" s="128"/>
      <c r="DA14" s="128"/>
      <c r="DB14" s="232" t="s">
        <v>37</v>
      </c>
      <c r="DC14" s="232"/>
      <c r="DD14" s="232"/>
      <c r="DE14" s="232"/>
      <c r="DF14" s="103"/>
      <c r="DG14" s="103"/>
      <c r="DH14" s="231" t="s">
        <v>27</v>
      </c>
      <c r="DI14" s="231"/>
      <c r="DJ14" s="231"/>
      <c r="DK14" s="231"/>
      <c r="DL14" s="128"/>
      <c r="DM14" s="128"/>
      <c r="DN14" s="232" t="s">
        <v>38</v>
      </c>
      <c r="DO14" s="232"/>
      <c r="DP14" s="232"/>
      <c r="DQ14" s="232"/>
      <c r="DR14" s="103"/>
      <c r="DS14" s="103"/>
      <c r="DT14" s="103"/>
      <c r="DU14" s="104"/>
      <c r="DV14" s="102"/>
      <c r="DW14" s="103"/>
      <c r="DX14" s="103"/>
      <c r="DY14" s="103"/>
      <c r="DZ14" s="232" t="s">
        <v>34</v>
      </c>
      <c r="EA14" s="232"/>
      <c r="EB14" s="232"/>
      <c r="EC14" s="232"/>
      <c r="ED14" s="103"/>
      <c r="EE14" s="103"/>
      <c r="EF14" s="231" t="s">
        <v>24</v>
      </c>
      <c r="EG14" s="231"/>
      <c r="EH14" s="231"/>
      <c r="EI14" s="231"/>
      <c r="EJ14" s="128"/>
      <c r="EK14" s="128"/>
      <c r="EL14" s="232" t="s">
        <v>35</v>
      </c>
      <c r="EM14" s="232"/>
      <c r="EN14" s="232"/>
      <c r="EO14" s="232"/>
      <c r="EP14" s="103"/>
      <c r="EQ14" s="103"/>
      <c r="ER14" s="231" t="s">
        <v>25</v>
      </c>
      <c r="ES14" s="231"/>
      <c r="ET14" s="231"/>
      <c r="EU14" s="231"/>
      <c r="EV14" s="128"/>
      <c r="EW14" s="128"/>
      <c r="EX14" s="232" t="s">
        <v>36</v>
      </c>
      <c r="EY14" s="232"/>
      <c r="EZ14" s="232"/>
      <c r="FA14" s="232"/>
      <c r="FB14" s="103"/>
      <c r="FC14" s="103"/>
      <c r="FD14" s="231" t="s">
        <v>26</v>
      </c>
      <c r="FE14" s="231"/>
      <c r="FF14" s="231"/>
      <c r="FG14" s="231"/>
      <c r="FH14" s="128"/>
      <c r="FI14" s="128"/>
      <c r="FJ14" s="232" t="s">
        <v>37</v>
      </c>
      <c r="FK14" s="232"/>
      <c r="FL14" s="232"/>
      <c r="FM14" s="232"/>
      <c r="FN14" s="103"/>
      <c r="FO14" s="103"/>
      <c r="FP14" s="231" t="s">
        <v>27</v>
      </c>
      <c r="FQ14" s="231"/>
      <c r="FR14" s="231"/>
      <c r="FS14" s="231"/>
      <c r="FT14" s="128"/>
      <c r="FU14" s="128"/>
      <c r="FV14" s="232" t="s">
        <v>38</v>
      </c>
      <c r="FW14" s="232"/>
      <c r="FX14" s="232"/>
      <c r="FY14" s="232"/>
      <c r="FZ14" s="103"/>
      <c r="GA14" s="103"/>
      <c r="GB14" s="103"/>
      <c r="GC14" s="104"/>
      <c r="GD14" s="102"/>
      <c r="GE14" s="103"/>
      <c r="GF14" s="103"/>
      <c r="GG14" s="103"/>
      <c r="GH14" s="232" t="s">
        <v>34</v>
      </c>
      <c r="GI14" s="232"/>
      <c r="GJ14" s="232"/>
      <c r="GK14" s="232"/>
      <c r="GL14" s="103"/>
      <c r="GM14" s="103"/>
      <c r="GN14" s="231" t="s">
        <v>24</v>
      </c>
      <c r="GO14" s="231"/>
      <c r="GP14" s="231"/>
      <c r="GQ14" s="231"/>
      <c r="GR14" s="128"/>
      <c r="GS14" s="128"/>
      <c r="GT14" s="232" t="s">
        <v>35</v>
      </c>
      <c r="GU14" s="232"/>
      <c r="GV14" s="232"/>
      <c r="GW14" s="232"/>
      <c r="GX14" s="103"/>
      <c r="GY14" s="103"/>
      <c r="GZ14" s="231" t="s">
        <v>25</v>
      </c>
      <c r="HA14" s="231"/>
      <c r="HB14" s="231"/>
      <c r="HC14" s="231"/>
      <c r="HD14" s="128"/>
      <c r="HE14" s="128"/>
      <c r="HF14" s="232" t="s">
        <v>36</v>
      </c>
      <c r="HG14" s="232"/>
      <c r="HH14" s="232"/>
      <c r="HI14" s="232"/>
      <c r="HJ14" s="103"/>
      <c r="HK14" s="103"/>
      <c r="HL14" s="231" t="s">
        <v>26</v>
      </c>
      <c r="HM14" s="231"/>
      <c r="HN14" s="231"/>
      <c r="HO14" s="231"/>
      <c r="HP14" s="128"/>
      <c r="HQ14" s="128"/>
      <c r="HR14" s="232" t="s">
        <v>37</v>
      </c>
      <c r="HS14" s="232"/>
      <c r="HT14" s="232"/>
      <c r="HU14" s="232"/>
      <c r="HV14" s="103"/>
      <c r="HW14" s="103"/>
      <c r="HX14" s="231" t="s">
        <v>27</v>
      </c>
      <c r="HY14" s="231"/>
      <c r="HZ14" s="231"/>
      <c r="IA14" s="231"/>
      <c r="IB14" s="128"/>
      <c r="IC14" s="128"/>
      <c r="ID14" s="232" t="s">
        <v>38</v>
      </c>
      <c r="IE14" s="232"/>
      <c r="IF14" s="232"/>
      <c r="IG14" s="232"/>
      <c r="IH14" s="103"/>
      <c r="II14" s="103"/>
      <c r="IJ14" s="103"/>
      <c r="IK14" s="104"/>
      <c r="IL14" s="102"/>
      <c r="IM14" s="103"/>
      <c r="IN14" s="103"/>
      <c r="IO14" s="103"/>
      <c r="IP14" s="232" t="s">
        <v>34</v>
      </c>
      <c r="IQ14" s="232"/>
      <c r="IR14" s="232"/>
      <c r="IS14" s="232"/>
      <c r="IT14" s="103"/>
      <c r="IU14" s="103"/>
      <c r="IV14" s="231" t="s">
        <v>24</v>
      </c>
      <c r="IW14" s="231"/>
      <c r="IX14" s="231"/>
      <c r="IY14" s="231"/>
      <c r="IZ14" s="128"/>
      <c r="JA14" s="128"/>
      <c r="JB14" s="232" t="s">
        <v>35</v>
      </c>
      <c r="JC14" s="232"/>
      <c r="JD14" s="232"/>
      <c r="JE14" s="232"/>
      <c r="JF14" s="103"/>
      <c r="JG14" s="103"/>
      <c r="JH14" s="231" t="s">
        <v>25</v>
      </c>
      <c r="JI14" s="231"/>
      <c r="JJ14" s="231"/>
      <c r="JK14" s="231"/>
      <c r="JL14" s="128"/>
      <c r="JM14" s="128"/>
      <c r="JN14" s="232" t="s">
        <v>36</v>
      </c>
      <c r="JO14" s="232"/>
      <c r="JP14" s="232"/>
      <c r="JQ14" s="232"/>
      <c r="JR14" s="103"/>
      <c r="JS14" s="103"/>
      <c r="JT14" s="231" t="s">
        <v>26</v>
      </c>
      <c r="JU14" s="231"/>
      <c r="JV14" s="231"/>
      <c r="JW14" s="231"/>
      <c r="JX14" s="128"/>
      <c r="JY14" s="128"/>
      <c r="JZ14" s="232" t="s">
        <v>37</v>
      </c>
      <c r="KA14" s="232"/>
      <c r="KB14" s="232"/>
      <c r="KC14" s="232"/>
      <c r="KD14" s="103"/>
      <c r="KE14" s="103"/>
      <c r="KF14" s="231" t="s">
        <v>27</v>
      </c>
      <c r="KG14" s="231"/>
      <c r="KH14" s="231"/>
      <c r="KI14" s="231"/>
      <c r="KJ14" s="128"/>
      <c r="KK14" s="128"/>
      <c r="KL14" s="232" t="s">
        <v>38</v>
      </c>
      <c r="KM14" s="232"/>
      <c r="KN14" s="232"/>
      <c r="KO14" s="232"/>
      <c r="KP14" s="103"/>
      <c r="KQ14" s="103"/>
      <c r="KR14" s="103"/>
      <c r="KS14" s="104"/>
      <c r="KT14" s="102"/>
      <c r="KU14" s="103"/>
      <c r="KV14" s="103"/>
      <c r="KW14" s="103"/>
      <c r="KX14" s="232" t="s">
        <v>34</v>
      </c>
      <c r="KY14" s="232"/>
      <c r="KZ14" s="232"/>
      <c r="LA14" s="232"/>
      <c r="LB14" s="103"/>
      <c r="LC14" s="103"/>
      <c r="LD14" s="231" t="s">
        <v>24</v>
      </c>
      <c r="LE14" s="231"/>
      <c r="LF14" s="231"/>
      <c r="LG14" s="231"/>
      <c r="LH14" s="128"/>
      <c r="LI14" s="128"/>
      <c r="LJ14" s="232" t="s">
        <v>35</v>
      </c>
      <c r="LK14" s="232"/>
      <c r="LL14" s="232"/>
      <c r="LM14" s="232"/>
      <c r="LN14" s="103"/>
      <c r="LO14" s="103"/>
      <c r="LP14" s="231" t="s">
        <v>25</v>
      </c>
      <c r="LQ14" s="231"/>
      <c r="LR14" s="231"/>
      <c r="LS14" s="231"/>
      <c r="LT14" s="128"/>
      <c r="LU14" s="128"/>
      <c r="LV14" s="232" t="s">
        <v>36</v>
      </c>
      <c r="LW14" s="232"/>
      <c r="LX14" s="232"/>
      <c r="LY14" s="232"/>
      <c r="LZ14" s="103"/>
      <c r="MA14" s="103"/>
      <c r="MB14" s="231" t="s">
        <v>26</v>
      </c>
      <c r="MC14" s="231"/>
      <c r="MD14" s="231"/>
      <c r="ME14" s="231"/>
      <c r="MF14" s="128"/>
      <c r="MG14" s="128"/>
      <c r="MH14" s="232" t="s">
        <v>37</v>
      </c>
      <c r="MI14" s="232"/>
      <c r="MJ14" s="232"/>
      <c r="MK14" s="232"/>
      <c r="ML14" s="103"/>
      <c r="MM14" s="103"/>
      <c r="MN14" s="231" t="s">
        <v>27</v>
      </c>
      <c r="MO14" s="231"/>
      <c r="MP14" s="231"/>
      <c r="MQ14" s="231"/>
      <c r="MR14" s="128"/>
      <c r="MS14" s="128"/>
      <c r="MT14" s="232" t="s">
        <v>38</v>
      </c>
      <c r="MU14" s="232"/>
      <c r="MV14" s="232"/>
      <c r="MW14" s="232"/>
      <c r="MX14" s="103"/>
      <c r="MY14" s="103"/>
      <c r="MZ14" s="103"/>
      <c r="NA14" s="104"/>
      <c r="NB14" s="102"/>
      <c r="NC14" s="103"/>
      <c r="ND14" s="103"/>
      <c r="NE14" s="103"/>
      <c r="NF14" s="232" t="s">
        <v>34</v>
      </c>
      <c r="NG14" s="232"/>
      <c r="NH14" s="232"/>
      <c r="NI14" s="232"/>
      <c r="NJ14" s="103"/>
      <c r="NK14" s="103"/>
      <c r="NL14" s="231" t="s">
        <v>24</v>
      </c>
      <c r="NM14" s="231"/>
      <c r="NN14" s="231"/>
      <c r="NO14" s="231"/>
      <c r="NP14" s="128"/>
      <c r="NQ14" s="128"/>
      <c r="NR14" s="232" t="s">
        <v>35</v>
      </c>
      <c r="NS14" s="232"/>
      <c r="NT14" s="232"/>
      <c r="NU14" s="232"/>
      <c r="NV14" s="103"/>
      <c r="NW14" s="103"/>
      <c r="NX14" s="231" t="s">
        <v>25</v>
      </c>
      <c r="NY14" s="231"/>
      <c r="NZ14" s="231"/>
      <c r="OA14" s="231"/>
      <c r="OB14" s="128"/>
      <c r="OC14" s="128"/>
      <c r="OD14" s="232" t="s">
        <v>36</v>
      </c>
      <c r="OE14" s="232"/>
      <c r="OF14" s="232"/>
      <c r="OG14" s="232"/>
      <c r="OH14" s="103"/>
      <c r="OI14" s="103"/>
      <c r="OJ14" s="231" t="s">
        <v>26</v>
      </c>
      <c r="OK14" s="231"/>
      <c r="OL14" s="231"/>
      <c r="OM14" s="231"/>
      <c r="ON14" s="128"/>
      <c r="OO14" s="128"/>
      <c r="OP14" s="232" t="s">
        <v>37</v>
      </c>
      <c r="OQ14" s="232"/>
      <c r="OR14" s="232"/>
      <c r="OS14" s="232"/>
      <c r="OT14" s="103"/>
      <c r="OU14" s="103"/>
      <c r="OV14" s="231" t="s">
        <v>27</v>
      </c>
      <c r="OW14" s="231"/>
      <c r="OX14" s="231"/>
      <c r="OY14" s="231"/>
      <c r="OZ14" s="128"/>
      <c r="PA14" s="128"/>
      <c r="PB14" s="232" t="s">
        <v>38</v>
      </c>
      <c r="PC14" s="232"/>
      <c r="PD14" s="232"/>
      <c r="PE14" s="232"/>
      <c r="PF14" s="103"/>
      <c r="PG14" s="103"/>
      <c r="PH14" s="103"/>
      <c r="PI14" s="104"/>
      <c r="PJ14" s="102"/>
      <c r="PK14" s="103"/>
      <c r="PL14" s="103"/>
      <c r="PM14" s="103"/>
      <c r="PN14" s="232" t="s">
        <v>34</v>
      </c>
      <c r="PO14" s="232"/>
      <c r="PP14" s="232"/>
      <c r="PQ14" s="232"/>
      <c r="PR14" s="103"/>
      <c r="PS14" s="103"/>
      <c r="PT14" s="231" t="s">
        <v>24</v>
      </c>
      <c r="PU14" s="231"/>
      <c r="PV14" s="231"/>
      <c r="PW14" s="231"/>
      <c r="PX14" s="128"/>
      <c r="PY14" s="128"/>
      <c r="PZ14" s="232" t="s">
        <v>35</v>
      </c>
      <c r="QA14" s="232"/>
      <c r="QB14" s="232"/>
      <c r="QC14" s="232"/>
      <c r="QD14" s="103"/>
      <c r="QE14" s="103"/>
      <c r="QF14" s="231" t="s">
        <v>25</v>
      </c>
      <c r="QG14" s="231"/>
      <c r="QH14" s="231"/>
      <c r="QI14" s="231"/>
      <c r="QJ14" s="128"/>
      <c r="QK14" s="128"/>
      <c r="QL14" s="232" t="s">
        <v>36</v>
      </c>
      <c r="QM14" s="232"/>
      <c r="QN14" s="232"/>
      <c r="QO14" s="232"/>
      <c r="QP14" s="103"/>
      <c r="QQ14" s="103"/>
      <c r="QR14" s="231" t="s">
        <v>26</v>
      </c>
      <c r="QS14" s="231"/>
      <c r="QT14" s="231"/>
      <c r="QU14" s="231"/>
      <c r="QV14" s="128"/>
      <c r="QW14" s="128"/>
      <c r="QX14" s="232" t="s">
        <v>37</v>
      </c>
      <c r="QY14" s="232"/>
      <c r="QZ14" s="232"/>
      <c r="RA14" s="232"/>
      <c r="RB14" s="103"/>
      <c r="RC14" s="103"/>
      <c r="RD14" s="231" t="s">
        <v>27</v>
      </c>
      <c r="RE14" s="231"/>
      <c r="RF14" s="231"/>
      <c r="RG14" s="231"/>
      <c r="RH14" s="128"/>
      <c r="RI14" s="128"/>
      <c r="RJ14" s="232" t="s">
        <v>38</v>
      </c>
      <c r="RK14" s="232"/>
      <c r="RL14" s="232"/>
      <c r="RM14" s="232"/>
      <c r="RN14" s="103"/>
      <c r="RO14" s="103"/>
      <c r="RP14" s="103"/>
      <c r="RQ14" s="104"/>
      <c r="RR14" s="102"/>
      <c r="RS14" s="103"/>
      <c r="RT14" s="103"/>
      <c r="RU14" s="103"/>
      <c r="RV14" s="232" t="s">
        <v>34</v>
      </c>
      <c r="RW14" s="232"/>
      <c r="RX14" s="232"/>
      <c r="RY14" s="232"/>
      <c r="RZ14" s="103"/>
      <c r="SA14" s="103"/>
      <c r="SB14" s="231" t="s">
        <v>24</v>
      </c>
      <c r="SC14" s="231"/>
      <c r="SD14" s="231"/>
      <c r="SE14" s="231"/>
      <c r="SF14" s="128"/>
      <c r="SG14" s="128"/>
      <c r="SH14" s="232" t="s">
        <v>35</v>
      </c>
      <c r="SI14" s="232"/>
      <c r="SJ14" s="232"/>
      <c r="SK14" s="232"/>
      <c r="SL14" s="103"/>
      <c r="SM14" s="103"/>
      <c r="SN14" s="231" t="s">
        <v>25</v>
      </c>
      <c r="SO14" s="231"/>
      <c r="SP14" s="231"/>
      <c r="SQ14" s="231"/>
      <c r="SR14" s="128"/>
      <c r="SS14" s="128"/>
      <c r="ST14" s="232" t="s">
        <v>36</v>
      </c>
      <c r="SU14" s="232"/>
      <c r="SV14" s="232"/>
      <c r="SW14" s="232"/>
      <c r="SX14" s="103"/>
      <c r="SY14" s="103"/>
      <c r="SZ14" s="231" t="s">
        <v>26</v>
      </c>
      <c r="TA14" s="231"/>
      <c r="TB14" s="231"/>
      <c r="TC14" s="231"/>
      <c r="TD14" s="128"/>
      <c r="TE14" s="128"/>
      <c r="TF14" s="232" t="s">
        <v>37</v>
      </c>
      <c r="TG14" s="232"/>
      <c r="TH14" s="232"/>
      <c r="TI14" s="232"/>
      <c r="TJ14" s="103"/>
      <c r="TK14" s="103"/>
      <c r="TL14" s="231" t="s">
        <v>27</v>
      </c>
      <c r="TM14" s="231"/>
      <c r="TN14" s="231"/>
      <c r="TO14" s="231"/>
      <c r="TP14" s="128"/>
      <c r="TQ14" s="128"/>
      <c r="TR14" s="232" t="s">
        <v>38</v>
      </c>
      <c r="TS14" s="232"/>
      <c r="TT14" s="232"/>
      <c r="TU14" s="232"/>
      <c r="TV14" s="103"/>
      <c r="TW14" s="103"/>
      <c r="TX14" s="103"/>
      <c r="TY14" s="104"/>
      <c r="TZ14" s="102"/>
      <c r="UA14" s="103"/>
      <c r="UB14" s="103"/>
      <c r="UC14" s="103"/>
      <c r="UD14" s="232" t="s">
        <v>34</v>
      </c>
      <c r="UE14" s="232"/>
      <c r="UF14" s="232"/>
      <c r="UG14" s="232"/>
      <c r="UH14" s="103"/>
      <c r="UI14" s="103"/>
      <c r="UJ14" s="231" t="s">
        <v>24</v>
      </c>
      <c r="UK14" s="231"/>
      <c r="UL14" s="231"/>
      <c r="UM14" s="231"/>
      <c r="UN14" s="128"/>
      <c r="UO14" s="128"/>
      <c r="UP14" s="232" t="s">
        <v>35</v>
      </c>
      <c r="UQ14" s="232"/>
      <c r="UR14" s="232"/>
      <c r="US14" s="232"/>
      <c r="UT14" s="103"/>
      <c r="UU14" s="103"/>
      <c r="UV14" s="231" t="s">
        <v>25</v>
      </c>
      <c r="UW14" s="231"/>
      <c r="UX14" s="231"/>
      <c r="UY14" s="231"/>
      <c r="UZ14" s="128"/>
      <c r="VA14" s="128"/>
      <c r="VB14" s="232" t="s">
        <v>36</v>
      </c>
      <c r="VC14" s="232"/>
      <c r="VD14" s="232"/>
      <c r="VE14" s="232"/>
      <c r="VF14" s="103"/>
      <c r="VG14" s="103"/>
      <c r="VH14" s="231" t="s">
        <v>26</v>
      </c>
      <c r="VI14" s="231"/>
      <c r="VJ14" s="231"/>
      <c r="VK14" s="231"/>
      <c r="VL14" s="128"/>
      <c r="VM14" s="128"/>
      <c r="VN14" s="232" t="s">
        <v>37</v>
      </c>
      <c r="VO14" s="232"/>
      <c r="VP14" s="232"/>
      <c r="VQ14" s="232"/>
      <c r="VR14" s="103"/>
      <c r="VS14" s="103"/>
      <c r="VT14" s="231" t="s">
        <v>27</v>
      </c>
      <c r="VU14" s="231"/>
      <c r="VV14" s="231"/>
      <c r="VW14" s="231"/>
      <c r="VX14" s="128"/>
      <c r="VY14" s="128"/>
      <c r="VZ14" s="232" t="s">
        <v>38</v>
      </c>
      <c r="WA14" s="232"/>
      <c r="WB14" s="232"/>
      <c r="WC14" s="232"/>
      <c r="WD14" s="103"/>
      <c r="WE14" s="103"/>
      <c r="WF14" s="103"/>
      <c r="WG14" s="104"/>
      <c r="WH14" s="102"/>
      <c r="WI14" s="103"/>
      <c r="WJ14" s="103"/>
      <c r="WK14" s="103"/>
      <c r="WL14" s="232" t="s">
        <v>34</v>
      </c>
      <c r="WM14" s="232"/>
      <c r="WN14" s="232"/>
      <c r="WO14" s="232"/>
      <c r="WP14" s="103"/>
      <c r="WQ14" s="103"/>
      <c r="WR14" s="231" t="s">
        <v>24</v>
      </c>
      <c r="WS14" s="231"/>
      <c r="WT14" s="231"/>
      <c r="WU14" s="231"/>
      <c r="WV14" s="128"/>
      <c r="WW14" s="128"/>
      <c r="WX14" s="232" t="s">
        <v>35</v>
      </c>
      <c r="WY14" s="232"/>
      <c r="WZ14" s="232"/>
      <c r="XA14" s="232"/>
      <c r="XB14" s="103"/>
      <c r="XC14" s="103"/>
      <c r="XD14" s="231" t="s">
        <v>25</v>
      </c>
      <c r="XE14" s="231"/>
      <c r="XF14" s="231"/>
      <c r="XG14" s="231"/>
      <c r="XH14" s="128"/>
      <c r="XI14" s="128"/>
      <c r="XJ14" s="232" t="s">
        <v>36</v>
      </c>
      <c r="XK14" s="232"/>
      <c r="XL14" s="232"/>
      <c r="XM14" s="232"/>
      <c r="XN14" s="103"/>
      <c r="XO14" s="103"/>
      <c r="XP14" s="231" t="s">
        <v>26</v>
      </c>
      <c r="XQ14" s="231"/>
      <c r="XR14" s="231"/>
      <c r="XS14" s="231"/>
      <c r="XT14" s="128"/>
      <c r="XU14" s="128"/>
      <c r="XV14" s="232" t="s">
        <v>37</v>
      </c>
      <c r="XW14" s="232"/>
      <c r="XX14" s="232"/>
      <c r="XY14" s="232"/>
      <c r="XZ14" s="103"/>
      <c r="YA14" s="103"/>
      <c r="YB14" s="231" t="s">
        <v>27</v>
      </c>
      <c r="YC14" s="231"/>
      <c r="YD14" s="231"/>
      <c r="YE14" s="231"/>
      <c r="YF14" s="128"/>
      <c r="YG14" s="128"/>
      <c r="YH14" s="232" t="s">
        <v>38</v>
      </c>
      <c r="YI14" s="232"/>
      <c r="YJ14" s="232"/>
      <c r="YK14" s="232"/>
      <c r="YL14" s="103"/>
      <c r="YM14" s="103"/>
      <c r="YN14" s="103"/>
      <c r="YO14" s="104"/>
      <c r="YP14" s="102"/>
      <c r="YQ14" s="103"/>
      <c r="YR14" s="103"/>
      <c r="YS14" s="103"/>
      <c r="YT14" s="232" t="s">
        <v>34</v>
      </c>
      <c r="YU14" s="232"/>
      <c r="YV14" s="232"/>
      <c r="YW14" s="232"/>
      <c r="YX14" s="103"/>
      <c r="YY14" s="103"/>
      <c r="YZ14" s="231" t="s">
        <v>24</v>
      </c>
      <c r="ZA14" s="231"/>
      <c r="ZB14" s="231"/>
      <c r="ZC14" s="231"/>
      <c r="ZD14" s="128"/>
      <c r="ZE14" s="128"/>
      <c r="ZF14" s="232" t="s">
        <v>35</v>
      </c>
      <c r="ZG14" s="232"/>
      <c r="ZH14" s="232"/>
      <c r="ZI14" s="232"/>
      <c r="ZJ14" s="103"/>
      <c r="ZK14" s="103"/>
      <c r="ZL14" s="231" t="s">
        <v>25</v>
      </c>
      <c r="ZM14" s="231"/>
      <c r="ZN14" s="231"/>
      <c r="ZO14" s="231"/>
      <c r="ZP14" s="128"/>
      <c r="ZQ14" s="128"/>
      <c r="ZR14" s="232" t="s">
        <v>36</v>
      </c>
      <c r="ZS14" s="232"/>
      <c r="ZT14" s="232"/>
      <c r="ZU14" s="232"/>
      <c r="ZV14" s="103"/>
      <c r="ZW14" s="103"/>
      <c r="ZX14" s="231" t="s">
        <v>26</v>
      </c>
      <c r="ZY14" s="231"/>
      <c r="ZZ14" s="231"/>
      <c r="AAA14" s="231"/>
      <c r="AAB14" s="128"/>
      <c r="AAC14" s="128"/>
      <c r="AAD14" s="232" t="s">
        <v>37</v>
      </c>
      <c r="AAE14" s="232"/>
      <c r="AAF14" s="232"/>
      <c r="AAG14" s="232"/>
      <c r="AAH14" s="103"/>
      <c r="AAI14" s="103"/>
      <c r="AAJ14" s="231" t="s">
        <v>27</v>
      </c>
      <c r="AAK14" s="231"/>
      <c r="AAL14" s="231"/>
      <c r="AAM14" s="231"/>
      <c r="AAN14" s="128"/>
      <c r="AAO14" s="128"/>
      <c r="AAP14" s="232" t="s">
        <v>38</v>
      </c>
      <c r="AAQ14" s="232"/>
      <c r="AAR14" s="232"/>
      <c r="AAS14" s="232"/>
      <c r="AAT14" s="103"/>
      <c r="AAU14" s="103"/>
      <c r="AAV14" s="103"/>
      <c r="AAW14" s="104"/>
      <c r="AAX14" s="102"/>
      <c r="AAY14" s="103"/>
      <c r="AAZ14" s="103"/>
      <c r="ABA14" s="103"/>
      <c r="ABB14" s="232" t="s">
        <v>34</v>
      </c>
      <c r="ABC14" s="232"/>
      <c r="ABD14" s="232"/>
      <c r="ABE14" s="232"/>
      <c r="ABF14" s="103"/>
      <c r="ABG14" s="103"/>
      <c r="ABH14" s="231" t="s">
        <v>24</v>
      </c>
      <c r="ABI14" s="231"/>
      <c r="ABJ14" s="231"/>
      <c r="ABK14" s="231"/>
      <c r="ABL14" s="128"/>
      <c r="ABM14" s="128"/>
      <c r="ABN14" s="232" t="s">
        <v>35</v>
      </c>
      <c r="ABO14" s="232"/>
      <c r="ABP14" s="232"/>
      <c r="ABQ14" s="232"/>
      <c r="ABR14" s="103"/>
      <c r="ABS14" s="103"/>
      <c r="ABT14" s="231" t="s">
        <v>25</v>
      </c>
      <c r="ABU14" s="231"/>
      <c r="ABV14" s="231"/>
      <c r="ABW14" s="231"/>
      <c r="ABX14" s="128"/>
      <c r="ABY14" s="128"/>
      <c r="ABZ14" s="232" t="s">
        <v>36</v>
      </c>
      <c r="ACA14" s="232"/>
      <c r="ACB14" s="232"/>
      <c r="ACC14" s="232"/>
      <c r="ACD14" s="103"/>
      <c r="ACE14" s="103"/>
      <c r="ACF14" s="231" t="s">
        <v>26</v>
      </c>
      <c r="ACG14" s="231"/>
      <c r="ACH14" s="231"/>
      <c r="ACI14" s="231"/>
      <c r="ACJ14" s="128"/>
      <c r="ACK14" s="128"/>
      <c r="ACL14" s="232" t="s">
        <v>37</v>
      </c>
      <c r="ACM14" s="232"/>
      <c r="ACN14" s="232"/>
      <c r="ACO14" s="232"/>
      <c r="ACP14" s="103"/>
      <c r="ACQ14" s="103"/>
      <c r="ACR14" s="231" t="s">
        <v>27</v>
      </c>
      <c r="ACS14" s="231"/>
      <c r="ACT14" s="231"/>
      <c r="ACU14" s="231"/>
      <c r="ACV14" s="128"/>
      <c r="ACW14" s="128"/>
      <c r="ACX14" s="232" t="s">
        <v>38</v>
      </c>
      <c r="ACY14" s="232"/>
      <c r="ACZ14" s="232"/>
      <c r="ADA14" s="232"/>
      <c r="ADB14" s="103"/>
      <c r="ADC14" s="103"/>
      <c r="ADD14" s="103"/>
      <c r="ADE14" s="104"/>
      <c r="ADF14" s="102"/>
      <c r="ADG14" s="103"/>
      <c r="ADH14" s="103"/>
      <c r="ADI14" s="103"/>
      <c r="ADJ14" s="232" t="s">
        <v>34</v>
      </c>
      <c r="ADK14" s="232"/>
      <c r="ADL14" s="232"/>
      <c r="ADM14" s="232"/>
      <c r="ADN14" s="103"/>
      <c r="ADO14" s="103"/>
      <c r="ADP14" s="231" t="s">
        <v>24</v>
      </c>
      <c r="ADQ14" s="231"/>
      <c r="ADR14" s="231"/>
      <c r="ADS14" s="231"/>
      <c r="ADT14" s="128"/>
      <c r="ADU14" s="128"/>
      <c r="ADV14" s="232" t="s">
        <v>35</v>
      </c>
      <c r="ADW14" s="232"/>
      <c r="ADX14" s="232"/>
      <c r="ADY14" s="232"/>
      <c r="ADZ14" s="103"/>
      <c r="AEA14" s="103"/>
      <c r="AEB14" s="231" t="s">
        <v>25</v>
      </c>
      <c r="AEC14" s="231"/>
      <c r="AED14" s="231"/>
      <c r="AEE14" s="231"/>
      <c r="AEF14" s="128"/>
      <c r="AEG14" s="128"/>
      <c r="AEH14" s="232" t="s">
        <v>36</v>
      </c>
      <c r="AEI14" s="232"/>
      <c r="AEJ14" s="232"/>
      <c r="AEK14" s="232"/>
      <c r="AEL14" s="103"/>
      <c r="AEM14" s="103"/>
      <c r="AEN14" s="231" t="s">
        <v>26</v>
      </c>
      <c r="AEO14" s="231"/>
      <c r="AEP14" s="231"/>
      <c r="AEQ14" s="231"/>
      <c r="AER14" s="128"/>
      <c r="AES14" s="128"/>
      <c r="AET14" s="232" t="s">
        <v>37</v>
      </c>
      <c r="AEU14" s="232"/>
      <c r="AEV14" s="232"/>
      <c r="AEW14" s="232"/>
      <c r="AEX14" s="103"/>
      <c r="AEY14" s="103"/>
      <c r="AEZ14" s="231" t="s">
        <v>27</v>
      </c>
      <c r="AFA14" s="231"/>
      <c r="AFB14" s="231"/>
      <c r="AFC14" s="231"/>
      <c r="AFD14" s="128"/>
      <c r="AFE14" s="128"/>
      <c r="AFF14" s="232" t="s">
        <v>38</v>
      </c>
      <c r="AFG14" s="232"/>
      <c r="AFH14" s="232"/>
      <c r="AFI14" s="232"/>
      <c r="AFJ14" s="103"/>
      <c r="AFK14" s="103"/>
      <c r="AFL14" s="103"/>
      <c r="AFM14" s="104"/>
      <c r="AFN14" s="102"/>
      <c r="AFO14" s="103"/>
      <c r="AFP14" s="103"/>
      <c r="AFQ14" s="103"/>
      <c r="AFR14" s="232" t="s">
        <v>34</v>
      </c>
      <c r="AFS14" s="232"/>
      <c r="AFT14" s="232"/>
      <c r="AFU14" s="232"/>
      <c r="AFV14" s="103"/>
      <c r="AFW14" s="103"/>
      <c r="AFX14" s="231" t="s">
        <v>24</v>
      </c>
      <c r="AFY14" s="231"/>
      <c r="AFZ14" s="231"/>
      <c r="AGA14" s="231"/>
      <c r="AGB14" s="128"/>
      <c r="AGC14" s="128"/>
      <c r="AGD14" s="232" t="s">
        <v>35</v>
      </c>
      <c r="AGE14" s="232"/>
      <c r="AGF14" s="232"/>
      <c r="AGG14" s="232"/>
      <c r="AGH14" s="103"/>
      <c r="AGI14" s="103"/>
      <c r="AGJ14" s="231" t="s">
        <v>25</v>
      </c>
      <c r="AGK14" s="231"/>
      <c r="AGL14" s="231"/>
      <c r="AGM14" s="231"/>
      <c r="AGN14" s="128"/>
      <c r="AGO14" s="128"/>
      <c r="AGP14" s="232" t="s">
        <v>36</v>
      </c>
      <c r="AGQ14" s="232"/>
      <c r="AGR14" s="232"/>
      <c r="AGS14" s="232"/>
      <c r="AGT14" s="103"/>
      <c r="AGU14" s="103"/>
      <c r="AGV14" s="231" t="s">
        <v>26</v>
      </c>
      <c r="AGW14" s="231"/>
      <c r="AGX14" s="231"/>
      <c r="AGY14" s="231"/>
      <c r="AGZ14" s="128"/>
      <c r="AHA14" s="128"/>
      <c r="AHB14" s="232" t="s">
        <v>37</v>
      </c>
      <c r="AHC14" s="232"/>
      <c r="AHD14" s="232"/>
      <c r="AHE14" s="232"/>
      <c r="AHF14" s="103"/>
      <c r="AHG14" s="103"/>
      <c r="AHH14" s="231" t="s">
        <v>27</v>
      </c>
      <c r="AHI14" s="231"/>
      <c r="AHJ14" s="231"/>
      <c r="AHK14" s="231"/>
      <c r="AHL14" s="128"/>
      <c r="AHM14" s="128"/>
      <c r="AHN14" s="232" t="s">
        <v>38</v>
      </c>
      <c r="AHO14" s="232"/>
      <c r="AHP14" s="232"/>
      <c r="AHQ14" s="232"/>
      <c r="AHR14" s="103"/>
      <c r="AHS14" s="103"/>
      <c r="AHT14" s="103"/>
      <c r="AHU14" s="104"/>
      <c r="AHV14" s="102"/>
      <c r="AHW14" s="103"/>
      <c r="AHX14" s="103"/>
      <c r="AHY14" s="103"/>
      <c r="AHZ14" s="232" t="s">
        <v>34</v>
      </c>
      <c r="AIA14" s="232"/>
      <c r="AIB14" s="232"/>
      <c r="AIC14" s="232"/>
      <c r="AID14" s="103"/>
      <c r="AIE14" s="103"/>
      <c r="AIF14" s="231" t="s">
        <v>24</v>
      </c>
      <c r="AIG14" s="231"/>
      <c r="AIH14" s="231"/>
      <c r="AII14" s="231"/>
      <c r="AIJ14" s="128"/>
      <c r="AIK14" s="128"/>
      <c r="AIL14" s="232" t="s">
        <v>35</v>
      </c>
      <c r="AIM14" s="232"/>
      <c r="AIN14" s="232"/>
      <c r="AIO14" s="232"/>
      <c r="AIP14" s="103"/>
      <c r="AIQ14" s="103"/>
      <c r="AIR14" s="231" t="s">
        <v>25</v>
      </c>
      <c r="AIS14" s="231"/>
      <c r="AIT14" s="231"/>
      <c r="AIU14" s="231"/>
      <c r="AIV14" s="128"/>
      <c r="AIW14" s="128"/>
      <c r="AIX14" s="232" t="s">
        <v>36</v>
      </c>
      <c r="AIY14" s="232"/>
      <c r="AIZ14" s="232"/>
      <c r="AJA14" s="232"/>
      <c r="AJB14" s="103"/>
      <c r="AJC14" s="103"/>
      <c r="AJD14" s="231" t="s">
        <v>26</v>
      </c>
      <c r="AJE14" s="231"/>
      <c r="AJF14" s="231"/>
      <c r="AJG14" s="231"/>
      <c r="AJH14" s="128"/>
      <c r="AJI14" s="128"/>
      <c r="AJJ14" s="232" t="s">
        <v>37</v>
      </c>
      <c r="AJK14" s="232"/>
      <c r="AJL14" s="232"/>
      <c r="AJM14" s="232"/>
      <c r="AJN14" s="103"/>
      <c r="AJO14" s="103"/>
      <c r="AJP14" s="231" t="s">
        <v>27</v>
      </c>
      <c r="AJQ14" s="231"/>
      <c r="AJR14" s="231"/>
      <c r="AJS14" s="231"/>
      <c r="AJT14" s="128"/>
      <c r="AJU14" s="128"/>
      <c r="AJV14" s="232" t="s">
        <v>38</v>
      </c>
      <c r="AJW14" s="232"/>
      <c r="AJX14" s="232"/>
      <c r="AJY14" s="232"/>
      <c r="AJZ14" s="103"/>
      <c r="AKA14" s="103"/>
      <c r="AKB14" s="103"/>
      <c r="AKC14" s="104"/>
      <c r="AKD14" s="102"/>
      <c r="AKE14" s="103"/>
      <c r="AKF14" s="103"/>
      <c r="AKG14" s="103"/>
      <c r="AKH14" s="232" t="s">
        <v>34</v>
      </c>
      <c r="AKI14" s="232"/>
      <c r="AKJ14" s="232"/>
      <c r="AKK14" s="232"/>
      <c r="AKL14" s="103"/>
      <c r="AKM14" s="103"/>
      <c r="AKN14" s="231" t="s">
        <v>24</v>
      </c>
      <c r="AKO14" s="231"/>
      <c r="AKP14" s="231"/>
      <c r="AKQ14" s="231"/>
      <c r="AKR14" s="128"/>
      <c r="AKS14" s="128"/>
      <c r="AKT14" s="232" t="s">
        <v>35</v>
      </c>
      <c r="AKU14" s="232"/>
      <c r="AKV14" s="232"/>
      <c r="AKW14" s="232"/>
      <c r="AKX14" s="103"/>
      <c r="AKY14" s="103"/>
      <c r="AKZ14" s="231" t="s">
        <v>25</v>
      </c>
      <c r="ALA14" s="231"/>
      <c r="ALB14" s="231"/>
      <c r="ALC14" s="231"/>
      <c r="ALD14" s="128"/>
      <c r="ALE14" s="128"/>
      <c r="ALF14" s="232" t="s">
        <v>36</v>
      </c>
      <c r="ALG14" s="232"/>
      <c r="ALH14" s="232"/>
      <c r="ALI14" s="232"/>
      <c r="ALJ14" s="103"/>
      <c r="ALK14" s="103"/>
      <c r="ALL14" s="231" t="s">
        <v>26</v>
      </c>
      <c r="ALM14" s="231"/>
      <c r="ALN14" s="231"/>
      <c r="ALO14" s="231"/>
      <c r="ALP14" s="128"/>
      <c r="ALQ14" s="128"/>
      <c r="ALR14" s="232" t="s">
        <v>37</v>
      </c>
      <c r="ALS14" s="232"/>
      <c r="ALT14" s="232"/>
      <c r="ALU14" s="232"/>
      <c r="ALV14" s="103"/>
      <c r="ALW14" s="103"/>
      <c r="ALX14" s="231" t="s">
        <v>27</v>
      </c>
      <c r="ALY14" s="231"/>
      <c r="ALZ14" s="231"/>
      <c r="AMA14" s="231"/>
      <c r="AMB14" s="128"/>
      <c r="AMC14" s="128"/>
      <c r="AMD14" s="232" t="s">
        <v>38</v>
      </c>
      <c r="AME14" s="232"/>
      <c r="AMF14" s="232"/>
      <c r="AMG14" s="232"/>
      <c r="AMH14" s="103"/>
      <c r="AMI14" s="103"/>
      <c r="AMJ14" s="103"/>
      <c r="AMK14" s="104"/>
      <c r="AML14" s="102"/>
      <c r="AMM14" s="103"/>
      <c r="AMN14" s="103"/>
      <c r="AMO14" s="103"/>
      <c r="AMP14" s="232" t="s">
        <v>34</v>
      </c>
      <c r="AMQ14" s="232"/>
      <c r="AMR14" s="232"/>
      <c r="AMS14" s="232"/>
      <c r="AMT14" s="103"/>
      <c r="AMU14" s="103"/>
      <c r="AMV14" s="231" t="s">
        <v>24</v>
      </c>
      <c r="AMW14" s="231"/>
      <c r="AMX14" s="231"/>
      <c r="AMY14" s="231"/>
      <c r="AMZ14" s="128"/>
      <c r="ANA14" s="128"/>
      <c r="ANB14" s="232" t="s">
        <v>35</v>
      </c>
      <c r="ANC14" s="232"/>
      <c r="AND14" s="232"/>
      <c r="ANE14" s="232"/>
      <c r="ANF14" s="103"/>
      <c r="ANG14" s="103"/>
      <c r="ANH14" s="231" t="s">
        <v>25</v>
      </c>
      <c r="ANI14" s="231"/>
      <c r="ANJ14" s="231"/>
      <c r="ANK14" s="231"/>
      <c r="ANL14" s="128"/>
      <c r="ANM14" s="128"/>
      <c r="ANN14" s="232" t="s">
        <v>36</v>
      </c>
      <c r="ANO14" s="232"/>
      <c r="ANP14" s="232"/>
      <c r="ANQ14" s="232"/>
      <c r="ANR14" s="103"/>
      <c r="ANS14" s="103"/>
      <c r="ANT14" s="231" t="s">
        <v>26</v>
      </c>
      <c r="ANU14" s="231"/>
      <c r="ANV14" s="231"/>
      <c r="ANW14" s="231"/>
      <c r="ANX14" s="128"/>
      <c r="ANY14" s="128"/>
      <c r="ANZ14" s="232" t="s">
        <v>37</v>
      </c>
      <c r="AOA14" s="232"/>
      <c r="AOB14" s="232"/>
      <c r="AOC14" s="232"/>
      <c r="AOD14" s="103"/>
      <c r="AOE14" s="103"/>
      <c r="AOF14" s="231" t="s">
        <v>27</v>
      </c>
      <c r="AOG14" s="231"/>
      <c r="AOH14" s="231"/>
      <c r="AOI14" s="231"/>
      <c r="AOJ14" s="128"/>
      <c r="AOK14" s="128"/>
      <c r="AOL14" s="232" t="s">
        <v>38</v>
      </c>
      <c r="AOM14" s="232"/>
      <c r="AON14" s="232"/>
      <c r="AOO14" s="232"/>
      <c r="AOP14" s="103"/>
      <c r="AOQ14" s="103"/>
      <c r="AOR14" s="103"/>
      <c r="AOS14" s="104"/>
      <c r="AOT14" s="102"/>
      <c r="AOU14" s="103"/>
      <c r="AOV14" s="103"/>
      <c r="AOW14" s="103"/>
      <c r="AOX14" s="232" t="s">
        <v>34</v>
      </c>
      <c r="AOY14" s="232"/>
      <c r="AOZ14" s="232"/>
      <c r="APA14" s="232"/>
      <c r="APB14" s="103"/>
      <c r="APC14" s="103"/>
      <c r="APD14" s="231" t="s">
        <v>24</v>
      </c>
      <c r="APE14" s="231"/>
      <c r="APF14" s="231"/>
      <c r="APG14" s="231"/>
      <c r="APH14" s="128"/>
      <c r="API14" s="128"/>
      <c r="APJ14" s="232" t="s">
        <v>35</v>
      </c>
      <c r="APK14" s="232"/>
      <c r="APL14" s="232"/>
      <c r="APM14" s="232"/>
      <c r="APN14" s="103"/>
      <c r="APO14" s="103"/>
      <c r="APP14" s="231" t="s">
        <v>25</v>
      </c>
      <c r="APQ14" s="231"/>
      <c r="APR14" s="231"/>
      <c r="APS14" s="231"/>
      <c r="APT14" s="128"/>
      <c r="APU14" s="128"/>
      <c r="APV14" s="232" t="s">
        <v>36</v>
      </c>
      <c r="APW14" s="232"/>
      <c r="APX14" s="232"/>
      <c r="APY14" s="232"/>
      <c r="APZ14" s="103"/>
      <c r="AQA14" s="103"/>
      <c r="AQB14" s="231" t="s">
        <v>26</v>
      </c>
      <c r="AQC14" s="231"/>
      <c r="AQD14" s="231"/>
      <c r="AQE14" s="231"/>
      <c r="AQF14" s="128"/>
      <c r="AQG14" s="128"/>
      <c r="AQH14" s="232" t="s">
        <v>37</v>
      </c>
      <c r="AQI14" s="232"/>
      <c r="AQJ14" s="232"/>
      <c r="AQK14" s="232"/>
      <c r="AQL14" s="103"/>
      <c r="AQM14" s="103"/>
      <c r="AQN14" s="231" t="s">
        <v>27</v>
      </c>
      <c r="AQO14" s="231"/>
      <c r="AQP14" s="231"/>
      <c r="AQQ14" s="231"/>
      <c r="AQR14" s="128"/>
      <c r="AQS14" s="128"/>
      <c r="AQT14" s="232" t="s">
        <v>38</v>
      </c>
      <c r="AQU14" s="232"/>
      <c r="AQV14" s="232"/>
      <c r="AQW14" s="232"/>
      <c r="AQX14" s="103"/>
      <c r="AQY14" s="103"/>
      <c r="AQZ14" s="103"/>
      <c r="ARA14" s="104"/>
      <c r="ARB14" s="102"/>
      <c r="ARC14" s="103"/>
      <c r="ARD14" s="103"/>
      <c r="ARE14" s="103"/>
      <c r="ARF14" s="232" t="s">
        <v>34</v>
      </c>
      <c r="ARG14" s="232"/>
      <c r="ARH14" s="232"/>
      <c r="ARI14" s="232"/>
      <c r="ARJ14" s="103"/>
      <c r="ARK14" s="103"/>
      <c r="ARL14" s="231" t="s">
        <v>24</v>
      </c>
      <c r="ARM14" s="231"/>
      <c r="ARN14" s="231"/>
      <c r="ARO14" s="231"/>
      <c r="ARP14" s="128"/>
      <c r="ARQ14" s="128"/>
      <c r="ARR14" s="232" t="s">
        <v>35</v>
      </c>
      <c r="ARS14" s="232"/>
      <c r="ART14" s="232"/>
      <c r="ARU14" s="232"/>
      <c r="ARV14" s="103"/>
      <c r="ARW14" s="103"/>
      <c r="ARX14" s="231" t="s">
        <v>25</v>
      </c>
      <c r="ARY14" s="231"/>
      <c r="ARZ14" s="231"/>
      <c r="ASA14" s="231"/>
      <c r="ASB14" s="128"/>
      <c r="ASC14" s="128"/>
      <c r="ASD14" s="232" t="s">
        <v>36</v>
      </c>
      <c r="ASE14" s="232"/>
      <c r="ASF14" s="232"/>
      <c r="ASG14" s="232"/>
      <c r="ASH14" s="103"/>
      <c r="ASI14" s="103"/>
      <c r="ASJ14" s="231" t="s">
        <v>26</v>
      </c>
      <c r="ASK14" s="231"/>
      <c r="ASL14" s="231"/>
      <c r="ASM14" s="231"/>
      <c r="ASN14" s="128"/>
      <c r="ASO14" s="128"/>
      <c r="ASP14" s="232" t="s">
        <v>37</v>
      </c>
      <c r="ASQ14" s="232"/>
      <c r="ASR14" s="232"/>
      <c r="ASS14" s="232"/>
      <c r="AST14" s="103"/>
      <c r="ASU14" s="103"/>
      <c r="ASV14" s="231" t="s">
        <v>27</v>
      </c>
      <c r="ASW14" s="231"/>
      <c r="ASX14" s="231"/>
      <c r="ASY14" s="231"/>
      <c r="ASZ14" s="128"/>
      <c r="ATA14" s="128"/>
      <c r="ATB14" s="232" t="s">
        <v>38</v>
      </c>
      <c r="ATC14" s="232"/>
      <c r="ATD14" s="232"/>
      <c r="ATE14" s="232"/>
      <c r="ATF14" s="103"/>
      <c r="ATG14" s="103"/>
      <c r="ATH14" s="103"/>
      <c r="ATI14" s="104"/>
      <c r="ATJ14" s="102"/>
      <c r="ATK14" s="103"/>
      <c r="ATL14" s="103"/>
      <c r="ATM14" s="103"/>
      <c r="ATN14" s="232" t="s">
        <v>34</v>
      </c>
      <c r="ATO14" s="232"/>
      <c r="ATP14" s="232"/>
      <c r="ATQ14" s="232"/>
      <c r="ATR14" s="103"/>
      <c r="ATS14" s="103"/>
      <c r="ATT14" s="231" t="s">
        <v>24</v>
      </c>
      <c r="ATU14" s="231"/>
      <c r="ATV14" s="231"/>
      <c r="ATW14" s="231"/>
      <c r="ATX14" s="128"/>
      <c r="ATY14" s="128"/>
      <c r="ATZ14" s="232" t="s">
        <v>35</v>
      </c>
      <c r="AUA14" s="232"/>
      <c r="AUB14" s="232"/>
      <c r="AUC14" s="232"/>
      <c r="AUD14" s="103"/>
      <c r="AUE14" s="103"/>
      <c r="AUF14" s="231" t="s">
        <v>25</v>
      </c>
      <c r="AUG14" s="231"/>
      <c r="AUH14" s="231"/>
      <c r="AUI14" s="231"/>
      <c r="AUJ14" s="128"/>
      <c r="AUK14" s="128"/>
      <c r="AUL14" s="232" t="s">
        <v>36</v>
      </c>
      <c r="AUM14" s="232"/>
      <c r="AUN14" s="232"/>
      <c r="AUO14" s="232"/>
      <c r="AUP14" s="103"/>
      <c r="AUQ14" s="103"/>
      <c r="AUR14" s="231" t="s">
        <v>26</v>
      </c>
      <c r="AUS14" s="231"/>
      <c r="AUT14" s="231"/>
      <c r="AUU14" s="231"/>
      <c r="AUV14" s="128"/>
      <c r="AUW14" s="128"/>
      <c r="AUX14" s="232" t="s">
        <v>37</v>
      </c>
      <c r="AUY14" s="232"/>
      <c r="AUZ14" s="232"/>
      <c r="AVA14" s="232"/>
      <c r="AVB14" s="103"/>
      <c r="AVC14" s="103"/>
      <c r="AVD14" s="231" t="s">
        <v>27</v>
      </c>
      <c r="AVE14" s="231"/>
      <c r="AVF14" s="231"/>
      <c r="AVG14" s="231"/>
      <c r="AVH14" s="128"/>
      <c r="AVI14" s="128"/>
      <c r="AVJ14" s="232" t="s">
        <v>38</v>
      </c>
      <c r="AVK14" s="232"/>
      <c r="AVL14" s="232"/>
      <c r="AVM14" s="232"/>
      <c r="AVN14" s="103"/>
      <c r="AVO14" s="103"/>
      <c r="AVP14" s="103"/>
      <c r="AVQ14" s="104"/>
      <c r="AVR14" s="102"/>
      <c r="AVS14" s="103"/>
      <c r="AVT14" s="103"/>
      <c r="AVU14" s="103"/>
      <c r="AVV14" s="232" t="s">
        <v>34</v>
      </c>
      <c r="AVW14" s="232"/>
      <c r="AVX14" s="232"/>
      <c r="AVY14" s="232"/>
      <c r="AVZ14" s="103"/>
      <c r="AWA14" s="103"/>
      <c r="AWB14" s="231" t="s">
        <v>24</v>
      </c>
      <c r="AWC14" s="231"/>
      <c r="AWD14" s="231"/>
      <c r="AWE14" s="231"/>
      <c r="AWF14" s="128"/>
      <c r="AWG14" s="128"/>
      <c r="AWH14" s="232" t="s">
        <v>35</v>
      </c>
      <c r="AWI14" s="232"/>
      <c r="AWJ14" s="232"/>
      <c r="AWK14" s="232"/>
      <c r="AWL14" s="103"/>
      <c r="AWM14" s="103"/>
      <c r="AWN14" s="231" t="s">
        <v>25</v>
      </c>
      <c r="AWO14" s="231"/>
      <c r="AWP14" s="231"/>
      <c r="AWQ14" s="231"/>
      <c r="AWR14" s="128"/>
      <c r="AWS14" s="128"/>
      <c r="AWT14" s="232" t="s">
        <v>36</v>
      </c>
      <c r="AWU14" s="232"/>
      <c r="AWV14" s="232"/>
      <c r="AWW14" s="232"/>
      <c r="AWX14" s="103"/>
      <c r="AWY14" s="103"/>
      <c r="AWZ14" s="231" t="s">
        <v>26</v>
      </c>
      <c r="AXA14" s="231"/>
      <c r="AXB14" s="231"/>
      <c r="AXC14" s="231"/>
      <c r="AXD14" s="128"/>
      <c r="AXE14" s="128"/>
      <c r="AXF14" s="232" t="s">
        <v>37</v>
      </c>
      <c r="AXG14" s="232"/>
      <c r="AXH14" s="232"/>
      <c r="AXI14" s="232"/>
      <c r="AXJ14" s="103"/>
      <c r="AXK14" s="103"/>
      <c r="AXL14" s="231" t="s">
        <v>27</v>
      </c>
      <c r="AXM14" s="231"/>
      <c r="AXN14" s="231"/>
      <c r="AXO14" s="231"/>
      <c r="AXP14" s="128"/>
      <c r="AXQ14" s="128"/>
      <c r="AXR14" s="232" t="s">
        <v>38</v>
      </c>
      <c r="AXS14" s="232"/>
      <c r="AXT14" s="232"/>
      <c r="AXU14" s="232"/>
      <c r="AXV14" s="103"/>
      <c r="AXW14" s="103"/>
      <c r="AXX14" s="103"/>
      <c r="AXY14" s="104"/>
      <c r="AXZ14" s="102"/>
      <c r="AYA14" s="103"/>
      <c r="AYB14" s="103"/>
      <c r="AYC14" s="103"/>
      <c r="AYD14" s="232" t="s">
        <v>34</v>
      </c>
      <c r="AYE14" s="232"/>
      <c r="AYF14" s="232"/>
      <c r="AYG14" s="232"/>
      <c r="AYH14" s="103"/>
      <c r="AYI14" s="103"/>
      <c r="AYJ14" s="231" t="s">
        <v>24</v>
      </c>
      <c r="AYK14" s="231"/>
      <c r="AYL14" s="231"/>
      <c r="AYM14" s="231"/>
      <c r="AYN14" s="128"/>
      <c r="AYO14" s="128"/>
      <c r="AYP14" s="232" t="s">
        <v>35</v>
      </c>
      <c r="AYQ14" s="232"/>
      <c r="AYR14" s="232"/>
      <c r="AYS14" s="232"/>
      <c r="AYT14" s="103"/>
      <c r="AYU14" s="103"/>
      <c r="AYV14" s="231" t="s">
        <v>25</v>
      </c>
      <c r="AYW14" s="231"/>
      <c r="AYX14" s="231"/>
      <c r="AYY14" s="231"/>
      <c r="AYZ14" s="128"/>
      <c r="AZA14" s="128"/>
      <c r="AZB14" s="232" t="s">
        <v>36</v>
      </c>
      <c r="AZC14" s="232"/>
      <c r="AZD14" s="232"/>
      <c r="AZE14" s="232"/>
      <c r="AZF14" s="103"/>
      <c r="AZG14" s="103"/>
      <c r="AZH14" s="231" t="s">
        <v>26</v>
      </c>
      <c r="AZI14" s="231"/>
      <c r="AZJ14" s="231"/>
      <c r="AZK14" s="231"/>
      <c r="AZL14" s="128"/>
      <c r="AZM14" s="128"/>
      <c r="AZN14" s="232" t="s">
        <v>37</v>
      </c>
      <c r="AZO14" s="232"/>
      <c r="AZP14" s="232"/>
      <c r="AZQ14" s="232"/>
      <c r="AZR14" s="103"/>
      <c r="AZS14" s="103"/>
      <c r="AZT14" s="231" t="s">
        <v>27</v>
      </c>
      <c r="AZU14" s="231"/>
      <c r="AZV14" s="231"/>
      <c r="AZW14" s="231"/>
      <c r="AZX14" s="128"/>
      <c r="AZY14" s="128"/>
      <c r="AZZ14" s="232" t="s">
        <v>38</v>
      </c>
      <c r="BAA14" s="232"/>
      <c r="BAB14" s="232"/>
      <c r="BAC14" s="232"/>
      <c r="BAD14" s="103"/>
      <c r="BAE14" s="103"/>
      <c r="BAF14" s="103"/>
      <c r="BAG14" s="104"/>
      <c r="BAH14" s="102"/>
      <c r="BAI14" s="103"/>
      <c r="BAJ14" s="103"/>
      <c r="BAK14" s="103"/>
      <c r="BAL14" s="232" t="s">
        <v>34</v>
      </c>
      <c r="BAM14" s="232"/>
      <c r="BAN14" s="232"/>
      <c r="BAO14" s="232"/>
      <c r="BAP14" s="103"/>
      <c r="BAQ14" s="103"/>
      <c r="BAR14" s="231" t="s">
        <v>24</v>
      </c>
      <c r="BAS14" s="231"/>
      <c r="BAT14" s="231"/>
      <c r="BAU14" s="231"/>
      <c r="BAV14" s="128"/>
      <c r="BAW14" s="128"/>
      <c r="BAX14" s="232" t="s">
        <v>35</v>
      </c>
      <c r="BAY14" s="232"/>
      <c r="BAZ14" s="232"/>
      <c r="BBA14" s="232"/>
      <c r="BBB14" s="103"/>
      <c r="BBC14" s="103"/>
      <c r="BBD14" s="231" t="s">
        <v>25</v>
      </c>
      <c r="BBE14" s="231"/>
      <c r="BBF14" s="231"/>
      <c r="BBG14" s="231"/>
      <c r="BBH14" s="128"/>
      <c r="BBI14" s="128"/>
      <c r="BBJ14" s="232" t="s">
        <v>36</v>
      </c>
      <c r="BBK14" s="232"/>
      <c r="BBL14" s="232"/>
      <c r="BBM14" s="232"/>
      <c r="BBN14" s="103"/>
      <c r="BBO14" s="103"/>
      <c r="BBP14" s="231" t="s">
        <v>26</v>
      </c>
      <c r="BBQ14" s="231"/>
      <c r="BBR14" s="231"/>
      <c r="BBS14" s="231"/>
      <c r="BBT14" s="128"/>
      <c r="BBU14" s="128"/>
      <c r="BBV14" s="232" t="s">
        <v>37</v>
      </c>
      <c r="BBW14" s="232"/>
      <c r="BBX14" s="232"/>
      <c r="BBY14" s="232"/>
      <c r="BBZ14" s="103"/>
      <c r="BCA14" s="103"/>
      <c r="BCB14" s="231" t="s">
        <v>27</v>
      </c>
      <c r="BCC14" s="231"/>
      <c r="BCD14" s="231"/>
      <c r="BCE14" s="231"/>
      <c r="BCF14" s="128"/>
      <c r="BCG14" s="128"/>
      <c r="BCH14" s="232" t="s">
        <v>38</v>
      </c>
      <c r="BCI14" s="232"/>
      <c r="BCJ14" s="232"/>
      <c r="BCK14" s="232"/>
      <c r="BCL14" s="103"/>
      <c r="BCM14" s="103"/>
      <c r="BCN14" s="103"/>
      <c r="BCO14" s="104"/>
      <c r="BCP14" s="102"/>
      <c r="BCQ14" s="103"/>
      <c r="BCR14" s="103"/>
      <c r="BCS14" s="103"/>
      <c r="BCT14" s="232" t="s">
        <v>34</v>
      </c>
      <c r="BCU14" s="232"/>
      <c r="BCV14" s="232"/>
      <c r="BCW14" s="232"/>
      <c r="BCX14" s="103"/>
      <c r="BCY14" s="103"/>
      <c r="BCZ14" s="231" t="s">
        <v>24</v>
      </c>
      <c r="BDA14" s="231"/>
      <c r="BDB14" s="231"/>
      <c r="BDC14" s="231"/>
      <c r="BDD14" s="128"/>
      <c r="BDE14" s="128"/>
      <c r="BDF14" s="232" t="s">
        <v>35</v>
      </c>
      <c r="BDG14" s="232"/>
      <c r="BDH14" s="232"/>
      <c r="BDI14" s="232"/>
      <c r="BDJ14" s="103"/>
      <c r="BDK14" s="103"/>
      <c r="BDL14" s="231" t="s">
        <v>25</v>
      </c>
      <c r="BDM14" s="231"/>
      <c r="BDN14" s="231"/>
      <c r="BDO14" s="231"/>
      <c r="BDP14" s="128"/>
      <c r="BDQ14" s="128"/>
      <c r="BDR14" s="232" t="s">
        <v>36</v>
      </c>
      <c r="BDS14" s="232"/>
      <c r="BDT14" s="232"/>
      <c r="BDU14" s="232"/>
      <c r="BDV14" s="103"/>
      <c r="BDW14" s="103"/>
      <c r="BDX14" s="231" t="s">
        <v>26</v>
      </c>
      <c r="BDY14" s="231"/>
      <c r="BDZ14" s="231"/>
      <c r="BEA14" s="231"/>
      <c r="BEB14" s="128"/>
      <c r="BEC14" s="128"/>
      <c r="BED14" s="232" t="s">
        <v>37</v>
      </c>
      <c r="BEE14" s="232"/>
      <c r="BEF14" s="232"/>
      <c r="BEG14" s="232"/>
      <c r="BEH14" s="103"/>
      <c r="BEI14" s="103"/>
      <c r="BEJ14" s="231" t="s">
        <v>27</v>
      </c>
      <c r="BEK14" s="231"/>
      <c r="BEL14" s="231"/>
      <c r="BEM14" s="231"/>
      <c r="BEN14" s="128"/>
      <c r="BEO14" s="128"/>
      <c r="BEP14" s="232" t="s">
        <v>38</v>
      </c>
      <c r="BEQ14" s="232"/>
      <c r="BER14" s="232"/>
      <c r="BES14" s="232"/>
      <c r="BET14" s="103"/>
      <c r="BEU14" s="103"/>
      <c r="BEV14" s="103"/>
      <c r="BEW14" s="104"/>
      <c r="BEX14" s="102"/>
      <c r="BEY14" s="103"/>
      <c r="BEZ14" s="103"/>
      <c r="BFA14" s="103"/>
      <c r="BFB14" s="232" t="s">
        <v>34</v>
      </c>
      <c r="BFC14" s="232"/>
      <c r="BFD14" s="232"/>
      <c r="BFE14" s="232"/>
      <c r="BFF14" s="103"/>
      <c r="BFG14" s="103"/>
      <c r="BFH14" s="231" t="s">
        <v>24</v>
      </c>
      <c r="BFI14" s="231"/>
      <c r="BFJ14" s="231"/>
      <c r="BFK14" s="231"/>
      <c r="BFL14" s="128"/>
      <c r="BFM14" s="128"/>
      <c r="BFN14" s="232" t="s">
        <v>35</v>
      </c>
      <c r="BFO14" s="232"/>
      <c r="BFP14" s="232"/>
      <c r="BFQ14" s="232"/>
      <c r="BFR14" s="103"/>
      <c r="BFS14" s="103"/>
      <c r="BFT14" s="231" t="s">
        <v>25</v>
      </c>
      <c r="BFU14" s="231"/>
      <c r="BFV14" s="231"/>
      <c r="BFW14" s="231"/>
      <c r="BFX14" s="128"/>
      <c r="BFY14" s="128"/>
      <c r="BFZ14" s="232" t="s">
        <v>36</v>
      </c>
      <c r="BGA14" s="232"/>
      <c r="BGB14" s="232"/>
      <c r="BGC14" s="232"/>
      <c r="BGD14" s="103"/>
      <c r="BGE14" s="103"/>
      <c r="BGF14" s="231" t="s">
        <v>26</v>
      </c>
      <c r="BGG14" s="231"/>
      <c r="BGH14" s="231"/>
      <c r="BGI14" s="231"/>
      <c r="BGJ14" s="128"/>
      <c r="BGK14" s="128"/>
      <c r="BGL14" s="232" t="s">
        <v>37</v>
      </c>
      <c r="BGM14" s="232"/>
      <c r="BGN14" s="232"/>
      <c r="BGO14" s="232"/>
      <c r="BGP14" s="103"/>
      <c r="BGQ14" s="103"/>
      <c r="BGR14" s="231" t="s">
        <v>27</v>
      </c>
      <c r="BGS14" s="231"/>
      <c r="BGT14" s="231"/>
      <c r="BGU14" s="231"/>
      <c r="BGV14" s="128"/>
      <c r="BGW14" s="128"/>
      <c r="BGX14" s="232" t="s">
        <v>38</v>
      </c>
      <c r="BGY14" s="232"/>
      <c r="BGZ14" s="232"/>
      <c r="BHA14" s="232"/>
      <c r="BHB14" s="103"/>
      <c r="BHC14" s="103"/>
      <c r="BHD14" s="103"/>
      <c r="BHE14" s="104"/>
      <c r="BHF14" s="90"/>
    </row>
    <row r="15" spans="1:1866" ht="20.100000000000001" customHeight="1" x14ac:dyDescent="0.25">
      <c r="A15" s="100" t="s">
        <v>20</v>
      </c>
      <c r="B15" s="63" t="str">
        <f>IF(LEN(C15)=0,"",C15)</f>
        <v xml:space="preserve">Absences - imprévus </v>
      </c>
      <c r="C15" s="222"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30"/>
      <c r="D16" s="146" t="str">
        <f t="shared" ref="D16:D56" si="0">setValueToTime(E16)</f>
        <v>2h5min</v>
      </c>
      <c r="E16" s="35">
        <v>25</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185"/>
      <c r="XK16" s="210"/>
      <c r="XL16" s="184"/>
      <c r="XM16" s="184"/>
      <c r="XN16" s="184"/>
      <c r="XO16" s="184"/>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183"/>
      <c r="YQ16" s="184"/>
      <c r="YR16" s="184"/>
      <c r="YS16" s="184"/>
      <c r="YT16" s="185"/>
      <c r="YU16" s="186"/>
      <c r="YV16" s="185"/>
      <c r="YW16" s="185"/>
      <c r="YX16" s="185"/>
      <c r="YY16" s="185"/>
      <c r="YZ16" s="185"/>
      <c r="ZA16" s="209"/>
      <c r="ZB16" s="185"/>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183"/>
      <c r="ADG16" s="184"/>
      <c r="ADH16" s="184"/>
      <c r="ADI16" s="184"/>
      <c r="ADJ16" s="185"/>
      <c r="ADK16" s="186"/>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22"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30"/>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22"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23"/>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22"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23"/>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22"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23"/>
      <c r="D24" s="146" t="str">
        <f t="shared" si="0"/>
        <v>3h30min</v>
      </c>
      <c r="E24" s="27">
        <v>42</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09"/>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09"/>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09"/>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209"/>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185"/>
      <c r="QS24" s="209"/>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185"/>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209"/>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185"/>
      <c r="XS24" s="185"/>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185"/>
      <c r="AAK24" s="209"/>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185"/>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184"/>
      <c r="AGS24" s="184"/>
      <c r="AGT24" s="184"/>
      <c r="AGU24" s="184"/>
      <c r="AGV24" s="185"/>
      <c r="AGW24" s="209"/>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185"/>
      <c r="AJP24" s="185"/>
      <c r="AJQ24" s="209"/>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209"/>
      <c r="ALN24" s="185"/>
      <c r="ALO24" s="185"/>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209"/>
      <c r="ANV24" s="185"/>
      <c r="ANW24" s="185"/>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209"/>
      <c r="AQD24" s="185"/>
      <c r="AQE24" s="185"/>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67"/>
      <c r="ASH24" s="67"/>
      <c r="ASI24" s="67"/>
      <c r="ASJ24" s="29"/>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135"/>
      <c r="AUT24" s="29"/>
      <c r="AUU24" s="29"/>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29"/>
      <c r="AXK24" s="29"/>
      <c r="AXL24" s="29"/>
      <c r="AXM24" s="135"/>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29"/>
      <c r="AZI24" s="135"/>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22"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30"/>
      <c r="D26" s="147" t="str">
        <f t="shared" si="0"/>
        <v>6h20min</v>
      </c>
      <c r="E26" s="35">
        <v>76</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182"/>
      <c r="NC26" s="190"/>
      <c r="ND26" s="190"/>
      <c r="NE26" s="190"/>
      <c r="NF26" s="187"/>
      <c r="NG26" s="191"/>
      <c r="NH26" s="187"/>
      <c r="NI26" s="187"/>
      <c r="NJ26" s="187"/>
      <c r="NK26" s="187"/>
      <c r="NL26" s="18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187"/>
      <c r="ADU26" s="187"/>
      <c r="ADV26" s="187"/>
      <c r="ADW26" s="189"/>
      <c r="ADX26" s="187"/>
      <c r="ADY26" s="187"/>
      <c r="ADZ26" s="187"/>
      <c r="AEA26" s="187"/>
      <c r="AEB26" s="187"/>
      <c r="AEC26" s="188"/>
      <c r="AED26" s="187"/>
      <c r="AEE26" s="187"/>
      <c r="AEF26" s="187"/>
      <c r="AEG26" s="18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187"/>
      <c r="AGN26" s="187"/>
      <c r="AGO26" s="187"/>
      <c r="AGP26" s="187"/>
      <c r="AGQ26" s="189"/>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182"/>
      <c r="AKE26" s="190"/>
      <c r="AKF26" s="190"/>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182"/>
      <c r="AMM26" s="190"/>
      <c r="AMN26" s="190"/>
      <c r="AMO26" s="190"/>
      <c r="AMP26" s="187"/>
      <c r="AMQ26" s="191"/>
      <c r="AMR26" s="187"/>
      <c r="AMS26" s="187"/>
      <c r="AMT26" s="187"/>
      <c r="AMU26" s="187"/>
      <c r="AMV26" s="187"/>
      <c r="AMW26" s="188"/>
      <c r="AMX26" s="187"/>
      <c r="AMY26" s="187"/>
      <c r="AMZ26" s="187"/>
      <c r="ANA26" s="187"/>
      <c r="ANB26" s="187"/>
      <c r="ANC26" s="189"/>
      <c r="AND26" s="187"/>
      <c r="ANE26" s="187"/>
      <c r="ANF26" s="187"/>
      <c r="ANG26" s="18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37"/>
      <c r="AUM26" s="75"/>
      <c r="AUN26" s="65"/>
      <c r="AUO26" s="65"/>
      <c r="AUP26" s="65"/>
      <c r="AUQ26" s="65"/>
      <c r="AUR26" s="3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37"/>
      <c r="AWC26" s="137"/>
      <c r="AWD26" s="37"/>
      <c r="AWE26" s="37"/>
      <c r="AWF26" s="37"/>
      <c r="AWG26" s="37"/>
      <c r="AWH26" s="37"/>
      <c r="AWI26" s="75"/>
      <c r="AWJ26" s="37"/>
      <c r="AWK26" s="37"/>
      <c r="AWL26" s="37"/>
      <c r="AWM26" s="37"/>
      <c r="AWN26" s="37"/>
      <c r="AWO26" s="137"/>
      <c r="AWP26" s="37"/>
      <c r="AWQ26" s="37"/>
      <c r="AWR26" s="37"/>
      <c r="AWS26" s="37"/>
      <c r="AWT26" s="37"/>
      <c r="AWU26" s="75"/>
      <c r="AWV26" s="65"/>
      <c r="AWW26" s="65"/>
      <c r="AWX26" s="65"/>
      <c r="AWY26" s="65"/>
      <c r="AWZ26" s="3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37"/>
      <c r="AZB26" s="37"/>
      <c r="AZC26" s="75"/>
      <c r="AZD26" s="65"/>
      <c r="AZE26" s="65"/>
      <c r="AZF26" s="65"/>
      <c r="AZG26" s="65"/>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22"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30"/>
      <c r="D28" s="147" t="str">
        <f t="shared" si="0"/>
        <v>2h5min</v>
      </c>
      <c r="E28" s="27">
        <v>25</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09"/>
      <c r="HB28" s="185"/>
      <c r="HC28" s="185"/>
      <c r="HD28" s="185"/>
      <c r="HE28" s="185"/>
      <c r="HF28" s="185"/>
      <c r="HG28" s="210"/>
      <c r="HH28" s="184"/>
      <c r="HI28" s="184"/>
      <c r="HJ28" s="184"/>
      <c r="HK28" s="184"/>
      <c r="HL28" s="185"/>
      <c r="HM28" s="209"/>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10"/>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210"/>
      <c r="VP28" s="185"/>
      <c r="VQ28" s="185"/>
      <c r="VR28" s="185"/>
      <c r="VS28" s="185"/>
      <c r="VT28" s="185"/>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22"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30"/>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22"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30"/>
      <c r="D32" s="147" t="str">
        <f t="shared" si="0"/>
        <v>4h15min</v>
      </c>
      <c r="E32" s="27">
        <v>51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10"/>
      <c r="CR32" s="184"/>
      <c r="CS32" s="184"/>
      <c r="CT32" s="184"/>
      <c r="CU32" s="184"/>
      <c r="CV32" s="185"/>
      <c r="CW32" s="209"/>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09"/>
      <c r="EH32" s="185"/>
      <c r="EI32" s="185"/>
      <c r="EJ32" s="185"/>
      <c r="EK32" s="185"/>
      <c r="EL32" s="185"/>
      <c r="EM32" s="210"/>
      <c r="EN32" s="185"/>
      <c r="EO32" s="185"/>
      <c r="EP32" s="185"/>
      <c r="EQ32" s="185"/>
      <c r="ER32" s="185"/>
      <c r="ES32" s="209"/>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09"/>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22"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30"/>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22"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23"/>
      <c r="D36" s="146" t="str">
        <f t="shared" si="0"/>
        <v>17h25min</v>
      </c>
      <c r="E36" s="27">
        <v>209</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210"/>
      <c r="NT36" s="185"/>
      <c r="NU36" s="185"/>
      <c r="NV36" s="185"/>
      <c r="NW36" s="185"/>
      <c r="NX36" s="185"/>
      <c r="NY36" s="209"/>
      <c r="NZ36" s="185"/>
      <c r="OA36" s="185"/>
      <c r="OB36" s="185"/>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183"/>
      <c r="UA36" s="184"/>
      <c r="UB36" s="184"/>
      <c r="UC36" s="184"/>
      <c r="UD36" s="185"/>
      <c r="UE36" s="186"/>
      <c r="UF36" s="185"/>
      <c r="UG36" s="185"/>
      <c r="UH36" s="185"/>
      <c r="UI36" s="185"/>
      <c r="UJ36" s="185"/>
      <c r="UK36" s="209"/>
      <c r="UL36" s="185"/>
      <c r="UM36" s="185"/>
      <c r="UN36" s="185"/>
      <c r="UO36" s="185"/>
      <c r="UP36" s="185"/>
      <c r="UQ36" s="210"/>
      <c r="UR36" s="185"/>
      <c r="US36" s="185"/>
      <c r="UT36" s="185"/>
      <c r="UU36" s="185"/>
      <c r="UV36" s="185"/>
      <c r="UW36" s="209"/>
      <c r="UX36" s="185"/>
      <c r="UY36" s="185"/>
      <c r="UZ36" s="185"/>
      <c r="VA36" s="185"/>
      <c r="VB36" s="185"/>
      <c r="VC36" s="210"/>
      <c r="VD36" s="184"/>
      <c r="VE36" s="184"/>
      <c r="VF36" s="184"/>
      <c r="VG36" s="184"/>
      <c r="VH36" s="185"/>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183"/>
      <c r="WI36" s="184"/>
      <c r="WJ36" s="184"/>
      <c r="WK36" s="184"/>
      <c r="WL36" s="185"/>
      <c r="WM36" s="186"/>
      <c r="WN36" s="185"/>
      <c r="WO36" s="185"/>
      <c r="WP36" s="185"/>
      <c r="WQ36" s="185"/>
      <c r="WR36" s="185"/>
      <c r="WS36" s="209"/>
      <c r="WT36" s="185"/>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185"/>
      <c r="ZD36" s="185"/>
      <c r="ZE36" s="185"/>
      <c r="ZF36" s="185"/>
      <c r="ZG36" s="210"/>
      <c r="ZH36" s="185"/>
      <c r="ZI36" s="185"/>
      <c r="ZJ36" s="185"/>
      <c r="ZK36" s="185"/>
      <c r="ZL36" s="185"/>
      <c r="ZM36" s="209"/>
      <c r="ZN36" s="185"/>
      <c r="ZO36" s="185"/>
      <c r="ZP36" s="185"/>
      <c r="ZQ36" s="185"/>
      <c r="ZR36" s="185"/>
      <c r="ZS36" s="210"/>
      <c r="ZT36" s="184"/>
      <c r="ZU36" s="184"/>
      <c r="ZV36" s="184"/>
      <c r="ZW36" s="184"/>
      <c r="ZX36" s="185"/>
      <c r="ZY36" s="209"/>
      <c r="ZZ36" s="185"/>
      <c r="AAA36" s="185"/>
      <c r="AAB36" s="185"/>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183"/>
      <c r="AAY36" s="184"/>
      <c r="AAZ36" s="184"/>
      <c r="ABA36" s="184"/>
      <c r="ABB36" s="185"/>
      <c r="ABC36" s="186"/>
      <c r="ABD36" s="185"/>
      <c r="ABE36" s="185"/>
      <c r="ABF36" s="185"/>
      <c r="ABG36" s="185"/>
      <c r="ABH36" s="185"/>
      <c r="ABI36" s="209"/>
      <c r="ABJ36" s="185"/>
      <c r="ABK36" s="185"/>
      <c r="ABL36" s="185"/>
      <c r="ABM36" s="185"/>
      <c r="ABN36" s="185"/>
      <c r="ABO36" s="210"/>
      <c r="ABP36" s="185"/>
      <c r="ABQ36" s="185"/>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183"/>
      <c r="AFO36" s="184"/>
      <c r="AFP36" s="184"/>
      <c r="AFQ36" s="184"/>
      <c r="AFR36" s="185"/>
      <c r="AFS36" s="186"/>
      <c r="AFT36" s="185"/>
      <c r="AFU36" s="185"/>
      <c r="AFV36" s="185"/>
      <c r="AFW36" s="185"/>
      <c r="AFX36" s="185"/>
      <c r="AFY36" s="209"/>
      <c r="AFZ36" s="185"/>
      <c r="AGA36" s="185"/>
      <c r="AGB36" s="185"/>
      <c r="AGC36" s="185"/>
      <c r="AGD36" s="185"/>
      <c r="AGE36" s="210"/>
      <c r="AGF36" s="185"/>
      <c r="AGG36" s="185"/>
      <c r="AGH36" s="185"/>
      <c r="AGI36" s="185"/>
      <c r="AGJ36" s="185"/>
      <c r="AGK36" s="209"/>
      <c r="AGL36" s="185"/>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183"/>
      <c r="AHW36" s="184"/>
      <c r="AHX36" s="184"/>
      <c r="AHY36" s="184"/>
      <c r="AHZ36" s="185"/>
      <c r="AIA36" s="186"/>
      <c r="AIB36" s="185"/>
      <c r="AIC36" s="185"/>
      <c r="AID36" s="185"/>
      <c r="AIE36" s="185"/>
      <c r="AIF36" s="185"/>
      <c r="AIG36" s="209"/>
      <c r="AIH36" s="185"/>
      <c r="AII36" s="185"/>
      <c r="AIJ36" s="185"/>
      <c r="AIK36" s="185"/>
      <c r="AIL36" s="185"/>
      <c r="AIM36" s="210"/>
      <c r="AIN36" s="185"/>
      <c r="AIO36" s="185"/>
      <c r="AIP36" s="185"/>
      <c r="AIQ36" s="185"/>
      <c r="AIR36" s="185"/>
      <c r="AIS36" s="209"/>
      <c r="AIT36" s="185"/>
      <c r="AIU36" s="185"/>
      <c r="AIV36" s="185"/>
      <c r="AIW36" s="185"/>
      <c r="AIX36" s="185"/>
      <c r="AIY36" s="210"/>
      <c r="AIZ36" s="184"/>
      <c r="AJA36" s="184"/>
      <c r="AJB36" s="184"/>
      <c r="AJC36" s="184"/>
      <c r="AJD36" s="185"/>
      <c r="AJE36" s="209"/>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184"/>
      <c r="AKH36" s="185"/>
      <c r="AKI36" s="186"/>
      <c r="AKJ36" s="185"/>
      <c r="AKK36" s="185"/>
      <c r="AKL36" s="185"/>
      <c r="AKM36" s="185"/>
      <c r="AKN36" s="185"/>
      <c r="AKO36" s="209"/>
      <c r="AKP36" s="185"/>
      <c r="AKQ36" s="185"/>
      <c r="AKR36" s="185"/>
      <c r="AKS36" s="185"/>
      <c r="AKT36" s="185"/>
      <c r="AKU36" s="210"/>
      <c r="AKV36" s="185"/>
      <c r="AKW36" s="185"/>
      <c r="AKX36" s="185"/>
      <c r="AKY36" s="185"/>
      <c r="AKZ36" s="185"/>
      <c r="ALA36" s="209"/>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185"/>
      <c r="APB36" s="185"/>
      <c r="APC36" s="185"/>
      <c r="APD36" s="185"/>
      <c r="APE36" s="209"/>
      <c r="APF36" s="185"/>
      <c r="APG36" s="185"/>
      <c r="APH36" s="185"/>
      <c r="API36" s="185"/>
      <c r="APJ36" s="185"/>
      <c r="APK36" s="210"/>
      <c r="APL36" s="185"/>
      <c r="APM36" s="185"/>
      <c r="APN36" s="185"/>
      <c r="APO36" s="185"/>
      <c r="APP36" s="185"/>
      <c r="APQ36" s="209"/>
      <c r="APR36" s="185"/>
      <c r="APS36" s="185"/>
      <c r="APT36" s="185"/>
      <c r="APU36" s="185"/>
      <c r="APV36" s="185"/>
      <c r="APW36" s="210"/>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28"/>
      <c r="ARC36" s="67"/>
      <c r="ARD36" s="67"/>
      <c r="ARE36" s="67"/>
      <c r="ARF36" s="29"/>
      <c r="ARG36" s="130"/>
      <c r="ARH36" s="29"/>
      <c r="ARI36" s="29"/>
      <c r="ARJ36" s="29"/>
      <c r="ARK36" s="29"/>
      <c r="ARL36" s="29"/>
      <c r="ARM36" s="135"/>
      <c r="ARN36" s="29"/>
      <c r="ARO36" s="29"/>
      <c r="ARP36" s="29"/>
      <c r="ARQ36" s="29"/>
      <c r="ARR36" s="29"/>
      <c r="ARS36" s="73"/>
      <c r="ART36" s="29"/>
      <c r="ARU36" s="29"/>
      <c r="ARV36" s="29"/>
      <c r="ARW36" s="29"/>
      <c r="ARX36" s="29"/>
      <c r="ARY36" s="135"/>
      <c r="ARZ36" s="29"/>
      <c r="ASA36" s="29"/>
      <c r="ASB36" s="29"/>
      <c r="ASC36" s="29"/>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28"/>
      <c r="ATK36" s="67"/>
      <c r="ATL36" s="67"/>
      <c r="ATM36" s="67"/>
      <c r="ATN36" s="29"/>
      <c r="ATO36" s="130"/>
      <c r="ATP36" s="29"/>
      <c r="ATQ36" s="29"/>
      <c r="ATR36" s="29"/>
      <c r="ATS36" s="29"/>
      <c r="ATT36" s="29"/>
      <c r="ATU36" s="135"/>
      <c r="ATV36" s="29"/>
      <c r="ATW36" s="29"/>
      <c r="ATX36" s="29"/>
      <c r="ATY36" s="29"/>
      <c r="ATZ36" s="29"/>
      <c r="AUA36" s="73"/>
      <c r="AUB36" s="29"/>
      <c r="AUC36" s="29"/>
      <c r="AUD36" s="29"/>
      <c r="AUE36" s="29"/>
      <c r="AUF36" s="29"/>
      <c r="AUG36" s="135"/>
      <c r="AUH36" s="29"/>
      <c r="AUI36" s="29"/>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135"/>
      <c r="AXB36" s="29"/>
      <c r="AXC36" s="29"/>
      <c r="AXD36" s="29"/>
      <c r="AXE36" s="29"/>
      <c r="AXF36" s="29"/>
      <c r="AXG36" s="73"/>
      <c r="AXH36" s="29"/>
      <c r="AXI36" s="29"/>
      <c r="AXJ36" s="29"/>
      <c r="AXK36" s="29"/>
      <c r="AXL36" s="29"/>
      <c r="AXM36" s="135"/>
      <c r="AXN36" s="29"/>
      <c r="AXO36" s="29"/>
      <c r="AXP36" s="29"/>
      <c r="AXQ36" s="29"/>
      <c r="AXR36" s="29"/>
      <c r="AXS36" s="73"/>
      <c r="AXT36" s="29"/>
      <c r="AXU36" s="29"/>
      <c r="AXV36" s="29"/>
      <c r="AXW36" s="29"/>
      <c r="AXX36" s="29"/>
      <c r="AXY36" s="30"/>
      <c r="AXZ36" s="28"/>
      <c r="AYA36" s="67"/>
      <c r="AYB36" s="67"/>
      <c r="AYC36" s="67"/>
      <c r="AYD36" s="29"/>
      <c r="AYE36" s="130"/>
      <c r="AYF36" s="29"/>
      <c r="AYG36" s="29"/>
      <c r="AYH36" s="29"/>
      <c r="AYI36" s="29"/>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22"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30"/>
      <c r="D38" s="147" t="str">
        <f t="shared" si="0"/>
        <v>2h45min</v>
      </c>
      <c r="E38" s="35">
        <v>33</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187"/>
      <c r="SH38" s="187"/>
      <c r="SI38" s="189"/>
      <c r="SJ38" s="18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187"/>
      <c r="AAD38" s="187"/>
      <c r="AAE38" s="189"/>
      <c r="AAF38" s="187"/>
      <c r="AAG38" s="187"/>
      <c r="AAH38" s="187"/>
      <c r="AAI38" s="18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187"/>
      <c r="ADM38" s="187"/>
      <c r="ADN38" s="187"/>
      <c r="ADO38" s="187"/>
      <c r="ADP38" s="187"/>
      <c r="ADQ38" s="188"/>
      <c r="ADR38" s="187"/>
      <c r="ADS38" s="18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187"/>
      <c r="AJG38" s="187"/>
      <c r="AJH38" s="187"/>
      <c r="AJI38" s="187"/>
      <c r="AJJ38" s="187"/>
      <c r="AJK38" s="189"/>
      <c r="AJL38" s="187"/>
      <c r="AJM38" s="187"/>
      <c r="AJN38" s="18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190"/>
      <c r="APY38" s="190"/>
      <c r="APZ38" s="190"/>
      <c r="AQA38" s="190"/>
      <c r="AQB38" s="18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37"/>
      <c r="ASE38" s="75"/>
      <c r="ASF38" s="65"/>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37"/>
      <c r="AUK38" s="3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75"/>
      <c r="AXH38" s="37"/>
      <c r="AXI38" s="3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37"/>
      <c r="AYZ38" s="3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22"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23"/>
      <c r="D40" s="146" t="str">
        <f t="shared" si="0"/>
        <v>12h5min</v>
      </c>
      <c r="E40" s="27">
        <v>145</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210"/>
      <c r="OF40" s="184"/>
      <c r="OG40" s="184"/>
      <c r="OH40" s="184"/>
      <c r="OI40" s="184"/>
      <c r="OJ40" s="185"/>
      <c r="OK40" s="209"/>
      <c r="OL40" s="185"/>
      <c r="OM40" s="185"/>
      <c r="ON40" s="185"/>
      <c r="OO40" s="185"/>
      <c r="OP40" s="185"/>
      <c r="OQ40" s="210"/>
      <c r="OR40" s="185"/>
      <c r="OS40" s="185"/>
      <c r="OT40" s="185"/>
      <c r="OU40" s="185"/>
      <c r="OV40" s="185"/>
      <c r="OW40" s="135"/>
      <c r="OX40" s="29"/>
      <c r="OY40" s="29"/>
      <c r="OZ40" s="29"/>
      <c r="PA40" s="29"/>
      <c r="PB40" s="29"/>
      <c r="PC40" s="73"/>
      <c r="PD40" s="29"/>
      <c r="PE40" s="29"/>
      <c r="PF40" s="29"/>
      <c r="PG40" s="29"/>
      <c r="PH40" s="29"/>
      <c r="PI40" s="30"/>
      <c r="PJ40" s="183"/>
      <c r="PK40" s="184"/>
      <c r="PL40" s="184"/>
      <c r="PM40" s="184"/>
      <c r="PN40" s="185"/>
      <c r="PO40" s="186"/>
      <c r="PP40" s="185"/>
      <c r="PQ40" s="185"/>
      <c r="PR40" s="185"/>
      <c r="PS40" s="185"/>
      <c r="PT40" s="185"/>
      <c r="PU40" s="209"/>
      <c r="PV40" s="185"/>
      <c r="PW40" s="185"/>
      <c r="PX40" s="185"/>
      <c r="PY40" s="185"/>
      <c r="PZ40" s="185"/>
      <c r="QA40" s="210"/>
      <c r="QB40" s="185"/>
      <c r="QC40" s="185"/>
      <c r="QD40" s="185"/>
      <c r="QE40" s="185"/>
      <c r="QF40" s="185"/>
      <c r="QG40" s="209"/>
      <c r="QH40" s="185"/>
      <c r="QI40" s="185"/>
      <c r="QJ40" s="185"/>
      <c r="QK40" s="185"/>
      <c r="QL40" s="185"/>
      <c r="QM40" s="210"/>
      <c r="QN40" s="184"/>
      <c r="QO40" s="184"/>
      <c r="QP40" s="184"/>
      <c r="QQ40" s="184"/>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183"/>
      <c r="RS40" s="184"/>
      <c r="RT40" s="184"/>
      <c r="RU40" s="184"/>
      <c r="RV40" s="185"/>
      <c r="RW40" s="186"/>
      <c r="RX40" s="185"/>
      <c r="RY40" s="185"/>
      <c r="RZ40" s="185"/>
      <c r="SA40" s="185"/>
      <c r="SB40" s="185"/>
      <c r="SC40" s="209"/>
      <c r="SD40" s="185"/>
      <c r="SE40" s="185"/>
      <c r="SF40" s="185"/>
      <c r="SG40" s="29"/>
      <c r="SH40" s="29"/>
      <c r="SI40" s="73"/>
      <c r="SJ40" s="29"/>
      <c r="SK40" s="29"/>
      <c r="SL40" s="29"/>
      <c r="SM40" s="29"/>
      <c r="SN40" s="29"/>
      <c r="SO40" s="135"/>
      <c r="SP40" s="29"/>
      <c r="SQ40" s="29"/>
      <c r="SR40" s="29"/>
      <c r="SS40" s="29"/>
      <c r="ST40" s="29"/>
      <c r="SU40" s="73"/>
      <c r="SV40" s="67"/>
      <c r="SW40" s="184"/>
      <c r="SX40" s="184"/>
      <c r="SY40" s="184"/>
      <c r="SZ40" s="185"/>
      <c r="TA40" s="209"/>
      <c r="TB40" s="185"/>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209"/>
      <c r="VJ40" s="185"/>
      <c r="VK40" s="185"/>
      <c r="VL40" s="185"/>
      <c r="VM40" s="185"/>
      <c r="VN40" s="185"/>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185"/>
      <c r="WV40" s="185"/>
      <c r="WW40" s="185"/>
      <c r="WX40" s="185"/>
      <c r="WY40" s="210"/>
      <c r="WZ40" s="185"/>
      <c r="XA40" s="185"/>
      <c r="XB40" s="185"/>
      <c r="XC40" s="185"/>
      <c r="XD40" s="185"/>
      <c r="XE40" s="209"/>
      <c r="XF40" s="185"/>
      <c r="XG40" s="185"/>
      <c r="XH40" s="185"/>
      <c r="XI40" s="185"/>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185"/>
      <c r="ABS40" s="185"/>
      <c r="ABT40" s="185"/>
      <c r="ABU40" s="209"/>
      <c r="ABV40" s="185"/>
      <c r="ABW40" s="185"/>
      <c r="ABX40" s="185"/>
      <c r="ABY40" s="185"/>
      <c r="ABZ40" s="185"/>
      <c r="ACA40" s="210"/>
      <c r="ACB40" s="184"/>
      <c r="ACC40" s="184"/>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185"/>
      <c r="AEI40" s="210"/>
      <c r="AEJ40" s="184"/>
      <c r="AEK40" s="184"/>
      <c r="AEL40" s="184"/>
      <c r="AEM40" s="184"/>
      <c r="AEN40" s="185"/>
      <c r="AEO40" s="209"/>
      <c r="AEP40" s="185"/>
      <c r="AEQ40" s="185"/>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185"/>
      <c r="ALC40" s="185"/>
      <c r="ALD40" s="185"/>
      <c r="ALE40" s="185"/>
      <c r="ALF40" s="185"/>
      <c r="ALG40" s="210"/>
      <c r="ALH40" s="184"/>
      <c r="ALI40" s="184"/>
      <c r="ALJ40" s="184"/>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185"/>
      <c r="ANI40" s="209"/>
      <c r="ANJ40" s="185"/>
      <c r="ANK40" s="185"/>
      <c r="ANL40" s="185"/>
      <c r="ANM40" s="185"/>
      <c r="ANN40" s="185"/>
      <c r="ANO40" s="210"/>
      <c r="ANP40" s="184"/>
      <c r="ANQ40" s="184"/>
      <c r="ANR40" s="184"/>
      <c r="ANS40" s="184"/>
      <c r="ANT40" s="185"/>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183"/>
      <c r="AOU40" s="184"/>
      <c r="AOV40" s="184"/>
      <c r="AOW40" s="184"/>
      <c r="AOX40" s="185"/>
      <c r="AOY40" s="186"/>
      <c r="AOZ40" s="185"/>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22"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23"/>
      <c r="D42" s="147" t="str">
        <f t="shared" si="0"/>
        <v>3h45min</v>
      </c>
      <c r="E42" s="35">
        <v>45</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88"/>
      <c r="NN42" s="187"/>
      <c r="NO42" s="187"/>
      <c r="NP42" s="187"/>
      <c r="NQ42" s="187"/>
      <c r="NR42" s="18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187"/>
      <c r="SL42" s="187"/>
      <c r="SM42" s="187"/>
      <c r="SN42" s="187"/>
      <c r="SO42" s="188"/>
      <c r="SP42" s="187"/>
      <c r="SQ42" s="187"/>
      <c r="SR42" s="187"/>
      <c r="SS42" s="187"/>
      <c r="ST42" s="187"/>
      <c r="SU42" s="189"/>
      <c r="SV42" s="190"/>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22"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23"/>
      <c r="D44" s="147" t="str">
        <f t="shared" si="0"/>
        <v>0h</v>
      </c>
      <c r="E44" s="35">
        <v>0</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36"/>
      <c r="AVS44" s="65"/>
      <c r="AVT44" s="65"/>
      <c r="AVU44" s="65"/>
      <c r="AVV44" s="37"/>
      <c r="AVW44" s="132"/>
      <c r="AVX44" s="37"/>
      <c r="AVY44" s="37"/>
      <c r="AVZ44" s="37"/>
      <c r="AWA44" s="3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37"/>
      <c r="AYK44" s="137"/>
      <c r="AYL44" s="37"/>
      <c r="AYM44" s="37"/>
      <c r="AYN44" s="37"/>
      <c r="AYO44" s="37"/>
      <c r="AYP44" s="37"/>
      <c r="AYQ44" s="75"/>
      <c r="AYR44" s="37"/>
      <c r="AYS44" s="37"/>
      <c r="AYT44" s="37"/>
      <c r="AYU44" s="37"/>
      <c r="AYV44" s="37"/>
      <c r="AYW44" s="137"/>
      <c r="AYX44" s="3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22"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23"/>
      <c r="D46" s="146" t="str">
        <f t="shared" si="0"/>
        <v>0h</v>
      </c>
      <c r="E46" s="35">
        <v>0</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37"/>
      <c r="ASL46" s="37"/>
      <c r="ASM46" s="3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22"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23"/>
      <c r="D48" s="147" t="str">
        <f t="shared" si="0"/>
        <v>0h30min</v>
      </c>
      <c r="E48" s="27">
        <v>6</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185"/>
      <c r="OD48" s="185"/>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22"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23"/>
      <c r="D50" s="147" t="str">
        <f t="shared" si="0"/>
        <v>1h45min</v>
      </c>
      <c r="E50" s="35">
        <v>21</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187"/>
      <c r="QU50" s="18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187"/>
      <c r="XQ50" s="188"/>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190"/>
      <c r="ACE50" s="190"/>
      <c r="ACF50" s="187"/>
      <c r="ACG50" s="188"/>
      <c r="ACH50" s="18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187"/>
      <c r="AGY50" s="18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190"/>
      <c r="ALL50" s="18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37"/>
      <c r="AZK50" s="3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22"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23"/>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22"/>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30"/>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22"/>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23"/>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42" t="s">
        <v>9</v>
      </c>
      <c r="D57" s="243"/>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44"/>
      <c r="D58" s="245"/>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46" t="s">
        <v>10</v>
      </c>
      <c r="D59" s="247"/>
      <c r="E59" s="117">
        <f>SUM(E16,E18,E20,E22,E24,E26,E28,E30,E32,E34,E36,E38,E40,E42,E44,E46,E48,E50,E52,E54,E56)</f>
        <v>762</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48"/>
      <c r="D60" s="249"/>
      <c r="E60" s="121" t="str">
        <f xml:space="preserve"> setValueToTime(E59)</f>
        <v>63h30min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C53:C54"/>
    <mergeCell ref="C55:C56"/>
    <mergeCell ref="G9:U9"/>
    <mergeCell ref="EL14:EO14"/>
    <mergeCell ref="EX14:FA14"/>
    <mergeCell ref="FJ14:FM14"/>
    <mergeCell ref="DV10:GC10"/>
    <mergeCell ref="DV11:GC11"/>
    <mergeCell ref="DV12:GC12"/>
    <mergeCell ref="CR10:DU10"/>
    <mergeCell ref="BN10:CP10"/>
    <mergeCell ref="BN11:DU11"/>
    <mergeCell ref="BN12:DU12"/>
    <mergeCell ref="C37:C38"/>
    <mergeCell ref="C45:C46"/>
    <mergeCell ref="C31:C32"/>
    <mergeCell ref="C33:C34"/>
    <mergeCell ref="C35:C36"/>
    <mergeCell ref="C21:C22"/>
    <mergeCell ref="C15:C16"/>
    <mergeCell ref="C11:E12"/>
    <mergeCell ref="DZ14:EC14"/>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3:GC13"/>
    <mergeCell ref="C1:E1"/>
    <mergeCell ref="C7:E7"/>
    <mergeCell ref="C47:C48"/>
    <mergeCell ref="C49:C50"/>
    <mergeCell ref="C51:C52"/>
    <mergeCell ref="F12:BM12"/>
    <mergeCell ref="F11:BM11"/>
    <mergeCell ref="W9:AG9"/>
    <mergeCell ref="AH9:AW9"/>
    <mergeCell ref="E13:E14"/>
    <mergeCell ref="C29:C30"/>
    <mergeCell ref="C19:C2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D333" sqref="D33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58" t="s">
        <v>14</v>
      </c>
      <c r="F3" s="259"/>
      <c r="G3" s="46"/>
    </row>
    <row r="4" spans="1:7" s="52" customFormat="1" x14ac:dyDescent="0.3">
      <c r="A4" s="173" t="s">
        <v>16</v>
      </c>
      <c r="B4" s="54">
        <v>15</v>
      </c>
      <c r="C4" s="152" t="str">
        <f t="shared" ref="C4:C9" si="0" xml:space="preserve"> IF(B4="","",setValueToTime(B4))</f>
        <v>1h15min</v>
      </c>
      <c r="D4" s="174" t="s">
        <v>152</v>
      </c>
      <c r="E4" s="260"/>
      <c r="F4" s="261"/>
      <c r="G4" s="51"/>
    </row>
    <row r="5" spans="1:7" s="52" customFormat="1" x14ac:dyDescent="0.3">
      <c r="A5" s="53" t="s">
        <v>98</v>
      </c>
      <c r="B5" s="54">
        <v>4</v>
      </c>
      <c r="C5" s="152" t="str">
        <f t="shared" si="0"/>
        <v>0h20min</v>
      </c>
      <c r="D5" s="174" t="s">
        <v>153</v>
      </c>
      <c r="E5" s="252"/>
      <c r="F5" s="253"/>
      <c r="G5" s="51"/>
    </row>
    <row r="6" spans="1:7" s="52" customFormat="1" x14ac:dyDescent="0.3">
      <c r="A6" s="53" t="s">
        <v>102</v>
      </c>
      <c r="B6" s="54">
        <v>16</v>
      </c>
      <c r="C6" s="152" t="str">
        <f t="shared" si="0"/>
        <v>1h20min</v>
      </c>
      <c r="D6" s="174" t="s">
        <v>154</v>
      </c>
      <c r="E6" s="252"/>
      <c r="F6" s="253"/>
      <c r="G6" s="51"/>
    </row>
    <row r="7" spans="1:7" s="52" customFormat="1" x14ac:dyDescent="0.3">
      <c r="A7" s="53" t="s">
        <v>95</v>
      </c>
      <c r="B7" s="54">
        <v>10</v>
      </c>
      <c r="C7" s="152" t="str">
        <f t="shared" si="0"/>
        <v>0h50min</v>
      </c>
      <c r="D7" s="174" t="s">
        <v>155</v>
      </c>
      <c r="E7" s="252"/>
      <c r="F7" s="253"/>
      <c r="G7" s="51"/>
    </row>
    <row r="8" spans="1:7" s="52" customFormat="1" x14ac:dyDescent="0.3">
      <c r="A8" s="53" t="s">
        <v>17</v>
      </c>
      <c r="B8" s="54">
        <v>2</v>
      </c>
      <c r="C8" s="152" t="str">
        <f t="shared" si="0"/>
        <v>0h10min</v>
      </c>
      <c r="D8" s="174" t="s">
        <v>157</v>
      </c>
      <c r="E8" s="252"/>
      <c r="F8" s="253"/>
      <c r="G8" s="51"/>
    </row>
    <row r="9" spans="1:7" s="52" customFormat="1" x14ac:dyDescent="0.3">
      <c r="A9" s="53" t="s">
        <v>101</v>
      </c>
      <c r="B9" s="54">
        <v>1</v>
      </c>
      <c r="C9" s="152" t="str">
        <f t="shared" si="0"/>
        <v>0h5min</v>
      </c>
      <c r="D9" s="174" t="s">
        <v>156</v>
      </c>
      <c r="E9" s="252"/>
      <c r="F9" s="253"/>
      <c r="G9" s="51"/>
    </row>
    <row r="10" spans="1:7" s="52" customFormat="1" x14ac:dyDescent="0.3">
      <c r="A10" s="54"/>
      <c r="B10" s="54"/>
      <c r="C10" s="153" t="str">
        <f t="shared" ref="C10:C11" si="1" xml:space="preserve"> IF(B10="","",setValueToTime(B10))</f>
        <v/>
      </c>
      <c r="D10" s="55"/>
      <c r="E10" s="252"/>
      <c r="F10" s="253"/>
      <c r="G10" s="51"/>
    </row>
    <row r="11" spans="1:7" s="52" customFormat="1" ht="15" thickBot="1" x14ac:dyDescent="0.35">
      <c r="A11" s="56"/>
      <c r="B11" s="56"/>
      <c r="C11" s="154" t="str">
        <f t="shared" si="1"/>
        <v/>
      </c>
      <c r="D11" s="57"/>
      <c r="E11" s="254"/>
      <c r="F11" s="255"/>
      <c r="G11" s="51"/>
    </row>
    <row r="12" spans="1:7" s="52" customFormat="1" ht="15" thickBot="1" x14ac:dyDescent="0.35">
      <c r="A12" s="110" t="s">
        <v>29</v>
      </c>
      <c r="B12" s="84">
        <f>SUM(B4:B11)</f>
        <v>48</v>
      </c>
      <c r="C12" s="110" t="str">
        <f xml:space="preserve"> setValueToTime(B12)</f>
        <v>4h</v>
      </c>
      <c r="D12" s="119"/>
      <c r="E12" s="256"/>
      <c r="F12" s="257"/>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58" t="s">
        <v>14</v>
      </c>
      <c r="F15" s="259"/>
      <c r="G15" s="46"/>
    </row>
    <row r="16" spans="1:7" s="52" customFormat="1" x14ac:dyDescent="0.3">
      <c r="A16" s="173" t="s">
        <v>98</v>
      </c>
      <c r="B16" s="54">
        <v>15</v>
      </c>
      <c r="C16" s="152" t="str">
        <f xml:space="preserve"> IF(B16="","",setValueToTime(B16))</f>
        <v>1h15min</v>
      </c>
      <c r="D16" s="174" t="s">
        <v>149</v>
      </c>
      <c r="E16" s="260"/>
      <c r="F16" s="261"/>
      <c r="G16" s="51"/>
    </row>
    <row r="17" spans="1:7" s="52" customFormat="1" x14ac:dyDescent="0.3">
      <c r="A17" s="53" t="s">
        <v>99</v>
      </c>
      <c r="B17" s="54">
        <v>4</v>
      </c>
      <c r="C17" s="152" t="str">
        <f xml:space="preserve"> IF(B17="","",setValueToTime(B17))</f>
        <v>0h20min</v>
      </c>
      <c r="D17" s="174" t="s">
        <v>150</v>
      </c>
      <c r="E17" s="252"/>
      <c r="F17" s="253"/>
      <c r="G17" s="51"/>
    </row>
    <row r="18" spans="1:7" s="52" customFormat="1" x14ac:dyDescent="0.3">
      <c r="A18" s="53" t="s">
        <v>102</v>
      </c>
      <c r="B18" s="54">
        <v>16</v>
      </c>
      <c r="C18" s="152" t="str">
        <f xml:space="preserve"> IF(B18="","",setValueToTime(B18))</f>
        <v>1h20min</v>
      </c>
      <c r="D18" s="174" t="s">
        <v>151</v>
      </c>
      <c r="E18" s="252"/>
      <c r="F18" s="253"/>
      <c r="G18" s="51"/>
    </row>
    <row r="19" spans="1:7" s="52" customFormat="1" x14ac:dyDescent="0.3">
      <c r="A19" s="53" t="s">
        <v>17</v>
      </c>
      <c r="B19" s="54">
        <v>2</v>
      </c>
      <c r="C19" s="152" t="str">
        <f xml:space="preserve"> IF(B19="","",setValueToTime(B19))</f>
        <v>0h10min</v>
      </c>
      <c r="D19" s="174" t="s">
        <v>115</v>
      </c>
      <c r="E19" s="252"/>
      <c r="F19" s="253"/>
      <c r="G19" s="51"/>
    </row>
    <row r="20" spans="1:7" s="52" customFormat="1" x14ac:dyDescent="0.3">
      <c r="A20" s="53" t="s">
        <v>101</v>
      </c>
      <c r="B20" s="54">
        <v>1</v>
      </c>
      <c r="C20" s="152" t="str">
        <f xml:space="preserve"> IF(B20="","",setValueToTime(B20))</f>
        <v>0h5min</v>
      </c>
      <c r="D20" s="174" t="s">
        <v>121</v>
      </c>
      <c r="E20" s="252"/>
      <c r="F20" s="253"/>
      <c r="G20" s="51"/>
    </row>
    <row r="21" spans="1:7" s="52" customFormat="1" x14ac:dyDescent="0.3">
      <c r="A21" s="54"/>
      <c r="B21" s="54"/>
      <c r="C21" s="153" t="str">
        <f t="shared" ref="C21:C23" si="2" xml:space="preserve"> IF(B21="","",setValueToTime(B21))</f>
        <v/>
      </c>
      <c r="D21" s="55"/>
      <c r="E21" s="252"/>
      <c r="F21" s="253"/>
      <c r="G21" s="51"/>
    </row>
    <row r="22" spans="1:7" s="52" customFormat="1" x14ac:dyDescent="0.3">
      <c r="A22" s="54"/>
      <c r="B22" s="54"/>
      <c r="C22" s="153" t="str">
        <f t="shared" si="2"/>
        <v/>
      </c>
      <c r="D22" s="55"/>
      <c r="E22" s="252"/>
      <c r="F22" s="253"/>
      <c r="G22" s="51"/>
    </row>
    <row r="23" spans="1:7" s="52" customFormat="1" ht="15" thickBot="1" x14ac:dyDescent="0.35">
      <c r="A23" s="56"/>
      <c r="B23" s="56"/>
      <c r="C23" s="154" t="str">
        <f t="shared" si="2"/>
        <v/>
      </c>
      <c r="D23" s="57"/>
      <c r="E23" s="254"/>
      <c r="F23" s="255"/>
      <c r="G23" s="51"/>
    </row>
    <row r="24" spans="1:7" s="52" customFormat="1" ht="15" thickBot="1" x14ac:dyDescent="0.35">
      <c r="A24" s="110" t="s">
        <v>29</v>
      </c>
      <c r="B24" s="84">
        <f>SUM(B16:B23)</f>
        <v>38</v>
      </c>
      <c r="C24" s="110" t="str">
        <f xml:space="preserve"> setValueToTime(B24)</f>
        <v>3h10min</v>
      </c>
      <c r="D24" s="119"/>
      <c r="E24" s="256"/>
      <c r="F24" s="257"/>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58" t="s">
        <v>14</v>
      </c>
      <c r="F27" s="259"/>
      <c r="G27" s="46"/>
    </row>
    <row r="28" spans="1:7" s="52" customFormat="1" x14ac:dyDescent="0.3">
      <c r="A28" s="172" t="s">
        <v>94</v>
      </c>
      <c r="B28" s="49">
        <v>10</v>
      </c>
      <c r="C28" s="151" t="str">
        <f xml:space="preserve"> IF(B28="","",setValueToTime(B28))</f>
        <v>0h50min</v>
      </c>
      <c r="D28" s="171" t="s">
        <v>148</v>
      </c>
      <c r="E28" s="260"/>
      <c r="F28" s="261"/>
      <c r="G28" s="51"/>
    </row>
    <row r="29" spans="1:7" s="52" customFormat="1" x14ac:dyDescent="0.3">
      <c r="A29" s="173" t="s">
        <v>98</v>
      </c>
      <c r="B29" s="54">
        <v>26</v>
      </c>
      <c r="C29" s="152" t="str">
        <f xml:space="preserve"> IF(B29="","",setValueToTime(B29))</f>
        <v>2h10min</v>
      </c>
      <c r="D29" s="174" t="s">
        <v>149</v>
      </c>
      <c r="E29" s="252"/>
      <c r="F29" s="253"/>
      <c r="G29" s="51"/>
    </row>
    <row r="30" spans="1:7" s="52" customFormat="1" x14ac:dyDescent="0.3">
      <c r="A30" s="53" t="s">
        <v>99</v>
      </c>
      <c r="B30" s="54">
        <v>10</v>
      </c>
      <c r="C30" s="152" t="str">
        <f xml:space="preserve"> IF(B30="","",setValueToTime(B30))</f>
        <v>0h50min</v>
      </c>
      <c r="D30" s="174" t="s">
        <v>144</v>
      </c>
      <c r="E30" s="252"/>
      <c r="F30" s="253"/>
      <c r="G30" s="51"/>
    </row>
    <row r="31" spans="1:7" s="52" customFormat="1" x14ac:dyDescent="0.3">
      <c r="A31" s="53" t="s">
        <v>17</v>
      </c>
      <c r="B31" s="54">
        <v>2</v>
      </c>
      <c r="C31" s="152" t="str">
        <f xml:space="preserve"> IF(B31="","",setValueToTime(B31))</f>
        <v>0h10min</v>
      </c>
      <c r="D31" s="174" t="s">
        <v>115</v>
      </c>
      <c r="E31" s="252"/>
      <c r="F31" s="253"/>
      <c r="G31" s="51"/>
    </row>
    <row r="32" spans="1:7" s="52" customFormat="1" x14ac:dyDescent="0.3">
      <c r="A32" s="53"/>
      <c r="B32" s="54"/>
      <c r="C32" s="152"/>
      <c r="D32" s="174"/>
      <c r="E32" s="252"/>
      <c r="F32" s="253"/>
      <c r="G32" s="51"/>
    </row>
    <row r="33" spans="1:7" s="52" customFormat="1" x14ac:dyDescent="0.3">
      <c r="A33" s="54"/>
      <c r="B33" s="54"/>
      <c r="C33" s="153" t="str">
        <f t="shared" ref="C33:C35" si="3" xml:space="preserve"> IF(B33="","",setValueToTime(B33))</f>
        <v/>
      </c>
      <c r="D33" s="55"/>
      <c r="E33" s="252"/>
      <c r="F33" s="253"/>
      <c r="G33" s="51"/>
    </row>
    <row r="34" spans="1:7" s="52" customFormat="1" x14ac:dyDescent="0.3">
      <c r="A34" s="54"/>
      <c r="B34" s="54"/>
      <c r="C34" s="153" t="str">
        <f t="shared" si="3"/>
        <v/>
      </c>
      <c r="D34" s="55"/>
      <c r="E34" s="252"/>
      <c r="F34" s="253"/>
      <c r="G34" s="51"/>
    </row>
    <row r="35" spans="1:7" s="52" customFormat="1" ht="15" thickBot="1" x14ac:dyDescent="0.35">
      <c r="A35" s="56"/>
      <c r="B35" s="56"/>
      <c r="C35" s="154" t="str">
        <f t="shared" si="3"/>
        <v/>
      </c>
      <c r="D35" s="57"/>
      <c r="E35" s="254"/>
      <c r="F35" s="255"/>
      <c r="G35" s="51"/>
    </row>
    <row r="36" spans="1:7" s="52" customFormat="1" ht="15" thickBot="1" x14ac:dyDescent="0.35">
      <c r="A36" s="110" t="s">
        <v>29</v>
      </c>
      <c r="B36" s="84">
        <f>SUM(B28:B35)</f>
        <v>48</v>
      </c>
      <c r="C36" s="110" t="str">
        <f xml:space="preserve"> setValueToTime(B36)</f>
        <v>4h</v>
      </c>
      <c r="D36" s="119"/>
      <c r="E36" s="256"/>
      <c r="F36" s="257"/>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58" t="s">
        <v>14</v>
      </c>
      <c r="F39" s="259"/>
      <c r="G39" s="46"/>
    </row>
    <row r="40" spans="1:7" s="52" customFormat="1" x14ac:dyDescent="0.3">
      <c r="A40" s="172" t="s">
        <v>94</v>
      </c>
      <c r="B40" s="49">
        <v>18</v>
      </c>
      <c r="C40" s="151" t="str">
        <f xml:space="preserve"> IF(B40="","",setValueToTime(B40))</f>
        <v>1h30min</v>
      </c>
      <c r="D40" s="171" t="s">
        <v>146</v>
      </c>
      <c r="E40" s="260"/>
      <c r="F40" s="261"/>
      <c r="G40" s="51"/>
    </row>
    <row r="41" spans="1:7" s="52" customFormat="1" x14ac:dyDescent="0.3">
      <c r="A41" s="173" t="s">
        <v>94</v>
      </c>
      <c r="B41" s="54">
        <v>8</v>
      </c>
      <c r="C41" s="152" t="str">
        <f xml:space="preserve"> IF(B41="","",setValueToTime(B41))</f>
        <v>0h40min</v>
      </c>
      <c r="D41" s="174" t="s">
        <v>147</v>
      </c>
      <c r="E41" s="252"/>
      <c r="F41" s="253"/>
      <c r="G41" s="51"/>
    </row>
    <row r="42" spans="1:7" s="52" customFormat="1" x14ac:dyDescent="0.3">
      <c r="A42" s="53" t="s">
        <v>98</v>
      </c>
      <c r="B42" s="54">
        <v>9</v>
      </c>
      <c r="C42" s="152" t="str">
        <f xml:space="preserve"> IF(B42="","",setValueToTime(B42))</f>
        <v>0h45min</v>
      </c>
      <c r="D42" s="174" t="s">
        <v>149</v>
      </c>
      <c r="E42" s="252"/>
      <c r="F42" s="253"/>
      <c r="G42" s="51"/>
    </row>
    <row r="43" spans="1:7" s="52" customFormat="1" x14ac:dyDescent="0.3">
      <c r="A43" s="53" t="s">
        <v>17</v>
      </c>
      <c r="B43" s="54">
        <v>2</v>
      </c>
      <c r="C43" s="152" t="str">
        <f xml:space="preserve"> IF(B43="","",setValueToTime(B43))</f>
        <v>0h10min</v>
      </c>
      <c r="D43" s="174" t="s">
        <v>115</v>
      </c>
      <c r="E43" s="252"/>
      <c r="F43" s="253"/>
      <c r="G43" s="51"/>
    </row>
    <row r="44" spans="1:7" s="52" customFormat="1" x14ac:dyDescent="0.3">
      <c r="A44" s="53" t="s">
        <v>101</v>
      </c>
      <c r="B44" s="54">
        <v>1</v>
      </c>
      <c r="C44" s="152" t="str">
        <f xml:space="preserve"> IF(B44="","",setValueToTime(B44))</f>
        <v>0h5min</v>
      </c>
      <c r="D44" s="174" t="s">
        <v>121</v>
      </c>
      <c r="E44" s="252"/>
      <c r="F44" s="253"/>
      <c r="G44" s="51"/>
    </row>
    <row r="45" spans="1:7" s="52" customFormat="1" x14ac:dyDescent="0.3">
      <c r="A45" s="54"/>
      <c r="B45" s="54"/>
      <c r="C45" s="153" t="str">
        <f t="shared" ref="C45:C47" si="4" xml:space="preserve"> IF(B45="","",setValueToTime(B45))</f>
        <v/>
      </c>
      <c r="D45" s="55"/>
      <c r="E45" s="252"/>
      <c r="F45" s="253"/>
      <c r="G45" s="51"/>
    </row>
    <row r="46" spans="1:7" s="52" customFormat="1" x14ac:dyDescent="0.3">
      <c r="A46" s="54"/>
      <c r="B46" s="54"/>
      <c r="C46" s="153" t="str">
        <f t="shared" si="4"/>
        <v/>
      </c>
      <c r="D46" s="55"/>
      <c r="E46" s="252"/>
      <c r="F46" s="253"/>
      <c r="G46" s="51"/>
    </row>
    <row r="47" spans="1:7" s="52" customFormat="1" ht="15" thickBot="1" x14ac:dyDescent="0.35">
      <c r="A47" s="56"/>
      <c r="B47" s="56"/>
      <c r="C47" s="154" t="str">
        <f t="shared" si="4"/>
        <v/>
      </c>
      <c r="D47" s="57"/>
      <c r="E47" s="254"/>
      <c r="F47" s="255"/>
      <c r="G47" s="51"/>
    </row>
    <row r="48" spans="1:7" s="52" customFormat="1" ht="15" thickBot="1" x14ac:dyDescent="0.35">
      <c r="A48" s="110" t="s">
        <v>29</v>
      </c>
      <c r="B48" s="84">
        <f>SUM(B40:B47)</f>
        <v>38</v>
      </c>
      <c r="C48" s="110" t="str">
        <f xml:space="preserve"> setValueToTime(B48)</f>
        <v>3h10min</v>
      </c>
      <c r="D48" s="119"/>
      <c r="E48" s="256"/>
      <c r="F48" s="257"/>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58" t="s">
        <v>14</v>
      </c>
      <c r="F51" s="259"/>
      <c r="G51" s="46"/>
    </row>
    <row r="52" spans="1:7" s="52" customFormat="1" x14ac:dyDescent="0.3">
      <c r="A52" s="172" t="s">
        <v>94</v>
      </c>
      <c r="B52" s="49">
        <v>23</v>
      </c>
      <c r="C52" s="151" t="str">
        <f xml:space="preserve"> IF(B52="","",setValueToTime(B52))</f>
        <v>1h55min</v>
      </c>
      <c r="D52" s="171" t="s">
        <v>142</v>
      </c>
      <c r="E52" s="260"/>
      <c r="F52" s="261"/>
      <c r="G52" s="51"/>
    </row>
    <row r="53" spans="1:7" s="52" customFormat="1" x14ac:dyDescent="0.3">
      <c r="A53" s="53" t="s">
        <v>96</v>
      </c>
      <c r="B53" s="54">
        <v>11</v>
      </c>
      <c r="C53" s="152" t="str">
        <f xml:space="preserve"> IF(B53="","",setValueToTime(B53))</f>
        <v>0h55min</v>
      </c>
      <c r="D53" s="174" t="s">
        <v>143</v>
      </c>
      <c r="E53" s="252"/>
      <c r="F53" s="253"/>
      <c r="G53" s="51"/>
    </row>
    <row r="54" spans="1:7" s="52" customFormat="1" x14ac:dyDescent="0.3">
      <c r="A54" s="53" t="s">
        <v>16</v>
      </c>
      <c r="B54" s="54">
        <v>11</v>
      </c>
      <c r="C54" s="152" t="str">
        <f xml:space="preserve"> IF(B54="","",setValueToTime(B54))</f>
        <v>0h55min</v>
      </c>
      <c r="D54" s="174" t="s">
        <v>141</v>
      </c>
      <c r="E54" s="252"/>
      <c r="F54" s="253"/>
      <c r="G54" s="51"/>
    </row>
    <row r="55" spans="1:7" s="52" customFormat="1" x14ac:dyDescent="0.3">
      <c r="A55" s="53" t="s">
        <v>17</v>
      </c>
      <c r="B55" s="54">
        <v>2</v>
      </c>
      <c r="C55" s="152" t="str">
        <f xml:space="preserve"> IF(B55="","",setValueToTime(B55))</f>
        <v>0h10min</v>
      </c>
      <c r="D55" s="174" t="s">
        <v>115</v>
      </c>
      <c r="E55" s="252"/>
      <c r="F55" s="253"/>
      <c r="G55" s="51"/>
    </row>
    <row r="56" spans="1:7" s="52" customFormat="1" x14ac:dyDescent="0.3">
      <c r="A56" s="53" t="s">
        <v>101</v>
      </c>
      <c r="B56" s="54">
        <v>1</v>
      </c>
      <c r="C56" s="152" t="str">
        <f xml:space="preserve"> IF(B56="","",setValueToTime(B56))</f>
        <v>0h5min</v>
      </c>
      <c r="D56" s="174" t="s">
        <v>121</v>
      </c>
      <c r="E56" s="252"/>
      <c r="F56" s="253"/>
      <c r="G56" s="51"/>
    </row>
    <row r="57" spans="1:7" s="52" customFormat="1" x14ac:dyDescent="0.3">
      <c r="A57" s="54"/>
      <c r="B57" s="54"/>
      <c r="C57" s="153" t="str">
        <f t="shared" ref="C57:C59" si="5" xml:space="preserve"> IF(B57="","",setValueToTime(B57))</f>
        <v/>
      </c>
      <c r="D57" s="55"/>
      <c r="E57" s="252"/>
      <c r="F57" s="253"/>
      <c r="G57" s="51"/>
    </row>
    <row r="58" spans="1:7" s="52" customFormat="1" x14ac:dyDescent="0.3">
      <c r="A58" s="54"/>
      <c r="B58" s="54"/>
      <c r="C58" s="153" t="str">
        <f t="shared" si="5"/>
        <v/>
      </c>
      <c r="D58" s="55"/>
      <c r="E58" s="252"/>
      <c r="F58" s="253"/>
      <c r="G58" s="51"/>
    </row>
    <row r="59" spans="1:7" s="52" customFormat="1" ht="15" thickBot="1" x14ac:dyDescent="0.35">
      <c r="A59" s="56"/>
      <c r="B59" s="56"/>
      <c r="C59" s="154" t="str">
        <f t="shared" si="5"/>
        <v/>
      </c>
      <c r="D59" s="57"/>
      <c r="E59" s="254"/>
      <c r="F59" s="255"/>
      <c r="G59" s="51"/>
    </row>
    <row r="60" spans="1:7" s="52" customFormat="1" ht="15" thickBot="1" x14ac:dyDescent="0.35">
      <c r="A60" s="110" t="s">
        <v>29</v>
      </c>
      <c r="B60" s="84">
        <f>SUM(B52:B59)</f>
        <v>48</v>
      </c>
      <c r="C60" s="110" t="str">
        <f xml:space="preserve"> setValueToTime(B60)</f>
        <v>4h</v>
      </c>
      <c r="D60" s="119"/>
      <c r="E60" s="256"/>
      <c r="F60" s="257"/>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58" t="s">
        <v>14</v>
      </c>
      <c r="F63" s="259"/>
      <c r="G63" s="46"/>
    </row>
    <row r="64" spans="1:7" s="52" customFormat="1" ht="15" thickBot="1" x14ac:dyDescent="0.35">
      <c r="A64" s="172" t="s">
        <v>96</v>
      </c>
      <c r="B64" s="49">
        <v>7</v>
      </c>
      <c r="C64" s="151" t="str">
        <f xml:space="preserve"> IF(B64="","",setValueToTime(B64))</f>
        <v>0h35min</v>
      </c>
      <c r="D64" s="171" t="s">
        <v>138</v>
      </c>
      <c r="E64" s="260"/>
      <c r="F64" s="261"/>
      <c r="G64" s="51"/>
    </row>
    <row r="65" spans="1:7" s="52" customFormat="1" x14ac:dyDescent="0.3">
      <c r="A65" s="172" t="s">
        <v>94</v>
      </c>
      <c r="B65" s="54">
        <v>16</v>
      </c>
      <c r="C65" s="152" t="str">
        <f xml:space="preserve"> IF(B65="","",setValueToTime(B65))</f>
        <v>1h20min</v>
      </c>
      <c r="D65" s="174" t="s">
        <v>140</v>
      </c>
      <c r="E65" s="252"/>
      <c r="F65" s="253"/>
      <c r="G65" s="51"/>
    </row>
    <row r="66" spans="1:7" s="52" customFormat="1" x14ac:dyDescent="0.3">
      <c r="A66" s="173" t="s">
        <v>16</v>
      </c>
      <c r="B66" s="54">
        <v>12</v>
      </c>
      <c r="C66" s="152" t="str">
        <f xml:space="preserve"> IF(B66="","",setValueToTime(B66))</f>
        <v>1h</v>
      </c>
      <c r="D66" s="174" t="s">
        <v>141</v>
      </c>
      <c r="E66" s="252"/>
      <c r="F66" s="253"/>
      <c r="G66" s="51"/>
    </row>
    <row r="67" spans="1:7" s="52" customFormat="1" x14ac:dyDescent="0.3">
      <c r="A67" s="53" t="s">
        <v>17</v>
      </c>
      <c r="B67" s="54">
        <v>2</v>
      </c>
      <c r="C67" s="152" t="str">
        <f xml:space="preserve"> IF(B67="","",setValueToTime(B67))</f>
        <v>0h10min</v>
      </c>
      <c r="D67" s="174" t="s">
        <v>115</v>
      </c>
      <c r="E67" s="252"/>
      <c r="F67" s="253"/>
      <c r="G67" s="51"/>
    </row>
    <row r="68" spans="1:7" s="52" customFormat="1" x14ac:dyDescent="0.3">
      <c r="A68" s="53" t="s">
        <v>101</v>
      </c>
      <c r="B68" s="54">
        <v>1</v>
      </c>
      <c r="C68" s="152" t="str">
        <f xml:space="preserve"> IF(B68="","",setValueToTime(B68))</f>
        <v>0h5min</v>
      </c>
      <c r="D68" s="174" t="s">
        <v>121</v>
      </c>
      <c r="E68" s="252"/>
      <c r="F68" s="253"/>
      <c r="G68" s="51"/>
    </row>
    <row r="69" spans="1:7" s="52" customFormat="1" x14ac:dyDescent="0.3">
      <c r="A69" s="54"/>
      <c r="B69" s="54"/>
      <c r="C69" s="153" t="str">
        <f t="shared" ref="C69:C71" si="6" xml:space="preserve"> IF(B69="","",setValueToTime(B69))</f>
        <v/>
      </c>
      <c r="D69" s="55"/>
      <c r="E69" s="252"/>
      <c r="F69" s="253"/>
      <c r="G69" s="51"/>
    </row>
    <row r="70" spans="1:7" s="52" customFormat="1" x14ac:dyDescent="0.3">
      <c r="A70" s="54"/>
      <c r="B70" s="54"/>
      <c r="C70" s="153" t="str">
        <f t="shared" si="6"/>
        <v/>
      </c>
      <c r="D70" s="55"/>
      <c r="E70" s="252"/>
      <c r="F70" s="253"/>
      <c r="G70" s="51"/>
    </row>
    <row r="71" spans="1:7" s="52" customFormat="1" ht="15" thickBot="1" x14ac:dyDescent="0.35">
      <c r="A71" s="56"/>
      <c r="B71" s="56"/>
      <c r="C71" s="154" t="str">
        <f t="shared" si="6"/>
        <v/>
      </c>
      <c r="D71" s="57"/>
      <c r="E71" s="254"/>
      <c r="F71" s="255"/>
      <c r="G71" s="51"/>
    </row>
    <row r="72" spans="1:7" s="52" customFormat="1" ht="15" thickBot="1" x14ac:dyDescent="0.35">
      <c r="A72" s="110" t="s">
        <v>29</v>
      </c>
      <c r="B72" s="84">
        <f>SUM(B64:B71)</f>
        <v>38</v>
      </c>
      <c r="C72" s="110" t="str">
        <f xml:space="preserve"> setValueToTime(B72)</f>
        <v>3h10min</v>
      </c>
      <c r="D72" s="119"/>
      <c r="E72" s="256"/>
      <c r="F72" s="257"/>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58" t="s">
        <v>14</v>
      </c>
      <c r="F75" s="259"/>
      <c r="G75" s="46"/>
    </row>
    <row r="76" spans="1:7" s="52" customFormat="1" ht="15" thickBot="1" x14ac:dyDescent="0.35">
      <c r="A76" s="172" t="s">
        <v>96</v>
      </c>
      <c r="B76" s="49">
        <v>7</v>
      </c>
      <c r="C76" s="151" t="str">
        <f xml:space="preserve"> IF(B76="","",setValueToTime(B76))</f>
        <v>0h35min</v>
      </c>
      <c r="D76" s="171" t="s">
        <v>138</v>
      </c>
      <c r="E76" s="260"/>
      <c r="F76" s="261"/>
      <c r="G76" s="51"/>
    </row>
    <row r="77" spans="1:7" s="52" customFormat="1" x14ac:dyDescent="0.3">
      <c r="A77" s="172" t="s">
        <v>94</v>
      </c>
      <c r="B77" s="54">
        <v>16</v>
      </c>
      <c r="C77" s="152" t="str">
        <f xml:space="preserve"> IF(B77="","",setValueToTime(B77))</f>
        <v>1h20min</v>
      </c>
      <c r="D77" s="174" t="s">
        <v>139</v>
      </c>
      <c r="E77" s="252"/>
      <c r="F77" s="253"/>
      <c r="G77" s="51"/>
    </row>
    <row r="78" spans="1:7" s="52" customFormat="1" x14ac:dyDescent="0.3">
      <c r="A78" s="53" t="s">
        <v>95</v>
      </c>
      <c r="B78" s="54">
        <v>12</v>
      </c>
      <c r="C78" s="152" t="str">
        <f xml:space="preserve"> IF(B78="","",setValueToTime(B78))</f>
        <v>1h</v>
      </c>
      <c r="D78" s="174" t="s">
        <v>137</v>
      </c>
      <c r="E78" s="252"/>
      <c r="F78" s="253"/>
      <c r="G78" s="51"/>
    </row>
    <row r="79" spans="1:7" s="52" customFormat="1" x14ac:dyDescent="0.3">
      <c r="A79" s="53" t="s">
        <v>17</v>
      </c>
      <c r="B79" s="54">
        <v>2</v>
      </c>
      <c r="C79" s="152" t="str">
        <f xml:space="preserve"> IF(B79="","",setValueToTime(B79))</f>
        <v>0h10min</v>
      </c>
      <c r="D79" s="174" t="s">
        <v>115</v>
      </c>
      <c r="E79" s="252"/>
      <c r="F79" s="253"/>
      <c r="G79" s="51"/>
    </row>
    <row r="80" spans="1:7" s="52" customFormat="1" x14ac:dyDescent="0.3">
      <c r="A80" s="53" t="s">
        <v>101</v>
      </c>
      <c r="B80" s="54">
        <v>1</v>
      </c>
      <c r="C80" s="152" t="str">
        <f xml:space="preserve"> IF(B80="","",setValueToTime(B80))</f>
        <v>0h5min</v>
      </c>
      <c r="D80" s="174" t="s">
        <v>121</v>
      </c>
      <c r="E80" s="252"/>
      <c r="F80" s="253"/>
      <c r="G80" s="51"/>
    </row>
    <row r="81" spans="1:7" s="52" customFormat="1" x14ac:dyDescent="0.3">
      <c r="A81" s="54"/>
      <c r="B81" s="54"/>
      <c r="C81" s="153" t="str">
        <f t="shared" ref="C81:C83" si="7" xml:space="preserve"> IF(B81="","",setValueToTime(B81))</f>
        <v/>
      </c>
      <c r="D81" s="55"/>
      <c r="E81" s="252"/>
      <c r="F81" s="253"/>
      <c r="G81" s="51"/>
    </row>
    <row r="82" spans="1:7" s="52" customFormat="1" x14ac:dyDescent="0.3">
      <c r="A82" s="54"/>
      <c r="B82" s="54"/>
      <c r="C82" s="153" t="str">
        <f t="shared" si="7"/>
        <v/>
      </c>
      <c r="D82" s="55"/>
      <c r="E82" s="252"/>
      <c r="F82" s="253"/>
      <c r="G82" s="51"/>
    </row>
    <row r="83" spans="1:7" s="52" customFormat="1" ht="15" thickBot="1" x14ac:dyDescent="0.35">
      <c r="A83" s="56"/>
      <c r="B83" s="56"/>
      <c r="C83" s="154" t="str">
        <f t="shared" si="7"/>
        <v/>
      </c>
      <c r="D83" s="57"/>
      <c r="E83" s="254"/>
      <c r="F83" s="255"/>
      <c r="G83" s="51"/>
    </row>
    <row r="84" spans="1:7" s="52" customFormat="1" ht="15" thickBot="1" x14ac:dyDescent="0.35">
      <c r="A84" s="110" t="s">
        <v>29</v>
      </c>
      <c r="B84" s="84">
        <f>SUM(B76:B83)</f>
        <v>38</v>
      </c>
      <c r="C84" s="110" t="str">
        <f xml:space="preserve"> setValueToTime(B84)</f>
        <v>3h10min</v>
      </c>
      <c r="D84" s="119"/>
      <c r="E84" s="256"/>
      <c r="F84" s="257"/>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58" t="s">
        <v>14</v>
      </c>
      <c r="F87" s="259"/>
      <c r="G87" s="46"/>
    </row>
    <row r="88" spans="1:7" s="52" customFormat="1" x14ac:dyDescent="0.3">
      <c r="A88" s="172" t="s">
        <v>94</v>
      </c>
      <c r="B88" s="49">
        <v>26</v>
      </c>
      <c r="C88" s="151" t="str">
        <f xml:space="preserve"> IF(B88="","",setValueToTime(B88))</f>
        <v>2h10min</v>
      </c>
      <c r="D88" s="171" t="s">
        <v>136</v>
      </c>
      <c r="E88" s="260"/>
      <c r="F88" s="261"/>
      <c r="G88" s="51"/>
    </row>
    <row r="89" spans="1:7" s="52" customFormat="1" x14ac:dyDescent="0.3">
      <c r="A89" s="53" t="s">
        <v>95</v>
      </c>
      <c r="B89" s="54">
        <v>10</v>
      </c>
      <c r="C89" s="152" t="str">
        <f xml:space="preserve"> IF(B89="","",setValueToTime(B89))</f>
        <v>0h50min</v>
      </c>
      <c r="D89" s="174" t="s">
        <v>137</v>
      </c>
      <c r="E89" s="252"/>
      <c r="F89" s="253"/>
      <c r="G89" s="51"/>
    </row>
    <row r="90" spans="1:7" s="52" customFormat="1" x14ac:dyDescent="0.3">
      <c r="A90" s="53" t="s">
        <v>17</v>
      </c>
      <c r="B90" s="54">
        <v>2</v>
      </c>
      <c r="C90" s="152" t="str">
        <f xml:space="preserve"> IF(B90="","",setValueToTime(B90))</f>
        <v>0h10min</v>
      </c>
      <c r="D90" s="174" t="s">
        <v>115</v>
      </c>
      <c r="E90" s="252"/>
      <c r="F90" s="253"/>
      <c r="G90" s="51"/>
    </row>
    <row r="91" spans="1:7" s="52" customFormat="1" x14ac:dyDescent="0.3">
      <c r="A91" s="53"/>
      <c r="B91" s="54"/>
      <c r="C91" s="152"/>
      <c r="D91" s="174"/>
      <c r="E91" s="252"/>
      <c r="F91" s="253"/>
      <c r="G91" s="51"/>
    </row>
    <row r="92" spans="1:7" s="52" customFormat="1" x14ac:dyDescent="0.3">
      <c r="A92" s="54"/>
      <c r="B92" s="54"/>
      <c r="C92" s="153" t="str">
        <f t="shared" ref="C92:C95" si="8" xml:space="preserve"> IF(B92="","",setValueToTime(B92))</f>
        <v/>
      </c>
      <c r="D92" s="55"/>
      <c r="E92" s="252"/>
      <c r="F92" s="253"/>
      <c r="G92" s="51"/>
    </row>
    <row r="93" spans="1:7" s="52" customFormat="1" x14ac:dyDescent="0.3">
      <c r="A93" s="54"/>
      <c r="B93" s="54"/>
      <c r="C93" s="153" t="str">
        <f t="shared" si="8"/>
        <v/>
      </c>
      <c r="D93" s="55"/>
      <c r="E93" s="252"/>
      <c r="F93" s="253"/>
      <c r="G93" s="51"/>
    </row>
    <row r="94" spans="1:7" s="52" customFormat="1" x14ac:dyDescent="0.3">
      <c r="A94" s="54"/>
      <c r="B94" s="54"/>
      <c r="C94" s="153" t="str">
        <f t="shared" si="8"/>
        <v/>
      </c>
      <c r="D94" s="55"/>
      <c r="E94" s="252"/>
      <c r="F94" s="253"/>
      <c r="G94" s="51"/>
    </row>
    <row r="95" spans="1:7" s="52" customFormat="1" ht="15" thickBot="1" x14ac:dyDescent="0.35">
      <c r="A95" s="56"/>
      <c r="B95" s="56"/>
      <c r="C95" s="154" t="str">
        <f t="shared" si="8"/>
        <v/>
      </c>
      <c r="D95" s="57"/>
      <c r="E95" s="254"/>
      <c r="F95" s="255"/>
      <c r="G95" s="51"/>
    </row>
    <row r="96" spans="1:7" s="52" customFormat="1" ht="15" thickBot="1" x14ac:dyDescent="0.35">
      <c r="A96" s="110" t="s">
        <v>29</v>
      </c>
      <c r="B96" s="84">
        <f>SUM(B88:B95)</f>
        <v>38</v>
      </c>
      <c r="C96" s="110" t="str">
        <f xml:space="preserve"> setValueToTime(B96)</f>
        <v>3h10min</v>
      </c>
      <c r="D96" s="119"/>
      <c r="E96" s="256"/>
      <c r="F96" s="257"/>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58" t="s">
        <v>14</v>
      </c>
      <c r="F99" s="259"/>
      <c r="G99" s="46"/>
    </row>
    <row r="100" spans="1:7" s="52" customFormat="1" x14ac:dyDescent="0.3">
      <c r="A100" s="172" t="s">
        <v>96</v>
      </c>
      <c r="B100" s="49">
        <v>33</v>
      </c>
      <c r="C100" s="151" t="str">
        <f xml:space="preserve"> IF(B100="","",setValueToTime(B100))</f>
        <v>2h45min</v>
      </c>
      <c r="D100" s="171" t="s">
        <v>136</v>
      </c>
      <c r="E100" s="260"/>
      <c r="F100" s="261"/>
      <c r="G100" s="51"/>
    </row>
    <row r="101" spans="1:7" s="52" customFormat="1" x14ac:dyDescent="0.3">
      <c r="A101" s="53" t="s">
        <v>16</v>
      </c>
      <c r="B101" s="54">
        <v>12</v>
      </c>
      <c r="C101" s="152" t="str">
        <f xml:space="preserve"> IF(B101="","",setValueToTime(B101))</f>
        <v>1h</v>
      </c>
      <c r="D101" s="174" t="s">
        <v>135</v>
      </c>
      <c r="E101" s="252"/>
      <c r="F101" s="253"/>
      <c r="G101" s="51"/>
    </row>
    <row r="102" spans="1:7" s="52" customFormat="1" x14ac:dyDescent="0.3">
      <c r="A102" s="53" t="s">
        <v>17</v>
      </c>
      <c r="B102" s="54">
        <v>2</v>
      </c>
      <c r="C102" s="152" t="str">
        <f xml:space="preserve"> IF(B102="","",setValueToTime(B102))</f>
        <v>0h10min</v>
      </c>
      <c r="D102" s="174" t="s">
        <v>115</v>
      </c>
      <c r="E102" s="252"/>
      <c r="F102" s="253"/>
      <c r="G102" s="51"/>
    </row>
    <row r="103" spans="1:7" s="52" customFormat="1" x14ac:dyDescent="0.3">
      <c r="A103" s="53" t="s">
        <v>101</v>
      </c>
      <c r="B103" s="54">
        <v>1</v>
      </c>
      <c r="C103" s="152" t="str">
        <f xml:space="preserve"> IF(B103="","",setValueToTime(B103))</f>
        <v>0h5min</v>
      </c>
      <c r="D103" s="174" t="s">
        <v>121</v>
      </c>
      <c r="E103" s="252"/>
      <c r="F103" s="253"/>
      <c r="G103" s="51"/>
    </row>
    <row r="104" spans="1:7" s="52" customFormat="1" x14ac:dyDescent="0.3">
      <c r="A104" s="54"/>
      <c r="B104" s="54"/>
      <c r="C104" s="153" t="str">
        <f t="shared" ref="C104:C107" si="9" xml:space="preserve"> IF(B104="","",setValueToTime(B104))</f>
        <v/>
      </c>
      <c r="D104" s="55"/>
      <c r="E104" s="252"/>
      <c r="F104" s="253"/>
      <c r="G104" s="51"/>
    </row>
    <row r="105" spans="1:7" s="52" customFormat="1" x14ac:dyDescent="0.3">
      <c r="A105" s="54"/>
      <c r="B105" s="54"/>
      <c r="C105" s="153" t="str">
        <f t="shared" si="9"/>
        <v/>
      </c>
      <c r="D105" s="55"/>
      <c r="E105" s="252"/>
      <c r="F105" s="253"/>
      <c r="G105" s="51"/>
    </row>
    <row r="106" spans="1:7" s="52" customFormat="1" x14ac:dyDescent="0.3">
      <c r="A106" s="54"/>
      <c r="B106" s="54"/>
      <c r="C106" s="153" t="str">
        <f t="shared" si="9"/>
        <v/>
      </c>
      <c r="D106" s="55"/>
      <c r="E106" s="252"/>
      <c r="F106" s="253"/>
      <c r="G106" s="51"/>
    </row>
    <row r="107" spans="1:7" s="52" customFormat="1" ht="15" thickBot="1" x14ac:dyDescent="0.35">
      <c r="A107" s="56"/>
      <c r="B107" s="56"/>
      <c r="C107" s="154" t="str">
        <f t="shared" si="9"/>
        <v/>
      </c>
      <c r="D107" s="57"/>
      <c r="E107" s="254"/>
      <c r="F107" s="255"/>
      <c r="G107" s="51"/>
    </row>
    <row r="108" spans="1:7" s="52" customFormat="1" ht="15" thickBot="1" x14ac:dyDescent="0.35">
      <c r="A108" s="110" t="s">
        <v>29</v>
      </c>
      <c r="B108" s="84">
        <f>SUM(B100:B107)</f>
        <v>48</v>
      </c>
      <c r="C108" s="110" t="str">
        <f xml:space="preserve"> setValueToTime(B108)</f>
        <v>4h</v>
      </c>
      <c r="D108" s="119"/>
      <c r="E108" s="256"/>
      <c r="F108" s="257"/>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58" t="s">
        <v>14</v>
      </c>
      <c r="F111" s="259"/>
      <c r="G111" s="46"/>
    </row>
    <row r="112" spans="1:7" s="52" customFormat="1" x14ac:dyDescent="0.3">
      <c r="A112" s="172" t="s">
        <v>96</v>
      </c>
      <c r="B112" s="49">
        <v>23</v>
      </c>
      <c r="C112" s="151" t="str">
        <f xml:space="preserve"> IF(B112="","",setValueToTime(B112))</f>
        <v>1h55min</v>
      </c>
      <c r="D112" s="171" t="s">
        <v>134</v>
      </c>
      <c r="E112" s="260"/>
      <c r="F112" s="261"/>
      <c r="G112" s="51"/>
    </row>
    <row r="113" spans="1:7" s="52" customFormat="1" x14ac:dyDescent="0.3">
      <c r="A113" s="53" t="s">
        <v>16</v>
      </c>
      <c r="B113" s="54">
        <v>12</v>
      </c>
      <c r="C113" s="152" t="str">
        <f xml:space="preserve"> IF(B113="","",setValueToTime(B113))</f>
        <v>1h</v>
      </c>
      <c r="D113" s="174" t="s">
        <v>135</v>
      </c>
      <c r="E113" s="252"/>
      <c r="F113" s="253"/>
      <c r="G113" s="51"/>
    </row>
    <row r="114" spans="1:7" s="52" customFormat="1" x14ac:dyDescent="0.3">
      <c r="A114" s="53" t="s">
        <v>17</v>
      </c>
      <c r="B114" s="54">
        <v>2</v>
      </c>
      <c r="C114" s="152" t="str">
        <f xml:space="preserve"> IF(B114="","",setValueToTime(B114))</f>
        <v>0h10min</v>
      </c>
      <c r="D114" s="174" t="s">
        <v>115</v>
      </c>
      <c r="E114" s="252"/>
      <c r="F114" s="253"/>
      <c r="G114" s="51"/>
    </row>
    <row r="115" spans="1:7" s="52" customFormat="1" x14ac:dyDescent="0.3">
      <c r="A115" s="53" t="s">
        <v>101</v>
      </c>
      <c r="B115" s="54">
        <v>1</v>
      </c>
      <c r="C115" s="152" t="str">
        <f xml:space="preserve"> IF(B115="","",setValueToTime(B115))</f>
        <v>0h5min</v>
      </c>
      <c r="D115" s="174" t="s">
        <v>121</v>
      </c>
      <c r="E115" s="252"/>
      <c r="F115" s="253"/>
      <c r="G115" s="51"/>
    </row>
    <row r="116" spans="1:7" s="52" customFormat="1" x14ac:dyDescent="0.3">
      <c r="A116" s="54"/>
      <c r="B116" s="54"/>
      <c r="C116" s="153" t="str">
        <f t="shared" ref="C116:C119" si="10" xml:space="preserve"> IF(B116="","",setValueToTime(B116))</f>
        <v/>
      </c>
      <c r="D116" s="55"/>
      <c r="E116" s="252"/>
      <c r="F116" s="253"/>
      <c r="G116" s="51"/>
    </row>
    <row r="117" spans="1:7" s="52" customFormat="1" x14ac:dyDescent="0.3">
      <c r="A117" s="54"/>
      <c r="B117" s="54"/>
      <c r="C117" s="153" t="str">
        <f t="shared" si="10"/>
        <v/>
      </c>
      <c r="D117" s="55"/>
      <c r="E117" s="252"/>
      <c r="F117" s="253"/>
      <c r="G117" s="51"/>
    </row>
    <row r="118" spans="1:7" s="52" customFormat="1" x14ac:dyDescent="0.3">
      <c r="A118" s="54"/>
      <c r="B118" s="54"/>
      <c r="C118" s="153" t="str">
        <f t="shared" si="10"/>
        <v/>
      </c>
      <c r="D118" s="55"/>
      <c r="E118" s="252"/>
      <c r="F118" s="253"/>
      <c r="G118" s="51"/>
    </row>
    <row r="119" spans="1:7" s="52" customFormat="1" ht="15" thickBot="1" x14ac:dyDescent="0.35">
      <c r="A119" s="56"/>
      <c r="B119" s="56"/>
      <c r="C119" s="154" t="str">
        <f t="shared" si="10"/>
        <v/>
      </c>
      <c r="D119" s="57"/>
      <c r="E119" s="254"/>
      <c r="F119" s="255"/>
      <c r="G119" s="51"/>
    </row>
    <row r="120" spans="1:7" s="52" customFormat="1" ht="15" thickBot="1" x14ac:dyDescent="0.35">
      <c r="A120" s="110" t="s">
        <v>29</v>
      </c>
      <c r="B120" s="84">
        <f>SUM(B112:B119)</f>
        <v>38</v>
      </c>
      <c r="C120" s="110" t="str">
        <f xml:space="preserve"> setValueToTime(B120)</f>
        <v>3h10min</v>
      </c>
      <c r="D120" s="119"/>
      <c r="E120" s="256"/>
      <c r="F120" s="25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58" t="s">
        <v>14</v>
      </c>
      <c r="F123" s="259"/>
      <c r="G123" s="46"/>
    </row>
    <row r="124" spans="1:7" s="52" customFormat="1" x14ac:dyDescent="0.3">
      <c r="A124" s="172" t="s">
        <v>96</v>
      </c>
      <c r="B124" s="49">
        <v>34</v>
      </c>
      <c r="C124" s="151" t="str">
        <f xml:space="preserve"> IF(B124="","",setValueToTime(B124))</f>
        <v>2h50min</v>
      </c>
      <c r="D124" s="171" t="s">
        <v>134</v>
      </c>
      <c r="E124" s="260"/>
      <c r="F124" s="261"/>
      <c r="G124" s="51"/>
    </row>
    <row r="125" spans="1:7" s="52" customFormat="1" x14ac:dyDescent="0.3">
      <c r="A125" s="53" t="s">
        <v>16</v>
      </c>
      <c r="B125" s="54">
        <v>12</v>
      </c>
      <c r="C125" s="152" t="str">
        <f xml:space="preserve"> IF(B125="","",setValueToTime(B125))</f>
        <v>1h</v>
      </c>
      <c r="D125" s="174" t="s">
        <v>135</v>
      </c>
      <c r="E125" s="252"/>
      <c r="F125" s="253"/>
      <c r="G125" s="51"/>
    </row>
    <row r="126" spans="1:7" s="52" customFormat="1" x14ac:dyDescent="0.3">
      <c r="A126" s="53" t="s">
        <v>17</v>
      </c>
      <c r="B126" s="54">
        <v>2</v>
      </c>
      <c r="C126" s="152" t="str">
        <f xml:space="preserve"> IF(B126="","",setValueToTime(B126))</f>
        <v>0h10min</v>
      </c>
      <c r="D126" s="174" t="s">
        <v>115</v>
      </c>
      <c r="E126" s="252"/>
      <c r="F126" s="253"/>
      <c r="G126" s="51"/>
    </row>
    <row r="127" spans="1:7" s="52" customFormat="1" x14ac:dyDescent="0.3">
      <c r="A127" s="53"/>
      <c r="B127" s="54"/>
      <c r="C127" s="152"/>
      <c r="D127" s="174"/>
      <c r="E127" s="252"/>
      <c r="F127" s="253"/>
      <c r="G127" s="51"/>
    </row>
    <row r="128" spans="1:7" s="52" customFormat="1" x14ac:dyDescent="0.3">
      <c r="A128" s="54"/>
      <c r="B128" s="54"/>
      <c r="C128" s="153" t="str">
        <f t="shared" ref="C128:C131" si="11" xml:space="preserve"> IF(B128="","",setValueToTime(B128))</f>
        <v/>
      </c>
      <c r="D128" s="55"/>
      <c r="E128" s="252"/>
      <c r="F128" s="253"/>
      <c r="G128" s="51"/>
    </row>
    <row r="129" spans="1:7" s="52" customFormat="1" x14ac:dyDescent="0.3">
      <c r="A129" s="54"/>
      <c r="B129" s="54"/>
      <c r="C129" s="153" t="str">
        <f t="shared" si="11"/>
        <v/>
      </c>
      <c r="D129" s="55"/>
      <c r="E129" s="252"/>
      <c r="F129" s="253"/>
      <c r="G129" s="51"/>
    </row>
    <row r="130" spans="1:7" s="52" customFormat="1" x14ac:dyDescent="0.3">
      <c r="A130" s="54"/>
      <c r="B130" s="54"/>
      <c r="C130" s="153" t="str">
        <f t="shared" si="11"/>
        <v/>
      </c>
      <c r="D130" s="55"/>
      <c r="E130" s="252"/>
      <c r="F130" s="253"/>
      <c r="G130" s="51"/>
    </row>
    <row r="131" spans="1:7" s="52" customFormat="1" ht="15" thickBot="1" x14ac:dyDescent="0.35">
      <c r="A131" s="56"/>
      <c r="B131" s="56"/>
      <c r="C131" s="154" t="str">
        <f t="shared" si="11"/>
        <v/>
      </c>
      <c r="D131" s="57"/>
      <c r="E131" s="254"/>
      <c r="F131" s="255"/>
      <c r="G131" s="51"/>
    </row>
    <row r="132" spans="1:7" s="52" customFormat="1" ht="15" thickBot="1" x14ac:dyDescent="0.35">
      <c r="A132" s="110" t="s">
        <v>29</v>
      </c>
      <c r="B132" s="84">
        <f>SUM(B124:B131)</f>
        <v>48</v>
      </c>
      <c r="C132" s="110" t="str">
        <f xml:space="preserve"> setValueToTime(B132)</f>
        <v>4h</v>
      </c>
      <c r="D132" s="119"/>
      <c r="E132" s="256"/>
      <c r="F132" s="257"/>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58" t="s">
        <v>14</v>
      </c>
      <c r="F135" s="259"/>
      <c r="G135" s="46"/>
    </row>
    <row r="136" spans="1:7" s="52" customFormat="1" x14ac:dyDescent="0.3">
      <c r="A136" s="48" t="s">
        <v>94</v>
      </c>
      <c r="B136" s="49">
        <v>24</v>
      </c>
      <c r="C136" s="151" t="str">
        <f xml:space="preserve"> IF(B136="","",setValueToTime(B136))</f>
        <v>2h</v>
      </c>
      <c r="D136" s="171" t="s">
        <v>132</v>
      </c>
      <c r="E136" s="260"/>
      <c r="F136" s="261"/>
      <c r="G136" s="51"/>
    </row>
    <row r="137" spans="1:7" s="52" customFormat="1" x14ac:dyDescent="0.3">
      <c r="A137" s="53" t="s">
        <v>95</v>
      </c>
      <c r="B137" s="54">
        <v>11</v>
      </c>
      <c r="C137" s="152" t="str">
        <f xml:space="preserve"> IF(B137="","",setValueToTime(B137))</f>
        <v>0h55min</v>
      </c>
      <c r="D137" s="174" t="s">
        <v>133</v>
      </c>
      <c r="E137" s="252"/>
      <c r="F137" s="253"/>
      <c r="G137" s="51"/>
    </row>
    <row r="138" spans="1:7" s="52" customFormat="1" x14ac:dyDescent="0.3">
      <c r="A138" s="53" t="s">
        <v>17</v>
      </c>
      <c r="B138" s="54">
        <v>2</v>
      </c>
      <c r="C138" s="152" t="str">
        <f xml:space="preserve"> IF(B138="","",setValueToTime(B138))</f>
        <v>0h10min</v>
      </c>
      <c r="D138" s="174" t="s">
        <v>115</v>
      </c>
      <c r="E138" s="252"/>
      <c r="F138" s="253"/>
      <c r="G138" s="51"/>
    </row>
    <row r="139" spans="1:7" s="52" customFormat="1" x14ac:dyDescent="0.3">
      <c r="A139" s="53" t="s">
        <v>101</v>
      </c>
      <c r="B139" s="54">
        <v>1</v>
      </c>
      <c r="C139" s="152" t="str">
        <f xml:space="preserve"> IF(B139="","",setValueToTime(B139))</f>
        <v>0h5min</v>
      </c>
      <c r="D139" s="174" t="s">
        <v>121</v>
      </c>
      <c r="E139" s="252"/>
      <c r="F139" s="253"/>
      <c r="G139" s="51"/>
    </row>
    <row r="140" spans="1:7" s="52" customFormat="1" x14ac:dyDescent="0.3">
      <c r="A140" s="54"/>
      <c r="B140" s="54"/>
      <c r="C140" s="153" t="str">
        <f t="shared" ref="C140:C143" si="12" xml:space="preserve"> IF(B140="","",setValueToTime(B140))</f>
        <v/>
      </c>
      <c r="D140" s="55"/>
      <c r="E140" s="252"/>
      <c r="F140" s="253"/>
      <c r="G140" s="51"/>
    </row>
    <row r="141" spans="1:7" s="52" customFormat="1" x14ac:dyDescent="0.3">
      <c r="A141" s="54"/>
      <c r="B141" s="54"/>
      <c r="C141" s="153" t="str">
        <f t="shared" si="12"/>
        <v/>
      </c>
      <c r="D141" s="55"/>
      <c r="E141" s="252"/>
      <c r="F141" s="253"/>
      <c r="G141" s="51"/>
    </row>
    <row r="142" spans="1:7" s="52" customFormat="1" x14ac:dyDescent="0.3">
      <c r="A142" s="54"/>
      <c r="B142" s="54"/>
      <c r="C142" s="153" t="str">
        <f t="shared" si="12"/>
        <v/>
      </c>
      <c r="D142" s="55"/>
      <c r="E142" s="252"/>
      <c r="F142" s="253"/>
      <c r="G142" s="51"/>
    </row>
    <row r="143" spans="1:7" s="52" customFormat="1" ht="15" thickBot="1" x14ac:dyDescent="0.35">
      <c r="A143" s="56"/>
      <c r="B143" s="56"/>
      <c r="C143" s="154" t="str">
        <f t="shared" si="12"/>
        <v/>
      </c>
      <c r="D143" s="57"/>
      <c r="E143" s="254"/>
      <c r="F143" s="255"/>
      <c r="G143" s="51"/>
    </row>
    <row r="144" spans="1:7" s="52" customFormat="1" ht="15" thickBot="1" x14ac:dyDescent="0.35">
      <c r="A144" s="110" t="s">
        <v>29</v>
      </c>
      <c r="B144" s="84">
        <f>SUM(B136:B143)</f>
        <v>38</v>
      </c>
      <c r="C144" s="110" t="str">
        <f xml:space="preserve"> setValueToTime(B144)</f>
        <v>3h10min</v>
      </c>
      <c r="D144" s="119"/>
      <c r="E144" s="256"/>
      <c r="F144" s="257"/>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58" t="s">
        <v>14</v>
      </c>
      <c r="F147" s="259"/>
      <c r="G147" s="46"/>
    </row>
    <row r="148" spans="1:7" s="52" customFormat="1" x14ac:dyDescent="0.3">
      <c r="A148" s="48" t="s">
        <v>94</v>
      </c>
      <c r="B148" s="49">
        <v>25</v>
      </c>
      <c r="C148" s="151" t="str">
        <f xml:space="preserve"> IF(B148="","",setValueToTime(B148))</f>
        <v>2h5min</v>
      </c>
      <c r="D148" s="171" t="s">
        <v>132</v>
      </c>
      <c r="E148" s="260"/>
      <c r="F148" s="261"/>
      <c r="G148" s="51"/>
    </row>
    <row r="149" spans="1:7" s="52" customFormat="1" x14ac:dyDescent="0.3">
      <c r="A149" s="53" t="s">
        <v>95</v>
      </c>
      <c r="B149" s="54">
        <v>11</v>
      </c>
      <c r="C149" s="152" t="str">
        <f xml:space="preserve"> IF(B149="","",setValueToTime(B149))</f>
        <v>0h55min</v>
      </c>
      <c r="D149" s="174" t="s">
        <v>133</v>
      </c>
      <c r="E149" s="252"/>
      <c r="F149" s="253"/>
      <c r="G149" s="51"/>
    </row>
    <row r="150" spans="1:7" s="52" customFormat="1" x14ac:dyDescent="0.3">
      <c r="A150" s="53" t="s">
        <v>17</v>
      </c>
      <c r="B150" s="54">
        <v>2</v>
      </c>
      <c r="C150" s="152" t="str">
        <f xml:space="preserve"> IF(B150="","",setValueToTime(B150))</f>
        <v>0h10min</v>
      </c>
      <c r="D150" s="174" t="s">
        <v>115</v>
      </c>
      <c r="E150" s="252"/>
      <c r="F150" s="253"/>
      <c r="G150" s="51"/>
    </row>
    <row r="151" spans="1:7" s="52" customFormat="1" x14ac:dyDescent="0.3">
      <c r="A151" s="53"/>
      <c r="B151" s="54"/>
      <c r="C151" s="152"/>
      <c r="D151" s="174"/>
      <c r="E151" s="252"/>
      <c r="F151" s="253"/>
      <c r="G151" s="51"/>
    </row>
    <row r="152" spans="1:7" s="52" customFormat="1" x14ac:dyDescent="0.3">
      <c r="A152" s="54"/>
      <c r="B152" s="54"/>
      <c r="C152" s="153" t="str">
        <f t="shared" ref="C152:C155" si="13" xml:space="preserve"> IF(B152="","",setValueToTime(B152))</f>
        <v/>
      </c>
      <c r="D152" s="55"/>
      <c r="E152" s="252"/>
      <c r="F152" s="253"/>
      <c r="G152" s="51"/>
    </row>
    <row r="153" spans="1:7" s="52" customFormat="1" x14ac:dyDescent="0.3">
      <c r="A153" s="54"/>
      <c r="B153" s="54"/>
      <c r="C153" s="153" t="str">
        <f t="shared" si="13"/>
        <v/>
      </c>
      <c r="D153" s="55"/>
      <c r="E153" s="252"/>
      <c r="F153" s="253"/>
      <c r="G153" s="51"/>
    </row>
    <row r="154" spans="1:7" s="52" customFormat="1" x14ac:dyDescent="0.3">
      <c r="A154" s="54"/>
      <c r="B154" s="54"/>
      <c r="C154" s="153" t="str">
        <f t="shared" si="13"/>
        <v/>
      </c>
      <c r="D154" s="55"/>
      <c r="E154" s="252"/>
      <c r="F154" s="253"/>
      <c r="G154" s="51"/>
    </row>
    <row r="155" spans="1:7" s="52" customFormat="1" ht="15" thickBot="1" x14ac:dyDescent="0.35">
      <c r="A155" s="56"/>
      <c r="B155" s="56"/>
      <c r="C155" s="154" t="str">
        <f t="shared" si="13"/>
        <v/>
      </c>
      <c r="D155" s="57"/>
      <c r="E155" s="254"/>
      <c r="F155" s="255"/>
      <c r="G155" s="51"/>
    </row>
    <row r="156" spans="1:7" s="52" customFormat="1" ht="15" thickBot="1" x14ac:dyDescent="0.35">
      <c r="A156" s="110" t="s">
        <v>29</v>
      </c>
      <c r="B156" s="84">
        <f>SUM(B148:B155)</f>
        <v>38</v>
      </c>
      <c r="C156" s="110" t="str">
        <f xml:space="preserve"> setValueToTime(B156)</f>
        <v>3h10min</v>
      </c>
      <c r="D156" s="119"/>
      <c r="E156" s="256"/>
      <c r="F156" s="25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58" t="s">
        <v>14</v>
      </c>
      <c r="F159" s="259"/>
      <c r="G159" s="46"/>
    </row>
    <row r="160" spans="1:7" s="52" customFormat="1" x14ac:dyDescent="0.3">
      <c r="A160" s="48" t="s">
        <v>94</v>
      </c>
      <c r="B160" s="49">
        <v>24</v>
      </c>
      <c r="C160" s="151" t="str">
        <f xml:space="preserve"> IF(B160="","",setValueToTime(B160))</f>
        <v>2h</v>
      </c>
      <c r="D160" s="171" t="s">
        <v>132</v>
      </c>
      <c r="E160" s="260"/>
      <c r="F160" s="261"/>
      <c r="G160" s="51"/>
    </row>
    <row r="161" spans="1:7" s="52" customFormat="1" x14ac:dyDescent="0.3">
      <c r="A161" s="53" t="s">
        <v>95</v>
      </c>
      <c r="B161" s="54">
        <v>11</v>
      </c>
      <c r="C161" s="152" t="str">
        <f xml:space="preserve"> IF(B161="","",setValueToTime(B161))</f>
        <v>0h55min</v>
      </c>
      <c r="D161" s="174" t="s">
        <v>133</v>
      </c>
      <c r="E161" s="252"/>
      <c r="F161" s="253"/>
      <c r="G161" s="51"/>
    </row>
    <row r="162" spans="1:7" s="52" customFormat="1" x14ac:dyDescent="0.3">
      <c r="A162" s="53" t="s">
        <v>17</v>
      </c>
      <c r="B162" s="54">
        <v>2</v>
      </c>
      <c r="C162" s="152" t="str">
        <f xml:space="preserve"> IF(B162="","",setValueToTime(B162))</f>
        <v>0h10min</v>
      </c>
      <c r="D162" s="174" t="s">
        <v>115</v>
      </c>
      <c r="E162" s="252"/>
      <c r="F162" s="253"/>
      <c r="G162" s="51"/>
    </row>
    <row r="163" spans="1:7" s="52" customFormat="1" x14ac:dyDescent="0.3">
      <c r="A163" s="53" t="s">
        <v>101</v>
      </c>
      <c r="B163" s="54">
        <v>1</v>
      </c>
      <c r="C163" s="152" t="str">
        <f xml:space="preserve"> IF(B163="","",setValueToTime(B163))</f>
        <v>0h5min</v>
      </c>
      <c r="D163" s="174" t="s">
        <v>121</v>
      </c>
      <c r="E163" s="252"/>
      <c r="F163" s="253"/>
      <c r="G163" s="51"/>
    </row>
    <row r="164" spans="1:7" s="52" customFormat="1" x14ac:dyDescent="0.3">
      <c r="A164" s="53"/>
      <c r="B164" s="54"/>
      <c r="C164" s="152"/>
      <c r="D164" s="174"/>
      <c r="E164" s="252"/>
      <c r="F164" s="253"/>
      <c r="G164" s="51"/>
    </row>
    <row r="165" spans="1:7" s="52" customFormat="1" x14ac:dyDescent="0.3">
      <c r="A165" s="54"/>
      <c r="B165" s="54"/>
      <c r="C165" s="153" t="str">
        <f t="shared" ref="C165:C167" si="14" xml:space="preserve"> IF(B165="","",setValueToTime(B165))</f>
        <v/>
      </c>
      <c r="D165" s="55"/>
      <c r="E165" s="252"/>
      <c r="F165" s="253"/>
      <c r="G165" s="51"/>
    </row>
    <row r="166" spans="1:7" s="52" customFormat="1" x14ac:dyDescent="0.3">
      <c r="A166" s="54"/>
      <c r="B166" s="54"/>
      <c r="C166" s="153" t="str">
        <f t="shared" si="14"/>
        <v/>
      </c>
      <c r="D166" s="55"/>
      <c r="E166" s="252"/>
      <c r="F166" s="253"/>
      <c r="G166" s="51"/>
    </row>
    <row r="167" spans="1:7" s="52" customFormat="1" ht="15" thickBot="1" x14ac:dyDescent="0.35">
      <c r="A167" s="56"/>
      <c r="B167" s="56"/>
      <c r="C167" s="154" t="str">
        <f t="shared" si="14"/>
        <v/>
      </c>
      <c r="D167" s="57"/>
      <c r="E167" s="254"/>
      <c r="F167" s="255"/>
      <c r="G167" s="51"/>
    </row>
    <row r="168" spans="1:7" s="52" customFormat="1" ht="15" thickBot="1" x14ac:dyDescent="0.35">
      <c r="A168" s="110" t="s">
        <v>29</v>
      </c>
      <c r="B168" s="84">
        <f>SUM(B160:B167)</f>
        <v>38</v>
      </c>
      <c r="C168" s="110" t="str">
        <f xml:space="preserve"> setValueToTime(B168)</f>
        <v>3h10min</v>
      </c>
      <c r="D168" s="119"/>
      <c r="E168" s="256"/>
      <c r="F168" s="257"/>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58" t="s">
        <v>14</v>
      </c>
      <c r="F171" s="259"/>
      <c r="G171" s="46"/>
    </row>
    <row r="172" spans="1:7" s="52" customFormat="1" x14ac:dyDescent="0.3">
      <c r="A172" s="48" t="s">
        <v>94</v>
      </c>
      <c r="B172" s="49">
        <v>35</v>
      </c>
      <c r="C172" s="151" t="str">
        <f xml:space="preserve"> IF(B172="","",setValueToTime(B172))</f>
        <v>2h55min</v>
      </c>
      <c r="D172" s="171" t="s">
        <v>132</v>
      </c>
      <c r="E172" s="260"/>
      <c r="F172" s="261"/>
      <c r="G172" s="51"/>
    </row>
    <row r="173" spans="1:7" s="52" customFormat="1" x14ac:dyDescent="0.3">
      <c r="A173" s="53" t="s">
        <v>16</v>
      </c>
      <c r="B173" s="54">
        <v>11</v>
      </c>
      <c r="C173" s="152" t="str">
        <f xml:space="preserve"> IF(B173="","",setValueToTime(B173))</f>
        <v>0h55min</v>
      </c>
      <c r="D173" s="174" t="s">
        <v>127</v>
      </c>
      <c r="E173" s="252"/>
      <c r="F173" s="253"/>
      <c r="G173" s="51"/>
    </row>
    <row r="174" spans="1:7" s="52" customFormat="1" x14ac:dyDescent="0.3">
      <c r="A174" s="53" t="s">
        <v>17</v>
      </c>
      <c r="B174" s="54">
        <v>2</v>
      </c>
      <c r="C174" s="152" t="str">
        <f xml:space="preserve"> IF(B174="","",setValueToTime(B174))</f>
        <v>0h10min</v>
      </c>
      <c r="D174" s="174" t="s">
        <v>115</v>
      </c>
      <c r="E174" s="252"/>
      <c r="F174" s="253"/>
      <c r="G174" s="51"/>
    </row>
    <row r="175" spans="1:7" s="52" customFormat="1" x14ac:dyDescent="0.3">
      <c r="A175" s="53"/>
      <c r="B175" s="54"/>
      <c r="C175" s="152"/>
      <c r="D175" s="174"/>
      <c r="E175" s="252"/>
      <c r="F175" s="253"/>
      <c r="G175" s="51"/>
    </row>
    <row r="176" spans="1:7" s="52" customFormat="1" x14ac:dyDescent="0.3">
      <c r="A176" s="53"/>
      <c r="B176" s="54"/>
      <c r="C176" s="152"/>
      <c r="D176" s="174"/>
      <c r="E176" s="252"/>
      <c r="F176" s="253"/>
      <c r="G176" s="51"/>
    </row>
    <row r="177" spans="1:7" s="52" customFormat="1" x14ac:dyDescent="0.3">
      <c r="A177" s="54"/>
      <c r="B177" s="54"/>
      <c r="C177" s="153" t="str">
        <f t="shared" ref="C177:C179" si="15" xml:space="preserve"> IF(B177="","",setValueToTime(B177))</f>
        <v/>
      </c>
      <c r="D177" s="55"/>
      <c r="E177" s="252"/>
      <c r="F177" s="253"/>
      <c r="G177" s="51"/>
    </row>
    <row r="178" spans="1:7" s="52" customFormat="1" x14ac:dyDescent="0.3">
      <c r="A178" s="54"/>
      <c r="B178" s="54"/>
      <c r="C178" s="153" t="str">
        <f t="shared" si="15"/>
        <v/>
      </c>
      <c r="D178" s="55"/>
      <c r="E178" s="252"/>
      <c r="F178" s="253"/>
      <c r="G178" s="51"/>
    </row>
    <row r="179" spans="1:7" s="52" customFormat="1" ht="15" thickBot="1" x14ac:dyDescent="0.35">
      <c r="A179" s="56"/>
      <c r="B179" s="56"/>
      <c r="C179" s="154" t="str">
        <f t="shared" si="15"/>
        <v/>
      </c>
      <c r="D179" s="57"/>
      <c r="E179" s="254"/>
      <c r="F179" s="255"/>
      <c r="G179" s="51"/>
    </row>
    <row r="180" spans="1:7" s="52" customFormat="1" ht="15" thickBot="1" x14ac:dyDescent="0.35">
      <c r="A180" s="110" t="s">
        <v>29</v>
      </c>
      <c r="B180" s="84">
        <f>SUM(B172:B179)</f>
        <v>48</v>
      </c>
      <c r="C180" s="110" t="str">
        <f xml:space="preserve"> setValueToTime(B180)</f>
        <v>4h</v>
      </c>
      <c r="D180" s="119"/>
      <c r="E180" s="256"/>
      <c r="F180" s="25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58" t="s">
        <v>14</v>
      </c>
      <c r="F183" s="259"/>
      <c r="G183" s="46"/>
    </row>
    <row r="184" spans="1:7" s="52" customFormat="1" x14ac:dyDescent="0.3">
      <c r="A184" s="53" t="s">
        <v>16</v>
      </c>
      <c r="B184" s="54">
        <v>20</v>
      </c>
      <c r="C184" s="152" t="str">
        <f t="shared" ref="C184" si="16" xml:space="preserve"> IF(B184="","",setValueToTime(B184))</f>
        <v>1h40min</v>
      </c>
      <c r="D184" s="174" t="s">
        <v>127</v>
      </c>
      <c r="E184" s="260"/>
      <c r="F184" s="261"/>
      <c r="G184" s="51"/>
    </row>
    <row r="185" spans="1:7" s="52" customFormat="1" x14ac:dyDescent="0.3">
      <c r="A185" s="53" t="s">
        <v>97</v>
      </c>
      <c r="B185" s="54">
        <v>5</v>
      </c>
      <c r="C185" s="152" t="str">
        <f t="shared" ref="C185:C188" si="17" xml:space="preserve"> IF(B185="","",setValueToTime(B185))</f>
        <v>0h25min</v>
      </c>
      <c r="D185" s="174" t="s">
        <v>126</v>
      </c>
      <c r="E185" s="252"/>
      <c r="F185" s="253"/>
      <c r="G185" s="51"/>
    </row>
    <row r="186" spans="1:7" s="52" customFormat="1" x14ac:dyDescent="0.3">
      <c r="A186" s="173" t="s">
        <v>94</v>
      </c>
      <c r="B186" s="54">
        <v>10</v>
      </c>
      <c r="C186" s="152" t="str">
        <f t="shared" si="17"/>
        <v>0h50min</v>
      </c>
      <c r="D186" s="174" t="s">
        <v>131</v>
      </c>
      <c r="E186" s="252"/>
      <c r="F186" s="253"/>
      <c r="G186" s="51"/>
    </row>
    <row r="187" spans="1:7" s="52" customFormat="1" x14ac:dyDescent="0.3">
      <c r="A187" s="53" t="s">
        <v>17</v>
      </c>
      <c r="B187" s="54">
        <v>2</v>
      </c>
      <c r="C187" s="152" t="str">
        <f t="shared" si="17"/>
        <v>0h10min</v>
      </c>
      <c r="D187" s="174" t="s">
        <v>115</v>
      </c>
      <c r="E187" s="252"/>
      <c r="F187" s="253"/>
      <c r="G187" s="51"/>
    </row>
    <row r="188" spans="1:7" s="52" customFormat="1" x14ac:dyDescent="0.3">
      <c r="A188" s="53" t="s">
        <v>101</v>
      </c>
      <c r="B188" s="54">
        <v>1</v>
      </c>
      <c r="C188" s="152" t="str">
        <f t="shared" si="17"/>
        <v>0h5min</v>
      </c>
      <c r="D188" s="174" t="s">
        <v>121</v>
      </c>
      <c r="E188" s="252"/>
      <c r="F188" s="253"/>
      <c r="G188" s="51"/>
    </row>
    <row r="189" spans="1:7" s="52" customFormat="1" x14ac:dyDescent="0.3">
      <c r="A189" s="54"/>
      <c r="B189" s="54"/>
      <c r="C189" s="153" t="str">
        <f t="shared" ref="C189:C191" si="18" xml:space="preserve"> IF(B189="","",setValueToTime(B189))</f>
        <v/>
      </c>
      <c r="D189" s="55"/>
      <c r="E189" s="252"/>
      <c r="F189" s="253"/>
      <c r="G189" s="51"/>
    </row>
    <row r="190" spans="1:7" s="52" customFormat="1" x14ac:dyDescent="0.3">
      <c r="A190" s="54"/>
      <c r="B190" s="54"/>
      <c r="C190" s="153" t="str">
        <f t="shared" si="18"/>
        <v/>
      </c>
      <c r="D190" s="55"/>
      <c r="E190" s="252"/>
      <c r="F190" s="253"/>
      <c r="G190" s="51"/>
    </row>
    <row r="191" spans="1:7" s="52" customFormat="1" ht="15" thickBot="1" x14ac:dyDescent="0.35">
      <c r="A191" s="56"/>
      <c r="B191" s="56"/>
      <c r="C191" s="154" t="str">
        <f t="shared" si="18"/>
        <v/>
      </c>
      <c r="D191" s="57"/>
      <c r="E191" s="254"/>
      <c r="F191" s="255"/>
      <c r="G191" s="51"/>
    </row>
    <row r="192" spans="1:7" s="52" customFormat="1" ht="15" thickBot="1" x14ac:dyDescent="0.35">
      <c r="A192" s="110" t="s">
        <v>29</v>
      </c>
      <c r="B192" s="84">
        <f>SUM(B184:B191)</f>
        <v>38</v>
      </c>
      <c r="C192" s="110" t="str">
        <f xml:space="preserve"> setValueToTime(B192)</f>
        <v>3h10min</v>
      </c>
      <c r="D192" s="119"/>
      <c r="E192" s="256"/>
      <c r="F192" s="257"/>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58" t="s">
        <v>14</v>
      </c>
      <c r="F195" s="259"/>
      <c r="G195" s="46"/>
    </row>
    <row r="196" spans="1:7" s="52" customFormat="1" x14ac:dyDescent="0.3">
      <c r="A196" s="48" t="s">
        <v>96</v>
      </c>
      <c r="B196" s="49">
        <v>21</v>
      </c>
      <c r="C196" s="151" t="str">
        <f xml:space="preserve"> IF(B196="","",setValueToTime(B196))</f>
        <v>1h45min</v>
      </c>
      <c r="D196" s="171" t="s">
        <v>130</v>
      </c>
      <c r="E196" s="260"/>
      <c r="F196" s="261"/>
      <c r="G196" s="51"/>
    </row>
    <row r="197" spans="1:7" s="52" customFormat="1" x14ac:dyDescent="0.3">
      <c r="A197" s="173" t="s">
        <v>94</v>
      </c>
      <c r="B197" s="54">
        <v>15</v>
      </c>
      <c r="C197" s="152" t="str">
        <f t="shared" ref="C197:C199" si="19" xml:space="preserve"> IF(B197="","",setValueToTime(B197))</f>
        <v>1h15min</v>
      </c>
      <c r="D197" s="174" t="s">
        <v>131</v>
      </c>
      <c r="E197" s="252"/>
      <c r="F197" s="253"/>
      <c r="G197" s="51"/>
    </row>
    <row r="198" spans="1:7" s="52" customFormat="1" x14ac:dyDescent="0.3">
      <c r="A198" s="53" t="s">
        <v>95</v>
      </c>
      <c r="B198" s="54">
        <v>10</v>
      </c>
      <c r="C198" s="152" t="str">
        <f t="shared" si="19"/>
        <v>0h50min</v>
      </c>
      <c r="D198" s="174" t="s">
        <v>128</v>
      </c>
      <c r="E198" s="252"/>
      <c r="F198" s="253"/>
      <c r="G198" s="51"/>
    </row>
    <row r="199" spans="1:7" s="52" customFormat="1" x14ac:dyDescent="0.3">
      <c r="A199" s="53" t="s">
        <v>17</v>
      </c>
      <c r="B199" s="54">
        <v>2</v>
      </c>
      <c r="C199" s="152" t="str">
        <f t="shared" si="19"/>
        <v>0h10min</v>
      </c>
      <c r="D199" s="174" t="s">
        <v>115</v>
      </c>
      <c r="E199" s="252"/>
      <c r="F199" s="253"/>
      <c r="G199" s="51"/>
    </row>
    <row r="200" spans="1:7" s="52" customFormat="1" x14ac:dyDescent="0.3">
      <c r="A200" s="53"/>
      <c r="B200" s="54"/>
      <c r="C200" s="152"/>
      <c r="D200" s="174"/>
      <c r="E200" s="252"/>
      <c r="F200" s="253"/>
      <c r="G200" s="51"/>
    </row>
    <row r="201" spans="1:7" s="52" customFormat="1" x14ac:dyDescent="0.3">
      <c r="A201" s="54"/>
      <c r="B201" s="54"/>
      <c r="C201" s="153" t="str">
        <f t="shared" ref="C201:C203" si="20" xml:space="preserve"> IF(B201="","",setValueToTime(B201))</f>
        <v/>
      </c>
      <c r="D201" s="55"/>
      <c r="E201" s="252"/>
      <c r="F201" s="253"/>
      <c r="G201" s="51"/>
    </row>
    <row r="202" spans="1:7" s="52" customFormat="1" x14ac:dyDescent="0.3">
      <c r="A202" s="54"/>
      <c r="B202" s="54"/>
      <c r="C202" s="153" t="str">
        <f t="shared" si="20"/>
        <v/>
      </c>
      <c r="D202" s="55"/>
      <c r="E202" s="252"/>
      <c r="F202" s="253"/>
      <c r="G202" s="51"/>
    </row>
    <row r="203" spans="1:7" s="52" customFormat="1" ht="15" thickBot="1" x14ac:dyDescent="0.35">
      <c r="A203" s="56"/>
      <c r="B203" s="56"/>
      <c r="C203" s="154" t="str">
        <f t="shared" si="20"/>
        <v/>
      </c>
      <c r="D203" s="57"/>
      <c r="E203" s="254"/>
      <c r="F203" s="255"/>
      <c r="G203" s="51"/>
    </row>
    <row r="204" spans="1:7" s="52" customFormat="1" ht="15" thickBot="1" x14ac:dyDescent="0.35">
      <c r="A204" s="110" t="s">
        <v>29</v>
      </c>
      <c r="B204" s="84">
        <f>SUM(B196:B203)</f>
        <v>48</v>
      </c>
      <c r="C204" s="110" t="str">
        <f xml:space="preserve"> setValueToTime(B204)</f>
        <v>4h</v>
      </c>
      <c r="D204" s="119"/>
      <c r="E204" s="256"/>
      <c r="F204" s="257"/>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58" t="s">
        <v>14</v>
      </c>
      <c r="F207" s="259"/>
      <c r="G207" s="46"/>
    </row>
    <row r="208" spans="1:7" s="52" customFormat="1" x14ac:dyDescent="0.3">
      <c r="A208" s="48" t="s">
        <v>96</v>
      </c>
      <c r="B208" s="49">
        <v>20</v>
      </c>
      <c r="C208" s="151" t="str">
        <f xml:space="preserve"> IF(B208="","",setValueToTime(B208))</f>
        <v>1h40min</v>
      </c>
      <c r="D208" s="171" t="s">
        <v>129</v>
      </c>
      <c r="E208" s="260"/>
      <c r="F208" s="261"/>
      <c r="G208" s="51"/>
    </row>
    <row r="209" spans="1:7" s="52" customFormat="1" x14ac:dyDescent="0.3">
      <c r="A209" s="53" t="s">
        <v>97</v>
      </c>
      <c r="B209" s="54">
        <v>5</v>
      </c>
      <c r="C209" s="152" t="str">
        <f t="shared" ref="C209" si="21" xml:space="preserve"> IF(B209="","",setValueToTime(B209))</f>
        <v>0h25min</v>
      </c>
      <c r="D209" s="174" t="s">
        <v>126</v>
      </c>
      <c r="E209" s="252"/>
      <c r="F209" s="253"/>
      <c r="G209" s="51"/>
    </row>
    <row r="210" spans="1:7" s="52" customFormat="1" x14ac:dyDescent="0.3">
      <c r="A210" s="53" t="s">
        <v>16</v>
      </c>
      <c r="B210" s="54">
        <v>10</v>
      </c>
      <c r="C210" s="152" t="str">
        <f t="shared" ref="C210:C215" si="22" xml:space="preserve"> IF(B210="","",setValueToTime(B210))</f>
        <v>0h50min</v>
      </c>
      <c r="D210" s="174" t="s">
        <v>127</v>
      </c>
      <c r="E210" s="252"/>
      <c r="F210" s="253"/>
      <c r="G210" s="51"/>
    </row>
    <row r="211" spans="1:7" s="52" customFormat="1" x14ac:dyDescent="0.3">
      <c r="A211" s="53" t="s">
        <v>17</v>
      </c>
      <c r="B211" s="54">
        <v>2</v>
      </c>
      <c r="C211" s="152" t="str">
        <f t="shared" si="22"/>
        <v>0h10min</v>
      </c>
      <c r="D211" s="174" t="s">
        <v>115</v>
      </c>
      <c r="E211" s="252"/>
      <c r="F211" s="253"/>
      <c r="G211" s="51"/>
    </row>
    <row r="212" spans="1:7" s="52" customFormat="1" x14ac:dyDescent="0.3">
      <c r="A212" s="53" t="s">
        <v>101</v>
      </c>
      <c r="B212" s="54">
        <v>1</v>
      </c>
      <c r="C212" s="152" t="str">
        <f t="shared" si="22"/>
        <v>0h5min</v>
      </c>
      <c r="D212" s="174" t="s">
        <v>121</v>
      </c>
      <c r="E212" s="252"/>
      <c r="F212" s="253"/>
      <c r="G212" s="51"/>
    </row>
    <row r="213" spans="1:7" s="52" customFormat="1" x14ac:dyDescent="0.3">
      <c r="A213" s="54"/>
      <c r="B213" s="54"/>
      <c r="C213" s="153" t="str">
        <f t="shared" si="22"/>
        <v/>
      </c>
      <c r="D213" s="55"/>
      <c r="E213" s="252"/>
      <c r="F213" s="253"/>
      <c r="G213" s="51"/>
    </row>
    <row r="214" spans="1:7" s="52" customFormat="1" x14ac:dyDescent="0.3">
      <c r="A214" s="54"/>
      <c r="B214" s="54"/>
      <c r="C214" s="153" t="str">
        <f t="shared" si="22"/>
        <v/>
      </c>
      <c r="D214" s="55"/>
      <c r="E214" s="252"/>
      <c r="F214" s="253"/>
      <c r="G214" s="51"/>
    </row>
    <row r="215" spans="1:7" s="52" customFormat="1" ht="15" thickBot="1" x14ac:dyDescent="0.35">
      <c r="A215" s="56"/>
      <c r="B215" s="56"/>
      <c r="C215" s="154" t="str">
        <f t="shared" si="22"/>
        <v/>
      </c>
      <c r="D215" s="57"/>
      <c r="E215" s="254"/>
      <c r="F215" s="255"/>
      <c r="G215" s="51"/>
    </row>
    <row r="216" spans="1:7" s="52" customFormat="1" ht="15" thickBot="1" x14ac:dyDescent="0.35">
      <c r="A216" s="110" t="s">
        <v>29</v>
      </c>
      <c r="B216" s="84">
        <f>SUM(B208:B215)</f>
        <v>38</v>
      </c>
      <c r="C216" s="110" t="str">
        <f xml:space="preserve"> setValueToTime(B216)</f>
        <v>3h10min</v>
      </c>
      <c r="D216" s="119"/>
      <c r="E216" s="256"/>
      <c r="F216" s="257"/>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58" t="s">
        <v>14</v>
      </c>
      <c r="F219" s="259"/>
      <c r="G219" s="46"/>
    </row>
    <row r="220" spans="1:7" s="52" customFormat="1" x14ac:dyDescent="0.3">
      <c r="A220" s="48" t="s">
        <v>96</v>
      </c>
      <c r="B220" s="49">
        <v>20</v>
      </c>
      <c r="C220" s="151" t="str">
        <f xml:space="preserve"> IF(B220="","",setValueToTime(B220))</f>
        <v>1h40min</v>
      </c>
      <c r="D220" s="171" t="s">
        <v>125</v>
      </c>
      <c r="E220" s="260"/>
      <c r="F220" s="261"/>
      <c r="G220" s="51"/>
    </row>
    <row r="221" spans="1:7" s="52" customFormat="1" x14ac:dyDescent="0.3">
      <c r="A221" s="53" t="s">
        <v>97</v>
      </c>
      <c r="B221" s="54">
        <v>14</v>
      </c>
      <c r="C221" s="152" t="str">
        <f t="shared" ref="C221:C227" si="23" xml:space="preserve"> IF(B221="","",setValueToTime(B221))</f>
        <v>1h10min</v>
      </c>
      <c r="D221" s="174" t="s">
        <v>126</v>
      </c>
      <c r="E221" s="252"/>
      <c r="F221" s="253"/>
      <c r="G221" s="51"/>
    </row>
    <row r="222" spans="1:7" s="52" customFormat="1" x14ac:dyDescent="0.3">
      <c r="A222" s="53" t="s">
        <v>101</v>
      </c>
      <c r="B222" s="54">
        <v>1</v>
      </c>
      <c r="C222" s="152" t="str">
        <f t="shared" si="23"/>
        <v>0h5min</v>
      </c>
      <c r="D222" s="174" t="s">
        <v>121</v>
      </c>
      <c r="E222" s="252"/>
      <c r="F222" s="253"/>
      <c r="G222" s="51"/>
    </row>
    <row r="223" spans="1:7" s="52" customFormat="1" x14ac:dyDescent="0.3">
      <c r="A223" s="53" t="s">
        <v>17</v>
      </c>
      <c r="B223" s="54">
        <v>2</v>
      </c>
      <c r="C223" s="152" t="str">
        <f t="shared" si="23"/>
        <v>0h10min</v>
      </c>
      <c r="D223" s="174" t="s">
        <v>115</v>
      </c>
      <c r="E223" s="252"/>
      <c r="F223" s="253"/>
      <c r="G223" s="51"/>
    </row>
    <row r="224" spans="1:7" s="52" customFormat="1" x14ac:dyDescent="0.3">
      <c r="A224" s="53" t="s">
        <v>101</v>
      </c>
      <c r="B224" s="54">
        <v>1</v>
      </c>
      <c r="C224" s="152" t="str">
        <f t="shared" si="23"/>
        <v>0h5min</v>
      </c>
      <c r="D224" s="174" t="s">
        <v>121</v>
      </c>
      <c r="E224" s="252"/>
      <c r="F224" s="253"/>
      <c r="G224" s="51"/>
    </row>
    <row r="225" spans="1:7" s="52" customFormat="1" x14ac:dyDescent="0.3">
      <c r="A225" s="54"/>
      <c r="B225" s="54"/>
      <c r="C225" s="153" t="str">
        <f t="shared" si="23"/>
        <v/>
      </c>
      <c r="D225" s="55"/>
      <c r="E225" s="252"/>
      <c r="F225" s="253"/>
      <c r="G225" s="51"/>
    </row>
    <row r="226" spans="1:7" s="52" customFormat="1" x14ac:dyDescent="0.3">
      <c r="A226" s="54"/>
      <c r="B226" s="54"/>
      <c r="C226" s="153" t="str">
        <f t="shared" si="23"/>
        <v/>
      </c>
      <c r="D226" s="55"/>
      <c r="E226" s="252"/>
      <c r="F226" s="253"/>
      <c r="G226" s="51"/>
    </row>
    <row r="227" spans="1:7" s="52" customFormat="1" ht="15" thickBot="1" x14ac:dyDescent="0.35">
      <c r="A227" s="56"/>
      <c r="B227" s="56"/>
      <c r="C227" s="154" t="str">
        <f t="shared" si="23"/>
        <v/>
      </c>
      <c r="D227" s="57"/>
      <c r="E227" s="254"/>
      <c r="F227" s="255"/>
      <c r="G227" s="51"/>
    </row>
    <row r="228" spans="1:7" s="52" customFormat="1" ht="15" thickBot="1" x14ac:dyDescent="0.35">
      <c r="A228" s="110" t="s">
        <v>29</v>
      </c>
      <c r="B228" s="84">
        <f>SUM(B220:B227)</f>
        <v>38</v>
      </c>
      <c r="C228" s="110" t="str">
        <f xml:space="preserve"> setValueToTime(B228)</f>
        <v>3h10min</v>
      </c>
      <c r="D228" s="119"/>
      <c r="E228" s="256"/>
      <c r="F228" s="257"/>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58" t="s">
        <v>14</v>
      </c>
      <c r="F231" s="259"/>
      <c r="G231" s="46"/>
    </row>
    <row r="232" spans="1:7" s="52" customFormat="1" x14ac:dyDescent="0.3">
      <c r="A232" s="48" t="s">
        <v>16</v>
      </c>
      <c r="B232" s="49">
        <v>12</v>
      </c>
      <c r="C232" s="151" t="str">
        <f xml:space="preserve"> IF(B232="","",setValueToTime(B232))</f>
        <v>1h</v>
      </c>
      <c r="D232" s="171" t="s">
        <v>122</v>
      </c>
      <c r="E232" s="260"/>
      <c r="F232" s="261"/>
      <c r="G232" s="51"/>
    </row>
    <row r="233" spans="1:7" s="52" customFormat="1" x14ac:dyDescent="0.3">
      <c r="A233" s="53" t="s">
        <v>16</v>
      </c>
      <c r="B233" s="54">
        <v>16</v>
      </c>
      <c r="C233" s="152" t="str">
        <f t="shared" ref="C233:C235" si="24" xml:space="preserve"> IF(B233="","",setValueToTime(B233))</f>
        <v>1h20min</v>
      </c>
      <c r="D233" s="174" t="s">
        <v>123</v>
      </c>
      <c r="E233" s="252"/>
      <c r="F233" s="253"/>
      <c r="G233" s="51"/>
    </row>
    <row r="234" spans="1:7" s="52" customFormat="1" x14ac:dyDescent="0.3">
      <c r="A234" s="53" t="s">
        <v>97</v>
      </c>
      <c r="B234" s="54">
        <v>18</v>
      </c>
      <c r="C234" s="152" t="str">
        <f t="shared" si="24"/>
        <v>1h30min</v>
      </c>
      <c r="D234" s="174" t="s">
        <v>124</v>
      </c>
      <c r="E234" s="252"/>
      <c r="F234" s="253"/>
      <c r="G234" s="51"/>
    </row>
    <row r="235" spans="1:7" s="52" customFormat="1" x14ac:dyDescent="0.3">
      <c r="A235" s="53" t="s">
        <v>17</v>
      </c>
      <c r="B235" s="54">
        <v>2</v>
      </c>
      <c r="C235" s="152" t="str">
        <f t="shared" si="24"/>
        <v>0h10min</v>
      </c>
      <c r="D235" s="174" t="s">
        <v>115</v>
      </c>
      <c r="E235" s="252"/>
      <c r="F235" s="253"/>
      <c r="G235" s="51"/>
    </row>
    <row r="236" spans="1:7" s="52" customFormat="1" x14ac:dyDescent="0.3">
      <c r="A236" s="54"/>
      <c r="B236" s="54"/>
      <c r="C236" s="153" t="str">
        <f t="shared" ref="C236:C239" si="25" xml:space="preserve"> IF(B236="","",setValueToTime(B236))</f>
        <v/>
      </c>
      <c r="D236" s="55"/>
      <c r="E236" s="252"/>
      <c r="F236" s="253"/>
      <c r="G236" s="51"/>
    </row>
    <row r="237" spans="1:7" s="52" customFormat="1" x14ac:dyDescent="0.3">
      <c r="A237" s="54"/>
      <c r="B237" s="54"/>
      <c r="C237" s="153" t="str">
        <f t="shared" si="25"/>
        <v/>
      </c>
      <c r="D237" s="55"/>
      <c r="E237" s="252"/>
      <c r="F237" s="253"/>
      <c r="G237" s="51"/>
    </row>
    <row r="238" spans="1:7" s="52" customFormat="1" x14ac:dyDescent="0.3">
      <c r="A238" s="54"/>
      <c r="B238" s="54"/>
      <c r="C238" s="153" t="str">
        <f t="shared" si="25"/>
        <v/>
      </c>
      <c r="D238" s="55"/>
      <c r="E238" s="252"/>
      <c r="F238" s="253"/>
      <c r="G238" s="51"/>
    </row>
    <row r="239" spans="1:7" s="52" customFormat="1" ht="15" thickBot="1" x14ac:dyDescent="0.35">
      <c r="A239" s="56"/>
      <c r="B239" s="56"/>
      <c r="C239" s="154" t="str">
        <f t="shared" si="25"/>
        <v/>
      </c>
      <c r="D239" s="57"/>
      <c r="E239" s="254"/>
      <c r="F239" s="255"/>
      <c r="G239" s="51"/>
    </row>
    <row r="240" spans="1:7" s="52" customFormat="1" ht="15" thickBot="1" x14ac:dyDescent="0.35">
      <c r="A240" s="110" t="s">
        <v>29</v>
      </c>
      <c r="B240" s="84">
        <f>SUM(B232:B239)</f>
        <v>48</v>
      </c>
      <c r="C240" s="110" t="str">
        <f xml:space="preserve"> setValueToTime(B240)</f>
        <v>4h</v>
      </c>
      <c r="D240" s="119"/>
      <c r="E240" s="256"/>
      <c r="F240" s="257"/>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58" t="s">
        <v>14</v>
      </c>
      <c r="F243" s="259"/>
      <c r="G243" s="46"/>
    </row>
    <row r="244" spans="1:7" s="52" customFormat="1" ht="27" x14ac:dyDescent="0.3">
      <c r="A244" s="48" t="s">
        <v>90</v>
      </c>
      <c r="B244" s="49">
        <v>23</v>
      </c>
      <c r="C244" s="151" t="str">
        <f xml:space="preserve"> IF(B244="","",setValueToTime(B244))</f>
        <v>1h55min</v>
      </c>
      <c r="D244" s="174" t="s">
        <v>120</v>
      </c>
      <c r="E244" s="260"/>
      <c r="F244" s="261"/>
      <c r="G244" s="51"/>
    </row>
    <row r="245" spans="1:7" s="52" customFormat="1" ht="27" x14ac:dyDescent="0.3">
      <c r="A245" s="53" t="s">
        <v>87</v>
      </c>
      <c r="B245" s="54">
        <v>12</v>
      </c>
      <c r="C245" s="152" t="str">
        <f t="shared" ref="C245" si="26" xml:space="preserve"> IF(B245="","",setValueToTime(B245))</f>
        <v>1h</v>
      </c>
      <c r="D245" s="174" t="s">
        <v>159</v>
      </c>
      <c r="E245" s="252"/>
      <c r="F245" s="253"/>
      <c r="G245" s="51"/>
    </row>
    <row r="246" spans="1:7" s="52" customFormat="1" x14ac:dyDescent="0.3">
      <c r="A246" s="53" t="s">
        <v>17</v>
      </c>
      <c r="B246" s="54">
        <v>2</v>
      </c>
      <c r="C246" s="152" t="str">
        <f t="shared" ref="C246:C251" si="27" xml:space="preserve"> IF(B246="","",setValueToTime(B246))</f>
        <v>0h10min</v>
      </c>
      <c r="D246" s="174" t="s">
        <v>115</v>
      </c>
      <c r="E246" s="252"/>
      <c r="F246" s="253"/>
      <c r="G246" s="51"/>
    </row>
    <row r="247" spans="1:7" s="52" customFormat="1" x14ac:dyDescent="0.3">
      <c r="A247" s="53" t="s">
        <v>101</v>
      </c>
      <c r="B247" s="54">
        <v>1</v>
      </c>
      <c r="C247" s="152" t="str">
        <f t="shared" si="27"/>
        <v>0h5min</v>
      </c>
      <c r="D247" s="174" t="s">
        <v>121</v>
      </c>
      <c r="E247" s="252"/>
      <c r="F247" s="253"/>
      <c r="G247" s="51"/>
    </row>
    <row r="248" spans="1:7" s="52" customFormat="1" x14ac:dyDescent="0.3">
      <c r="A248" s="54"/>
      <c r="B248" s="54"/>
      <c r="C248" s="153" t="str">
        <f t="shared" si="27"/>
        <v/>
      </c>
      <c r="D248" s="55"/>
      <c r="E248" s="252"/>
      <c r="F248" s="253"/>
      <c r="G248" s="51"/>
    </row>
    <row r="249" spans="1:7" s="52" customFormat="1" x14ac:dyDescent="0.3">
      <c r="A249" s="54"/>
      <c r="B249" s="54"/>
      <c r="C249" s="153" t="str">
        <f t="shared" si="27"/>
        <v/>
      </c>
      <c r="D249" s="55"/>
      <c r="E249" s="252"/>
      <c r="F249" s="253"/>
      <c r="G249" s="51"/>
    </row>
    <row r="250" spans="1:7" s="52" customFormat="1" x14ac:dyDescent="0.3">
      <c r="A250" s="54"/>
      <c r="B250" s="54"/>
      <c r="C250" s="153" t="str">
        <f t="shared" si="27"/>
        <v/>
      </c>
      <c r="D250" s="55"/>
      <c r="E250" s="252"/>
      <c r="F250" s="253"/>
      <c r="G250" s="51"/>
    </row>
    <row r="251" spans="1:7" s="52" customFormat="1" ht="15" thickBot="1" x14ac:dyDescent="0.35">
      <c r="A251" s="56"/>
      <c r="B251" s="56"/>
      <c r="C251" s="154" t="str">
        <f t="shared" si="27"/>
        <v/>
      </c>
      <c r="D251" s="57"/>
      <c r="E251" s="254"/>
      <c r="F251" s="255"/>
      <c r="G251" s="51"/>
    </row>
    <row r="252" spans="1:7" s="52" customFormat="1" ht="15" thickBot="1" x14ac:dyDescent="0.35">
      <c r="A252" s="110" t="s">
        <v>29</v>
      </c>
      <c r="B252" s="84">
        <f>SUM(B244:B251)</f>
        <v>38</v>
      </c>
      <c r="C252" s="110" t="str">
        <f xml:space="preserve"> setValueToTime(B252)</f>
        <v>3h10min</v>
      </c>
      <c r="D252" s="119"/>
      <c r="E252" s="256"/>
      <c r="F252" s="257"/>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58" t="s">
        <v>14</v>
      </c>
      <c r="F255" s="259"/>
      <c r="G255" s="46"/>
    </row>
    <row r="256" spans="1:7" s="52" customFormat="1" ht="27" x14ac:dyDescent="0.3">
      <c r="A256" s="48" t="s">
        <v>90</v>
      </c>
      <c r="B256" s="49">
        <v>25</v>
      </c>
      <c r="C256" s="151" t="str">
        <f xml:space="preserve"> IF(B256="","",setValueToTime(B256))</f>
        <v>2h5min</v>
      </c>
      <c r="D256" s="174" t="s">
        <v>120</v>
      </c>
      <c r="E256" s="260"/>
      <c r="F256" s="261"/>
      <c r="G256" s="51"/>
    </row>
    <row r="257" spans="1:7" s="52" customFormat="1" ht="27" x14ac:dyDescent="0.3">
      <c r="A257" s="53" t="s">
        <v>100</v>
      </c>
      <c r="B257" s="54">
        <v>10</v>
      </c>
      <c r="C257" s="152" t="str">
        <f t="shared" ref="C257" si="28" xml:space="preserve"> IF(B257="","",setValueToTime(B257))</f>
        <v>0h50min</v>
      </c>
      <c r="D257" s="174" t="s">
        <v>145</v>
      </c>
      <c r="E257" s="252"/>
      <c r="F257" s="253"/>
      <c r="G257" s="51"/>
    </row>
    <row r="258" spans="1:7" s="52" customFormat="1" x14ac:dyDescent="0.3">
      <c r="A258" s="53" t="s">
        <v>17</v>
      </c>
      <c r="B258" s="54">
        <v>2</v>
      </c>
      <c r="C258" s="152" t="str">
        <f t="shared" ref="C258:C263" si="29" xml:space="preserve"> IF(B258="","",setValueToTime(B258))</f>
        <v>0h10min</v>
      </c>
      <c r="D258" s="174" t="s">
        <v>115</v>
      </c>
      <c r="E258" s="252"/>
      <c r="F258" s="253"/>
      <c r="G258" s="51"/>
    </row>
    <row r="259" spans="1:7" s="52" customFormat="1" x14ac:dyDescent="0.3">
      <c r="A259" s="53" t="s">
        <v>101</v>
      </c>
      <c r="B259" s="54">
        <v>1</v>
      </c>
      <c r="C259" s="152" t="str">
        <f t="shared" si="29"/>
        <v>0h5min</v>
      </c>
      <c r="D259" s="174" t="s">
        <v>121</v>
      </c>
      <c r="E259" s="252"/>
      <c r="F259" s="253"/>
      <c r="G259" s="51"/>
    </row>
    <row r="260" spans="1:7" s="52" customFormat="1" x14ac:dyDescent="0.3">
      <c r="A260" s="54"/>
      <c r="B260" s="54"/>
      <c r="C260" s="153" t="str">
        <f t="shared" si="29"/>
        <v/>
      </c>
      <c r="D260" s="55"/>
      <c r="E260" s="252"/>
      <c r="F260" s="253"/>
      <c r="G260" s="51"/>
    </row>
    <row r="261" spans="1:7" s="52" customFormat="1" x14ac:dyDescent="0.3">
      <c r="A261" s="54"/>
      <c r="B261" s="54"/>
      <c r="C261" s="153" t="str">
        <f t="shared" si="29"/>
        <v/>
      </c>
      <c r="D261" s="55"/>
      <c r="E261" s="252"/>
      <c r="F261" s="253"/>
      <c r="G261" s="51"/>
    </row>
    <row r="262" spans="1:7" s="52" customFormat="1" x14ac:dyDescent="0.3">
      <c r="A262" s="54"/>
      <c r="B262" s="54"/>
      <c r="C262" s="153" t="str">
        <f t="shared" si="29"/>
        <v/>
      </c>
      <c r="D262" s="55"/>
      <c r="E262" s="252"/>
      <c r="F262" s="253"/>
      <c r="G262" s="51"/>
    </row>
    <row r="263" spans="1:7" s="52" customFormat="1" ht="15" thickBot="1" x14ac:dyDescent="0.35">
      <c r="A263" s="56"/>
      <c r="B263" s="56"/>
      <c r="C263" s="154" t="str">
        <f t="shared" si="29"/>
        <v/>
      </c>
      <c r="D263" s="57"/>
      <c r="E263" s="254"/>
      <c r="F263" s="255"/>
      <c r="G263" s="51"/>
    </row>
    <row r="264" spans="1:7" s="52" customFormat="1" ht="15" thickBot="1" x14ac:dyDescent="0.35">
      <c r="A264" s="110" t="s">
        <v>29</v>
      </c>
      <c r="B264" s="84">
        <f>SUM(B256:B263)</f>
        <v>38</v>
      </c>
      <c r="C264" s="110" t="str">
        <f xml:space="preserve"> setValueToTime(B264)</f>
        <v>3h10min</v>
      </c>
      <c r="D264" s="119"/>
      <c r="E264" s="256"/>
      <c r="F264" s="257"/>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58" t="s">
        <v>14</v>
      </c>
      <c r="F267" s="259"/>
      <c r="G267" s="46"/>
    </row>
    <row r="268" spans="1:7" s="52" customFormat="1" ht="27" x14ac:dyDescent="0.3">
      <c r="A268" s="48" t="s">
        <v>92</v>
      </c>
      <c r="B268" s="49">
        <v>12</v>
      </c>
      <c r="C268" s="151" t="str">
        <f xml:space="preserve"> IF(B268="","",setValueToTime(B268))</f>
        <v>1h</v>
      </c>
      <c r="D268" s="171" t="s">
        <v>118</v>
      </c>
      <c r="E268" s="260"/>
      <c r="F268" s="261"/>
      <c r="G268" s="51"/>
    </row>
    <row r="269" spans="1:7" s="52" customFormat="1" ht="27" x14ac:dyDescent="0.3">
      <c r="A269" s="53" t="s">
        <v>91</v>
      </c>
      <c r="B269" s="54">
        <v>10</v>
      </c>
      <c r="C269" s="152" t="str">
        <f t="shared" ref="C269:C271" si="30" xml:space="preserve"> IF(B269="","",setValueToTime(B269))</f>
        <v>0h50min</v>
      </c>
      <c r="D269" s="174" t="s">
        <v>119</v>
      </c>
      <c r="E269" s="252"/>
      <c r="F269" s="253"/>
      <c r="G269" s="51"/>
    </row>
    <row r="270" spans="1:7" s="52" customFormat="1" ht="27" x14ac:dyDescent="0.3">
      <c r="A270" s="53" t="s">
        <v>90</v>
      </c>
      <c r="B270" s="54">
        <v>14</v>
      </c>
      <c r="C270" s="152" t="str">
        <f t="shared" si="30"/>
        <v>1h10min</v>
      </c>
      <c r="D270" s="174" t="s">
        <v>120</v>
      </c>
      <c r="E270" s="252"/>
      <c r="F270" s="253"/>
      <c r="G270" s="51"/>
    </row>
    <row r="271" spans="1:7" s="52" customFormat="1" x14ac:dyDescent="0.3">
      <c r="A271" s="53" t="s">
        <v>17</v>
      </c>
      <c r="B271" s="54">
        <v>2</v>
      </c>
      <c r="C271" s="152" t="str">
        <f t="shared" si="30"/>
        <v>0h10min</v>
      </c>
      <c r="D271" s="174" t="s">
        <v>115</v>
      </c>
      <c r="E271" s="252"/>
      <c r="F271" s="253"/>
      <c r="G271" s="51"/>
    </row>
    <row r="272" spans="1:7" s="52" customFormat="1" x14ac:dyDescent="0.3">
      <c r="A272" s="54"/>
      <c r="B272" s="54"/>
      <c r="C272" s="153" t="str">
        <f t="shared" ref="C272:C275" si="31" xml:space="preserve"> IF(B272="","",setValueToTime(B272))</f>
        <v/>
      </c>
      <c r="D272" s="55"/>
      <c r="E272" s="252"/>
      <c r="F272" s="253"/>
      <c r="G272" s="51"/>
    </row>
    <row r="273" spans="1:7" s="52" customFormat="1" x14ac:dyDescent="0.3">
      <c r="A273" s="54"/>
      <c r="B273" s="54"/>
      <c r="C273" s="153" t="str">
        <f t="shared" si="31"/>
        <v/>
      </c>
      <c r="D273" s="55"/>
      <c r="E273" s="252"/>
      <c r="F273" s="253"/>
      <c r="G273" s="51"/>
    </row>
    <row r="274" spans="1:7" s="52" customFormat="1" x14ac:dyDescent="0.3">
      <c r="A274" s="54"/>
      <c r="B274" s="54"/>
      <c r="C274" s="153" t="str">
        <f t="shared" si="31"/>
        <v/>
      </c>
      <c r="D274" s="55"/>
      <c r="E274" s="252"/>
      <c r="F274" s="253"/>
      <c r="G274" s="51"/>
    </row>
    <row r="275" spans="1:7" s="52" customFormat="1" ht="15" thickBot="1" x14ac:dyDescent="0.35">
      <c r="A275" s="56"/>
      <c r="B275" s="56"/>
      <c r="C275" s="154" t="str">
        <f t="shared" si="31"/>
        <v/>
      </c>
      <c r="D275" s="57"/>
      <c r="E275" s="254"/>
      <c r="F275" s="255"/>
      <c r="G275" s="51"/>
    </row>
    <row r="276" spans="1:7" s="52" customFormat="1" ht="15" thickBot="1" x14ac:dyDescent="0.35">
      <c r="A276" s="110" t="s">
        <v>29</v>
      </c>
      <c r="B276" s="84">
        <f>SUM(B268:B275)</f>
        <v>38</v>
      </c>
      <c r="C276" s="110" t="str">
        <f xml:space="preserve"> setValueToTime(B276)</f>
        <v>3h10min</v>
      </c>
      <c r="D276" s="119"/>
      <c r="E276" s="256"/>
      <c r="F276" s="257"/>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58" t="s">
        <v>14</v>
      </c>
      <c r="F279" s="259"/>
      <c r="G279" s="46"/>
    </row>
    <row r="280" spans="1:7" s="52" customFormat="1" ht="27" x14ac:dyDescent="0.3">
      <c r="A280" s="48" t="s">
        <v>92</v>
      </c>
      <c r="B280" s="49">
        <v>20</v>
      </c>
      <c r="C280" s="151" t="str">
        <f xml:space="preserve"> IF(B280="","",setValueToTime(B280))</f>
        <v>1h40min</v>
      </c>
      <c r="D280" s="171" t="s">
        <v>116</v>
      </c>
      <c r="E280" s="260"/>
      <c r="F280" s="261"/>
      <c r="G280" s="51"/>
    </row>
    <row r="281" spans="1:7" s="52" customFormat="1" ht="27" x14ac:dyDescent="0.3">
      <c r="A281" s="53" t="s">
        <v>91</v>
      </c>
      <c r="B281" s="54">
        <v>16</v>
      </c>
      <c r="C281" s="152" t="str">
        <f t="shared" ref="C281:C282" si="32" xml:space="preserve"> IF(B281="","",setValueToTime(B281))</f>
        <v>1h20min</v>
      </c>
      <c r="D281" s="174" t="s">
        <v>117</v>
      </c>
      <c r="E281" s="252"/>
      <c r="F281" s="253"/>
      <c r="G281" s="51"/>
    </row>
    <row r="282" spans="1:7" s="52" customFormat="1" x14ac:dyDescent="0.3">
      <c r="A282" s="53" t="s">
        <v>17</v>
      </c>
      <c r="B282" s="54">
        <v>2</v>
      </c>
      <c r="C282" s="152" t="str">
        <f t="shared" si="32"/>
        <v>0h10min</v>
      </c>
      <c r="D282" s="174" t="s">
        <v>115</v>
      </c>
      <c r="E282" s="252"/>
      <c r="F282" s="253"/>
      <c r="G282" s="51"/>
    </row>
    <row r="283" spans="1:7" s="52" customFormat="1" x14ac:dyDescent="0.3">
      <c r="A283" s="53"/>
      <c r="B283" s="54"/>
      <c r="C283" s="152" t="str">
        <f t="shared" ref="C283:C287" si="33" xml:space="preserve"> IF(B283="","",setValueToTime(B283))</f>
        <v/>
      </c>
      <c r="D283" s="55"/>
      <c r="E283" s="252"/>
      <c r="F283" s="253"/>
      <c r="G283" s="51"/>
    </row>
    <row r="284" spans="1:7" s="52" customFormat="1" x14ac:dyDescent="0.3">
      <c r="A284" s="54"/>
      <c r="B284" s="54"/>
      <c r="C284" s="153" t="str">
        <f t="shared" si="33"/>
        <v/>
      </c>
      <c r="D284" s="55"/>
      <c r="E284" s="252"/>
      <c r="F284" s="253"/>
      <c r="G284" s="51"/>
    </row>
    <row r="285" spans="1:7" s="52" customFormat="1" x14ac:dyDescent="0.3">
      <c r="A285" s="54"/>
      <c r="B285" s="54"/>
      <c r="C285" s="153" t="str">
        <f t="shared" si="33"/>
        <v/>
      </c>
      <c r="D285" s="55"/>
      <c r="E285" s="252"/>
      <c r="F285" s="253"/>
      <c r="G285" s="51"/>
    </row>
    <row r="286" spans="1:7" s="52" customFormat="1" x14ac:dyDescent="0.3">
      <c r="A286" s="54"/>
      <c r="B286" s="54"/>
      <c r="C286" s="153" t="str">
        <f t="shared" si="33"/>
        <v/>
      </c>
      <c r="D286" s="55"/>
      <c r="E286" s="252"/>
      <c r="F286" s="253"/>
      <c r="G286" s="51"/>
    </row>
    <row r="287" spans="1:7" s="52" customFormat="1" ht="15" thickBot="1" x14ac:dyDescent="0.35">
      <c r="A287" s="56"/>
      <c r="B287" s="56"/>
      <c r="C287" s="154" t="str">
        <f t="shared" si="33"/>
        <v/>
      </c>
      <c r="D287" s="57"/>
      <c r="E287" s="254"/>
      <c r="F287" s="255"/>
      <c r="G287" s="51"/>
    </row>
    <row r="288" spans="1:7" s="52" customFormat="1" ht="15" thickBot="1" x14ac:dyDescent="0.35">
      <c r="A288" s="110" t="s">
        <v>29</v>
      </c>
      <c r="B288" s="84">
        <f>SUM(B280:B287)</f>
        <v>38</v>
      </c>
      <c r="C288" s="110" t="str">
        <f xml:space="preserve"> setValueToTime(B288)</f>
        <v>3h10min</v>
      </c>
      <c r="D288" s="119"/>
      <c r="E288" s="256"/>
      <c r="F288" s="257"/>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58" t="s">
        <v>14</v>
      </c>
      <c r="F291" s="259"/>
      <c r="G291" s="46"/>
    </row>
    <row r="292" spans="1:7" s="52" customFormat="1" x14ac:dyDescent="0.3">
      <c r="A292" s="48" t="s">
        <v>93</v>
      </c>
      <c r="B292" s="49">
        <v>2</v>
      </c>
      <c r="C292" s="151" t="str">
        <f xml:space="preserve"> IF(B292="","",setValueToTime(B292))</f>
        <v>0h10min</v>
      </c>
      <c r="D292" s="171" t="s">
        <v>111</v>
      </c>
      <c r="E292" s="260"/>
      <c r="F292" s="261"/>
      <c r="G292" s="51"/>
    </row>
    <row r="293" spans="1:7" s="52" customFormat="1" ht="27" x14ac:dyDescent="0.3">
      <c r="A293" s="53" t="s">
        <v>87</v>
      </c>
      <c r="B293" s="54">
        <v>28</v>
      </c>
      <c r="C293" s="152" t="str">
        <f t="shared" ref="C293:C296" si="34" xml:space="preserve"> IF(B293="","",setValueToTime(B293))</f>
        <v>2h20min</v>
      </c>
      <c r="D293" s="174" t="s">
        <v>112</v>
      </c>
      <c r="E293" s="252"/>
      <c r="F293" s="253"/>
      <c r="G293" s="51"/>
    </row>
    <row r="294" spans="1:7" s="52" customFormat="1" ht="27" x14ac:dyDescent="0.3">
      <c r="A294" s="53" t="s">
        <v>92</v>
      </c>
      <c r="B294" s="54">
        <v>15</v>
      </c>
      <c r="C294" s="152" t="str">
        <f t="shared" si="34"/>
        <v>1h15min</v>
      </c>
      <c r="D294" s="174" t="s">
        <v>113</v>
      </c>
      <c r="E294" s="252"/>
      <c r="F294" s="253"/>
      <c r="G294" s="51"/>
    </row>
    <row r="295" spans="1:7" s="52" customFormat="1" x14ac:dyDescent="0.3">
      <c r="A295" s="53" t="s">
        <v>101</v>
      </c>
      <c r="B295" s="54">
        <v>1</v>
      </c>
      <c r="C295" s="152" t="str">
        <f t="shared" si="34"/>
        <v>0h5min</v>
      </c>
      <c r="D295" s="174" t="s">
        <v>114</v>
      </c>
      <c r="E295" s="252"/>
      <c r="F295" s="253"/>
      <c r="G295" s="51"/>
    </row>
    <row r="296" spans="1:7" s="52" customFormat="1" x14ac:dyDescent="0.3">
      <c r="A296" s="53" t="s">
        <v>17</v>
      </c>
      <c r="B296" s="54">
        <v>2</v>
      </c>
      <c r="C296" s="152" t="str">
        <f t="shared" si="34"/>
        <v>0h10min</v>
      </c>
      <c r="D296" s="174" t="s">
        <v>115</v>
      </c>
      <c r="E296" s="252"/>
      <c r="F296" s="253"/>
      <c r="G296" s="51"/>
    </row>
    <row r="297" spans="1:7" s="52" customFormat="1" x14ac:dyDescent="0.3">
      <c r="A297" s="54"/>
      <c r="B297" s="54"/>
      <c r="C297" s="153" t="str">
        <f t="shared" ref="C297:C299" si="35" xml:space="preserve"> IF(B297="","",setValueToTime(B297))</f>
        <v/>
      </c>
      <c r="D297" s="55"/>
      <c r="E297" s="252"/>
      <c r="F297" s="253"/>
      <c r="G297" s="51"/>
    </row>
    <row r="298" spans="1:7" s="52" customFormat="1" x14ac:dyDescent="0.3">
      <c r="A298" s="54"/>
      <c r="B298" s="54"/>
      <c r="C298" s="153" t="str">
        <f t="shared" si="35"/>
        <v/>
      </c>
      <c r="D298" s="55"/>
      <c r="E298" s="252"/>
      <c r="F298" s="253"/>
      <c r="G298" s="51"/>
    </row>
    <row r="299" spans="1:7" s="52" customFormat="1" ht="15" thickBot="1" x14ac:dyDescent="0.35">
      <c r="A299" s="56"/>
      <c r="B299" s="56"/>
      <c r="C299" s="154" t="str">
        <f t="shared" si="35"/>
        <v/>
      </c>
      <c r="D299" s="57"/>
      <c r="E299" s="254"/>
      <c r="F299" s="255"/>
      <c r="G299" s="51"/>
    </row>
    <row r="300" spans="1:7" s="52" customFormat="1" ht="15" thickBot="1" x14ac:dyDescent="0.35">
      <c r="A300" s="110" t="s">
        <v>29</v>
      </c>
      <c r="B300" s="84">
        <f>SUM(B292:B299)</f>
        <v>48</v>
      </c>
      <c r="C300" s="110" t="str">
        <f xml:space="preserve"> setValueToTime(B300)</f>
        <v>4h</v>
      </c>
      <c r="D300" s="119"/>
      <c r="E300" s="256"/>
      <c r="F300" s="257"/>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58" t="s">
        <v>14</v>
      </c>
      <c r="F303" s="259"/>
      <c r="G303" s="46"/>
    </row>
    <row r="304" spans="1:7" s="52" customFormat="1" x14ac:dyDescent="0.3">
      <c r="A304" s="48" t="s">
        <v>88</v>
      </c>
      <c r="B304" s="49">
        <v>6</v>
      </c>
      <c r="C304" s="151" t="str">
        <f xml:space="preserve"> IF(B304="","",setValueToTime(B304))</f>
        <v>0h30min</v>
      </c>
      <c r="D304" s="171" t="s">
        <v>107</v>
      </c>
      <c r="E304" s="260"/>
      <c r="F304" s="261"/>
      <c r="G304" s="51"/>
    </row>
    <row r="305" spans="1:7" s="52" customFormat="1" x14ac:dyDescent="0.3">
      <c r="A305" s="53" t="s">
        <v>89</v>
      </c>
      <c r="B305" s="54">
        <v>7</v>
      </c>
      <c r="C305" s="152" t="str">
        <f t="shared" ref="C305:C308" si="36" xml:space="preserve"> IF(B305="","",setValueToTime(B305))</f>
        <v>0h35min</v>
      </c>
      <c r="D305" s="174" t="s">
        <v>108</v>
      </c>
      <c r="E305" s="252"/>
      <c r="F305" s="253"/>
      <c r="G305" s="51"/>
    </row>
    <row r="306" spans="1:7" s="52" customFormat="1" ht="27" x14ac:dyDescent="0.3">
      <c r="A306" s="53" t="s">
        <v>87</v>
      </c>
      <c r="B306" s="54">
        <v>20</v>
      </c>
      <c r="C306" s="152" t="str">
        <f t="shared" si="36"/>
        <v>1h40min</v>
      </c>
      <c r="D306" s="174" t="s">
        <v>109</v>
      </c>
      <c r="E306" s="252"/>
      <c r="F306" s="253"/>
      <c r="G306" s="51"/>
    </row>
    <row r="307" spans="1:7" s="52" customFormat="1" x14ac:dyDescent="0.3">
      <c r="A307" s="53" t="s">
        <v>93</v>
      </c>
      <c r="B307" s="54">
        <v>5</v>
      </c>
      <c r="C307" s="152" t="str">
        <f t="shared" si="36"/>
        <v>0h25min</v>
      </c>
      <c r="D307" s="174" t="s">
        <v>110</v>
      </c>
      <c r="E307" s="252"/>
      <c r="F307" s="253"/>
      <c r="G307" s="51"/>
    </row>
    <row r="308" spans="1:7" s="52" customFormat="1" x14ac:dyDescent="0.3">
      <c r="A308" s="54"/>
      <c r="B308" s="54"/>
      <c r="C308" s="153" t="str">
        <f t="shared" si="36"/>
        <v/>
      </c>
      <c r="D308" s="55"/>
      <c r="E308" s="252"/>
      <c r="F308" s="253"/>
      <c r="G308" s="51"/>
    </row>
    <row r="309" spans="1:7" s="52" customFormat="1" x14ac:dyDescent="0.3">
      <c r="A309" s="54"/>
      <c r="B309" s="54"/>
      <c r="C309" s="153" t="str">
        <f t="shared" ref="C309:C311" si="37" xml:space="preserve"> IF(B309="","",setValueToTime(B309))</f>
        <v/>
      </c>
      <c r="D309" s="55"/>
      <c r="E309" s="252"/>
      <c r="F309" s="253"/>
      <c r="G309" s="51"/>
    </row>
    <row r="310" spans="1:7" s="52" customFormat="1" x14ac:dyDescent="0.3">
      <c r="A310" s="54"/>
      <c r="B310" s="54"/>
      <c r="C310" s="153" t="str">
        <f t="shared" si="37"/>
        <v/>
      </c>
      <c r="D310" s="55"/>
      <c r="E310" s="252"/>
      <c r="F310" s="253"/>
      <c r="G310" s="51"/>
    </row>
    <row r="311" spans="1:7" s="52" customFormat="1" ht="15" thickBot="1" x14ac:dyDescent="0.35">
      <c r="A311" s="56"/>
      <c r="B311" s="56"/>
      <c r="C311" s="154" t="str">
        <f t="shared" si="37"/>
        <v/>
      </c>
      <c r="D311" s="57"/>
      <c r="E311" s="254"/>
      <c r="F311" s="255"/>
      <c r="G311" s="51"/>
    </row>
    <row r="312" spans="1:7" s="52" customFormat="1" ht="15" thickBot="1" x14ac:dyDescent="0.35">
      <c r="A312" s="110" t="s">
        <v>29</v>
      </c>
      <c r="B312" s="84">
        <f>SUM(B304:B311)</f>
        <v>38</v>
      </c>
      <c r="C312" s="110" t="str">
        <f xml:space="preserve"> setValueToTime(B312)</f>
        <v>3h10min</v>
      </c>
      <c r="D312" s="119"/>
      <c r="E312" s="256"/>
      <c r="F312" s="257"/>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47" priority="43" operator="greaterThan">
      <formula>60</formula>
    </cfRule>
  </conditionalFormatting>
  <conditionalFormatting sqref="B300">
    <cfRule type="cellIs" dxfId="46" priority="42" operator="greaterThan">
      <formula>60</formula>
    </cfRule>
  </conditionalFormatting>
  <conditionalFormatting sqref="B288">
    <cfRule type="cellIs" dxfId="45" priority="41" operator="greaterThan">
      <formula>60</formula>
    </cfRule>
  </conditionalFormatting>
  <conditionalFormatting sqref="B276">
    <cfRule type="cellIs" dxfId="44" priority="40" operator="greaterThan">
      <formula>60</formula>
    </cfRule>
  </conditionalFormatting>
  <conditionalFormatting sqref="B264">
    <cfRule type="cellIs" dxfId="43" priority="39" operator="greaterThan">
      <formula>60</formula>
    </cfRule>
  </conditionalFormatting>
  <conditionalFormatting sqref="B252">
    <cfRule type="cellIs" dxfId="42" priority="38" operator="greaterThan">
      <formula>60</formula>
    </cfRule>
  </conditionalFormatting>
  <conditionalFormatting sqref="B240">
    <cfRule type="cellIs" dxfId="41" priority="37" operator="greaterThan">
      <formula>60</formula>
    </cfRule>
  </conditionalFormatting>
  <conditionalFormatting sqref="B228">
    <cfRule type="cellIs" dxfId="40" priority="36" operator="greaterThan">
      <formula>60</formula>
    </cfRule>
  </conditionalFormatting>
  <conditionalFormatting sqref="B216">
    <cfRule type="cellIs" dxfId="39" priority="35" operator="greaterThan">
      <formula>60</formula>
    </cfRule>
  </conditionalFormatting>
  <conditionalFormatting sqref="B204">
    <cfRule type="cellIs" dxfId="38" priority="34" operator="greaterThan">
      <formula>60</formula>
    </cfRule>
  </conditionalFormatting>
  <conditionalFormatting sqref="B192">
    <cfRule type="cellIs" dxfId="37" priority="33" operator="greaterThan">
      <formula>60</formula>
    </cfRule>
  </conditionalFormatting>
  <conditionalFormatting sqref="B180">
    <cfRule type="cellIs" dxfId="36" priority="32" operator="greaterThan">
      <formula>60</formula>
    </cfRule>
  </conditionalFormatting>
  <conditionalFormatting sqref="B168">
    <cfRule type="cellIs" dxfId="35" priority="31" operator="greaterThan">
      <formula>60</formula>
    </cfRule>
  </conditionalFormatting>
  <conditionalFormatting sqref="B156">
    <cfRule type="cellIs" dxfId="34" priority="30" operator="greaterThan">
      <formula>60</formula>
    </cfRule>
  </conditionalFormatting>
  <conditionalFormatting sqref="B144">
    <cfRule type="cellIs" dxfId="33" priority="29" operator="greaterThan">
      <formula>60</formula>
    </cfRule>
  </conditionalFormatting>
  <conditionalFormatting sqref="B132">
    <cfRule type="cellIs" dxfId="32" priority="28" operator="greaterThan">
      <formula>60</formula>
    </cfRule>
  </conditionalFormatting>
  <conditionalFormatting sqref="B120">
    <cfRule type="cellIs" dxfId="31" priority="27" operator="greaterThan">
      <formula>60</formula>
    </cfRule>
  </conditionalFormatting>
  <conditionalFormatting sqref="B108">
    <cfRule type="cellIs" dxfId="30" priority="26" operator="greaterThan">
      <formula>60</formula>
    </cfRule>
  </conditionalFormatting>
  <conditionalFormatting sqref="B96">
    <cfRule type="cellIs" dxfId="29" priority="25" operator="greaterThan">
      <formula>60</formula>
    </cfRule>
  </conditionalFormatting>
  <conditionalFormatting sqref="B84">
    <cfRule type="cellIs" dxfId="28" priority="24" operator="greaterThan">
      <formula>60</formula>
    </cfRule>
  </conditionalFormatting>
  <conditionalFormatting sqref="B72">
    <cfRule type="cellIs" dxfId="27" priority="23" operator="greaterThan">
      <formula>60</formula>
    </cfRule>
  </conditionalFormatting>
  <conditionalFormatting sqref="B60">
    <cfRule type="cellIs" dxfId="26" priority="22" operator="greaterThan">
      <formula>60</formula>
    </cfRule>
  </conditionalFormatting>
  <conditionalFormatting sqref="B48">
    <cfRule type="cellIs" dxfId="25" priority="21" operator="greaterThan">
      <formula>60</formula>
    </cfRule>
  </conditionalFormatting>
  <conditionalFormatting sqref="B36">
    <cfRule type="cellIs" dxfId="24" priority="20" operator="greaterThan">
      <formula>60</formula>
    </cfRule>
  </conditionalFormatting>
  <conditionalFormatting sqref="B24">
    <cfRule type="cellIs" dxfId="23" priority="19" operator="greaterThan">
      <formula>60</formula>
    </cfRule>
  </conditionalFormatting>
  <conditionalFormatting sqref="B12">
    <cfRule type="cellIs" dxfId="2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M517"/>
  <sheetViews>
    <sheetView showGridLines="0" tabSelected="1" zoomScaleNormal="100" zoomScaleSheetLayoutView="98" workbookViewId="0">
      <pane ySplit="1" topLeftCell="A5" activePane="bottomLeft" state="frozen"/>
      <selection pane="bottomLeft" activeCell="G13" sqref="G13"/>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7" ht="49.9" customHeight="1" thickBot="1" x14ac:dyDescent="0.35"/>
    <row r="2" spans="1:7" s="47" customFormat="1" ht="30" customHeight="1" thickBot="1" x14ac:dyDescent="0.3">
      <c r="A2" s="155" t="s">
        <v>12</v>
      </c>
      <c r="B2" s="163">
        <v>20</v>
      </c>
      <c r="C2" s="163"/>
      <c r="D2" s="156" t="s">
        <v>15</v>
      </c>
      <c r="E2" s="157" t="s">
        <v>77</v>
      </c>
      <c r="F2" s="158" t="s">
        <v>43</v>
      </c>
      <c r="G2" s="307"/>
    </row>
    <row r="3" spans="1:7" s="47" customFormat="1" ht="30" customHeight="1" thickBot="1" x14ac:dyDescent="0.3">
      <c r="A3" s="78" t="s">
        <v>5</v>
      </c>
      <c r="B3" s="160" t="s">
        <v>40</v>
      </c>
      <c r="C3" s="159"/>
      <c r="D3" s="78" t="s">
        <v>13</v>
      </c>
      <c r="E3" s="264" t="s">
        <v>14</v>
      </c>
      <c r="F3" s="265"/>
      <c r="G3" s="78" t="s">
        <v>163</v>
      </c>
    </row>
    <row r="4" spans="1:7" s="52" customFormat="1" ht="67.5" x14ac:dyDescent="0.3">
      <c r="A4" s="48" t="s">
        <v>94</v>
      </c>
      <c r="B4" s="49">
        <v>28</v>
      </c>
      <c r="C4" s="151" t="str">
        <f xml:space="preserve"> IF(B4="","",setValueToTime(B4))</f>
        <v>2h20min</v>
      </c>
      <c r="D4" s="171" t="s">
        <v>279</v>
      </c>
      <c r="E4" s="270" t="s">
        <v>277</v>
      </c>
      <c r="F4" s="261"/>
      <c r="G4" s="268" t="s">
        <v>285</v>
      </c>
    </row>
    <row r="5" spans="1:7" s="52" customFormat="1" ht="27" x14ac:dyDescent="0.3">
      <c r="A5" s="53" t="s">
        <v>95</v>
      </c>
      <c r="B5" s="54">
        <v>3</v>
      </c>
      <c r="C5" s="152" t="str">
        <f t="shared" ref="C5:C7" si="0" xml:space="preserve"> IF(B5="","",setValueToTime(B5))</f>
        <v>0h15min</v>
      </c>
      <c r="D5" s="174" t="s">
        <v>278</v>
      </c>
      <c r="E5" s="252"/>
      <c r="F5" s="253"/>
      <c r="G5" s="269"/>
    </row>
    <row r="6" spans="1:7" s="52" customFormat="1" ht="27" x14ac:dyDescent="0.3">
      <c r="A6" s="53" t="s">
        <v>17</v>
      </c>
      <c r="B6" s="54">
        <v>4</v>
      </c>
      <c r="C6" s="152" t="str">
        <f t="shared" si="0"/>
        <v>0h20min</v>
      </c>
      <c r="D6" s="174" t="s">
        <v>281</v>
      </c>
      <c r="E6" s="252"/>
      <c r="F6" s="253"/>
      <c r="G6" s="269"/>
    </row>
    <row r="7" spans="1:7" s="52" customFormat="1" ht="27.75" thickBot="1" x14ac:dyDescent="0.35">
      <c r="A7" s="173" t="s">
        <v>99</v>
      </c>
      <c r="B7" s="54">
        <v>3</v>
      </c>
      <c r="C7" s="152" t="str">
        <f t="shared" si="0"/>
        <v>0h15min</v>
      </c>
      <c r="D7" s="174" t="s">
        <v>260</v>
      </c>
      <c r="E7" s="252"/>
      <c r="F7" s="253"/>
      <c r="G7" s="269"/>
    </row>
    <row r="8" spans="1:7" s="52" customFormat="1" ht="15" thickBot="1" x14ac:dyDescent="0.35">
      <c r="A8" s="161" t="s">
        <v>29</v>
      </c>
      <c r="B8" s="83">
        <f>SUM(B4:B7)</f>
        <v>38</v>
      </c>
      <c r="C8" s="161" t="str">
        <f xml:space="preserve"> setValueToTime(B8)</f>
        <v>3h10min</v>
      </c>
      <c r="D8" s="120"/>
      <c r="E8" s="262"/>
      <c r="F8" s="263"/>
      <c r="G8" s="269"/>
    </row>
    <row r="9" spans="1:7" s="52" customFormat="1" ht="15" thickBot="1" x14ac:dyDescent="0.35">
      <c r="A9" s="77"/>
      <c r="B9" s="77"/>
      <c r="C9" s="77"/>
      <c r="D9" s="77"/>
      <c r="E9" s="77"/>
      <c r="F9" s="77"/>
      <c r="G9" s="312"/>
    </row>
    <row r="10" spans="1:7" s="52" customFormat="1" ht="18.75" thickBot="1" x14ac:dyDescent="0.35">
      <c r="A10" s="155" t="s">
        <v>12</v>
      </c>
      <c r="B10" s="163">
        <v>19</v>
      </c>
      <c r="C10" s="163"/>
      <c r="D10" s="156" t="s">
        <v>15</v>
      </c>
      <c r="E10" s="157" t="s">
        <v>77</v>
      </c>
      <c r="F10" s="158" t="s">
        <v>44</v>
      </c>
      <c r="G10" s="307"/>
    </row>
    <row r="11" spans="1:7" s="52" customFormat="1" ht="27.75" thickBot="1" x14ac:dyDescent="0.35">
      <c r="A11" s="78" t="s">
        <v>5</v>
      </c>
      <c r="B11" s="160" t="s">
        <v>40</v>
      </c>
      <c r="C11" s="159"/>
      <c r="D11" s="78" t="s">
        <v>13</v>
      </c>
      <c r="E11" s="264" t="s">
        <v>14</v>
      </c>
      <c r="F11" s="265"/>
      <c r="G11" s="307"/>
    </row>
    <row r="12" spans="1:7" s="52" customFormat="1" ht="54" x14ac:dyDescent="0.3">
      <c r="A12" s="48" t="s">
        <v>96</v>
      </c>
      <c r="B12" s="49">
        <v>7</v>
      </c>
      <c r="C12" s="151" t="str">
        <f xml:space="preserve"> IF(B12="","",setValueToTime(B12))</f>
        <v>0h35min</v>
      </c>
      <c r="D12" s="171" t="s">
        <v>269</v>
      </c>
      <c r="E12" s="260"/>
      <c r="F12" s="261"/>
      <c r="G12" s="308"/>
    </row>
    <row r="13" spans="1:7" s="59" customFormat="1" ht="175.5" x14ac:dyDescent="0.3">
      <c r="A13" s="53" t="s">
        <v>94</v>
      </c>
      <c r="B13" s="54">
        <v>23</v>
      </c>
      <c r="C13" s="152" t="str">
        <f t="shared" ref="C13:C15" si="1" xml:space="preserve"> IF(B13="","",setValueToTime(B13))</f>
        <v>1h55min</v>
      </c>
      <c r="D13" s="174" t="s">
        <v>276</v>
      </c>
      <c r="E13" s="271" t="s">
        <v>270</v>
      </c>
      <c r="F13" s="253"/>
      <c r="G13" s="308"/>
    </row>
    <row r="14" spans="1:7" s="47" customFormat="1" ht="30" customHeight="1" x14ac:dyDescent="0.3">
      <c r="A14" s="53" t="s">
        <v>95</v>
      </c>
      <c r="B14" s="54">
        <v>5</v>
      </c>
      <c r="C14" s="152" t="str">
        <f t="shared" si="1"/>
        <v>0h25min</v>
      </c>
      <c r="D14" s="174" t="s">
        <v>273</v>
      </c>
      <c r="E14" s="252"/>
      <c r="F14" s="253"/>
      <c r="G14" s="308"/>
    </row>
    <row r="15" spans="1:7" s="47" customFormat="1" ht="30" customHeight="1" thickBot="1" x14ac:dyDescent="0.35">
      <c r="A15" s="53" t="s">
        <v>17</v>
      </c>
      <c r="B15" s="54">
        <v>3</v>
      </c>
      <c r="C15" s="152" t="str">
        <f t="shared" si="1"/>
        <v>0h15min</v>
      </c>
      <c r="D15" s="174" t="s">
        <v>220</v>
      </c>
      <c r="E15" s="252"/>
      <c r="F15" s="253"/>
      <c r="G15" s="308"/>
    </row>
    <row r="16" spans="1:7" s="52" customFormat="1" ht="15" thickBot="1" x14ac:dyDescent="0.35">
      <c r="A16" s="161" t="s">
        <v>29</v>
      </c>
      <c r="B16" s="83">
        <f>SUM(B12:B15)</f>
        <v>38</v>
      </c>
      <c r="C16" s="161" t="str">
        <f xml:space="preserve"> setValueToTime(B16)</f>
        <v>3h10min</v>
      </c>
      <c r="D16" s="120"/>
      <c r="E16" s="262"/>
      <c r="F16" s="263"/>
      <c r="G16" s="308"/>
    </row>
    <row r="17" spans="1:7" s="52" customFormat="1" ht="15" thickBot="1" x14ac:dyDescent="0.35">
      <c r="A17" s="77"/>
      <c r="B17" s="77"/>
      <c r="C17" s="77"/>
      <c r="D17" s="77"/>
      <c r="E17" s="77"/>
      <c r="F17" s="77"/>
      <c r="G17" s="308"/>
    </row>
    <row r="18" spans="1:7" s="52" customFormat="1" ht="18.75" thickBot="1" x14ac:dyDescent="0.35">
      <c r="A18" s="155" t="s">
        <v>12</v>
      </c>
      <c r="B18" s="163">
        <v>18</v>
      </c>
      <c r="C18" s="163"/>
      <c r="D18" s="156" t="s">
        <v>15</v>
      </c>
      <c r="E18" s="157" t="s">
        <v>78</v>
      </c>
      <c r="F18" s="158" t="s">
        <v>44</v>
      </c>
      <c r="G18" s="308"/>
    </row>
    <row r="19" spans="1:7" s="52" customFormat="1" ht="27.75" thickBot="1" x14ac:dyDescent="0.35">
      <c r="A19" s="78" t="s">
        <v>5</v>
      </c>
      <c r="B19" s="160" t="s">
        <v>40</v>
      </c>
      <c r="C19" s="159"/>
      <c r="D19" s="78" t="s">
        <v>13</v>
      </c>
      <c r="E19" s="264" t="s">
        <v>14</v>
      </c>
      <c r="F19" s="265"/>
      <c r="G19" s="78" t="s">
        <v>163</v>
      </c>
    </row>
    <row r="20" spans="1:7" s="52" customFormat="1" ht="94.5" x14ac:dyDescent="0.3">
      <c r="A20" s="48" t="s">
        <v>16</v>
      </c>
      <c r="B20" s="49">
        <v>22</v>
      </c>
      <c r="C20" s="151" t="str">
        <f xml:space="preserve"> IF(B20="","",setValueToTime(B20))</f>
        <v>1h50min</v>
      </c>
      <c r="D20" s="171" t="s">
        <v>280</v>
      </c>
      <c r="E20" s="260"/>
      <c r="F20" s="261"/>
      <c r="G20" s="268" t="s">
        <v>284</v>
      </c>
    </row>
    <row r="21" spans="1:7" s="52" customFormat="1" ht="108" x14ac:dyDescent="0.3">
      <c r="A21" s="53" t="s">
        <v>96</v>
      </c>
      <c r="B21" s="54">
        <v>13</v>
      </c>
      <c r="C21" s="152" t="str">
        <f t="shared" ref="C21:C22" si="2" xml:space="preserve"> IF(B21="","",setValueToTime(B21))</f>
        <v>1h5min</v>
      </c>
      <c r="D21" s="174" t="s">
        <v>272</v>
      </c>
      <c r="E21" s="252"/>
      <c r="F21" s="253"/>
      <c r="G21" s="269"/>
    </row>
    <row r="22" spans="1:7" s="52" customFormat="1" ht="27.75" thickBot="1" x14ac:dyDescent="0.35">
      <c r="A22" s="53" t="s">
        <v>17</v>
      </c>
      <c r="B22" s="54">
        <v>3</v>
      </c>
      <c r="C22" s="152" t="str">
        <f t="shared" si="2"/>
        <v>0h15min</v>
      </c>
      <c r="D22" s="174" t="s">
        <v>220</v>
      </c>
      <c r="E22" s="252"/>
      <c r="F22" s="253"/>
      <c r="G22" s="269"/>
    </row>
    <row r="23" spans="1:7" s="52" customFormat="1" ht="15" thickBot="1" x14ac:dyDescent="0.35">
      <c r="A23" s="161" t="s">
        <v>29</v>
      </c>
      <c r="B23" s="83">
        <f>SUM(B20:B22)</f>
        <v>38</v>
      </c>
      <c r="C23" s="161" t="str">
        <f xml:space="preserve"> setValueToTime(B23)</f>
        <v>3h10min</v>
      </c>
      <c r="D23" s="120"/>
      <c r="E23" s="262"/>
      <c r="F23" s="263"/>
      <c r="G23" s="269"/>
    </row>
    <row r="24" spans="1:7" s="52" customFormat="1" ht="15" thickBot="1" x14ac:dyDescent="0.35">
      <c r="A24" s="77"/>
      <c r="B24" s="77"/>
      <c r="C24" s="77"/>
      <c r="D24" s="77"/>
      <c r="E24" s="77"/>
      <c r="F24" s="77"/>
      <c r="G24" s="269"/>
    </row>
    <row r="25" spans="1:7" s="59" customFormat="1" ht="18.75" thickBot="1" x14ac:dyDescent="0.35">
      <c r="A25" s="155" t="s">
        <v>12</v>
      </c>
      <c r="B25" s="163">
        <v>17</v>
      </c>
      <c r="C25" s="163"/>
      <c r="D25" s="156" t="s">
        <v>15</v>
      </c>
      <c r="E25" s="157" t="s">
        <v>79</v>
      </c>
      <c r="F25" s="158" t="s">
        <v>43</v>
      </c>
      <c r="G25" s="78" t="s">
        <v>163</v>
      </c>
    </row>
    <row r="26" spans="1:7" s="47" customFormat="1" ht="30" customHeight="1" thickBot="1" x14ac:dyDescent="0.3">
      <c r="A26" s="78" t="s">
        <v>5</v>
      </c>
      <c r="B26" s="160" t="s">
        <v>40</v>
      </c>
      <c r="C26" s="159"/>
      <c r="D26" s="78" t="s">
        <v>13</v>
      </c>
      <c r="E26" s="264" t="s">
        <v>14</v>
      </c>
      <c r="F26" s="265"/>
      <c r="G26" s="268" t="s">
        <v>264</v>
      </c>
    </row>
    <row r="27" spans="1:7" s="47" customFormat="1" ht="30" customHeight="1" x14ac:dyDescent="0.25">
      <c r="A27" s="48" t="s">
        <v>16</v>
      </c>
      <c r="B27" s="49">
        <v>3</v>
      </c>
      <c r="C27" s="151" t="str">
        <f xml:space="preserve"> IF(B27="","",setValueToTime(B27))</f>
        <v>0h15min</v>
      </c>
      <c r="D27" s="171" t="s">
        <v>259</v>
      </c>
      <c r="E27" s="260"/>
      <c r="F27" s="261"/>
      <c r="G27" s="269"/>
    </row>
    <row r="28" spans="1:7" s="52" customFormat="1" ht="121.5" customHeight="1" x14ac:dyDescent="0.3">
      <c r="A28" s="53" t="s">
        <v>94</v>
      </c>
      <c r="B28" s="54">
        <v>21</v>
      </c>
      <c r="C28" s="152" t="str">
        <f t="shared" ref="C28:C31" si="3" xml:space="preserve"> IF(B28="","",setValueToTime(B28))</f>
        <v>1h45min</v>
      </c>
      <c r="D28" s="174" t="s">
        <v>263</v>
      </c>
      <c r="E28" s="252"/>
      <c r="F28" s="253"/>
      <c r="G28" s="269"/>
    </row>
    <row r="29" spans="1:7" s="52" customFormat="1" ht="54" x14ac:dyDescent="0.3">
      <c r="A29" s="53" t="s">
        <v>96</v>
      </c>
      <c r="B29" s="54">
        <v>9</v>
      </c>
      <c r="C29" s="152" t="str">
        <f t="shared" si="3"/>
        <v>0h45min</v>
      </c>
      <c r="D29" s="174" t="s">
        <v>261</v>
      </c>
      <c r="E29" s="271" t="s">
        <v>235</v>
      </c>
      <c r="F29" s="253"/>
      <c r="G29" s="269"/>
    </row>
    <row r="30" spans="1:7" s="52" customFormat="1" ht="27" customHeight="1" x14ac:dyDescent="0.3">
      <c r="A30" s="53" t="s">
        <v>101</v>
      </c>
      <c r="B30" s="54">
        <v>2</v>
      </c>
      <c r="C30" s="152" t="str">
        <f t="shared" si="3"/>
        <v>0h10min</v>
      </c>
      <c r="D30" s="174" t="s">
        <v>260</v>
      </c>
      <c r="E30" s="252"/>
      <c r="F30" s="253"/>
      <c r="G30" s="269"/>
    </row>
    <row r="31" spans="1:7" s="52" customFormat="1" ht="27.75" thickBot="1" x14ac:dyDescent="0.35">
      <c r="A31" s="54" t="s">
        <v>17</v>
      </c>
      <c r="B31" s="54">
        <v>3</v>
      </c>
      <c r="C31" s="153" t="str">
        <f t="shared" si="3"/>
        <v>0h15min</v>
      </c>
      <c r="D31" s="174" t="s">
        <v>271</v>
      </c>
      <c r="E31" s="252"/>
      <c r="F31" s="253"/>
      <c r="G31" s="295"/>
    </row>
    <row r="32" spans="1:7" s="52" customFormat="1" ht="15" customHeight="1" thickBot="1" x14ac:dyDescent="0.35">
      <c r="A32" s="161" t="s">
        <v>29</v>
      </c>
      <c r="B32" s="83">
        <f>SUM(B27:B31)</f>
        <v>38</v>
      </c>
      <c r="C32" s="161" t="str">
        <f xml:space="preserve"> setValueToTime(B32)</f>
        <v>3h10min</v>
      </c>
      <c r="D32" s="120"/>
      <c r="E32" s="262"/>
      <c r="F32" s="263"/>
      <c r="G32" s="295"/>
    </row>
    <row r="33" spans="1:7" s="52" customFormat="1" ht="15" customHeight="1" thickBot="1" x14ac:dyDescent="0.35">
      <c r="A33" s="77"/>
      <c r="B33" s="77"/>
      <c r="C33" s="77"/>
      <c r="D33" s="77"/>
      <c r="E33" s="77"/>
      <c r="F33" s="77"/>
      <c r="G33" s="295"/>
    </row>
    <row r="34" spans="1:7" s="52" customFormat="1" ht="34.5" customHeight="1" thickBot="1" x14ac:dyDescent="0.35">
      <c r="A34" s="155" t="s">
        <v>12</v>
      </c>
      <c r="B34" s="163">
        <v>16</v>
      </c>
      <c r="C34" s="163"/>
      <c r="D34" s="156" t="s">
        <v>15</v>
      </c>
      <c r="E34" s="157" t="s">
        <v>79</v>
      </c>
      <c r="F34" s="158" t="s">
        <v>44</v>
      </c>
      <c r="G34" s="295"/>
    </row>
    <row r="35" spans="1:7" s="52" customFormat="1" ht="27.75" thickBot="1" x14ac:dyDescent="0.35">
      <c r="A35" s="78" t="s">
        <v>5</v>
      </c>
      <c r="B35" s="160" t="s">
        <v>40</v>
      </c>
      <c r="C35" s="159"/>
      <c r="D35" s="78" t="s">
        <v>13</v>
      </c>
      <c r="E35" s="264" t="s">
        <v>14</v>
      </c>
      <c r="F35" s="265"/>
      <c r="G35" s="295"/>
    </row>
    <row r="36" spans="1:7" s="52" customFormat="1" ht="175.5" x14ac:dyDescent="0.3">
      <c r="A36" s="48" t="s">
        <v>94</v>
      </c>
      <c r="B36" s="49">
        <v>36</v>
      </c>
      <c r="C36" s="151" t="str">
        <f xml:space="preserve"> IF(B36="","",setValueToTime(B36))</f>
        <v>3h</v>
      </c>
      <c r="D36" s="171" t="s">
        <v>262</v>
      </c>
      <c r="E36" s="270" t="s">
        <v>257</v>
      </c>
      <c r="F36" s="261"/>
      <c r="G36" s="308"/>
    </row>
    <row r="37" spans="1:7" s="59" customFormat="1" ht="27" x14ac:dyDescent="0.3">
      <c r="A37" s="53" t="s">
        <v>95</v>
      </c>
      <c r="B37" s="54">
        <v>9</v>
      </c>
      <c r="C37" s="152" t="str">
        <f t="shared" ref="C37:C39" si="4" xml:space="preserve"> IF(B37="","",setValueToTime(B37))</f>
        <v>0h45min</v>
      </c>
      <c r="D37" s="174" t="s">
        <v>258</v>
      </c>
      <c r="E37" s="252"/>
      <c r="F37" s="253"/>
      <c r="G37" s="312"/>
    </row>
    <row r="38" spans="1:7" s="47" customFormat="1" ht="30" customHeight="1" x14ac:dyDescent="0.25">
      <c r="A38" s="53" t="s">
        <v>17</v>
      </c>
      <c r="B38" s="54">
        <v>3</v>
      </c>
      <c r="C38" s="152" t="str">
        <f t="shared" si="4"/>
        <v>0h15min</v>
      </c>
      <c r="D38" s="174" t="s">
        <v>220</v>
      </c>
      <c r="E38" s="252"/>
      <c r="F38" s="253"/>
      <c r="G38" s="307"/>
    </row>
    <row r="39" spans="1:7" s="47" customFormat="1" ht="30" customHeight="1" thickBot="1" x14ac:dyDescent="0.3">
      <c r="A39" s="53"/>
      <c r="B39" s="54"/>
      <c r="C39" s="152" t="str">
        <f t="shared" si="4"/>
        <v/>
      </c>
      <c r="D39" s="55"/>
      <c r="E39" s="252"/>
      <c r="F39" s="253"/>
      <c r="G39" s="307"/>
    </row>
    <row r="40" spans="1:7" s="52" customFormat="1" ht="15" thickBot="1" x14ac:dyDescent="0.35">
      <c r="A40" s="161" t="s">
        <v>29</v>
      </c>
      <c r="B40" s="83">
        <f>SUM(B36:B39)</f>
        <v>48</v>
      </c>
      <c r="C40" s="161" t="str">
        <f xml:space="preserve"> setValueToTime(B40)</f>
        <v>4h</v>
      </c>
      <c r="D40" s="120"/>
      <c r="E40" s="262"/>
      <c r="F40" s="263"/>
      <c r="G40" s="308"/>
    </row>
    <row r="41" spans="1:7" s="52" customFormat="1" ht="15" thickBot="1" x14ac:dyDescent="0.35">
      <c r="A41" s="77"/>
      <c r="B41" s="77"/>
      <c r="C41" s="77"/>
      <c r="D41" s="77"/>
      <c r="E41" s="77"/>
      <c r="F41" s="77"/>
      <c r="G41" s="308"/>
    </row>
    <row r="42" spans="1:7" s="52" customFormat="1" ht="18.75" thickBot="1" x14ac:dyDescent="0.35">
      <c r="A42" s="155" t="s">
        <v>12</v>
      </c>
      <c r="B42" s="163">
        <v>15</v>
      </c>
      <c r="C42" s="163"/>
      <c r="D42" s="156" t="s">
        <v>15</v>
      </c>
      <c r="E42" s="157" t="s">
        <v>80</v>
      </c>
      <c r="F42" s="158" t="s">
        <v>43</v>
      </c>
      <c r="G42" s="308"/>
    </row>
    <row r="43" spans="1:7" s="52" customFormat="1" ht="27.75" thickBot="1" x14ac:dyDescent="0.35">
      <c r="A43" s="78" t="s">
        <v>5</v>
      </c>
      <c r="B43" s="160" t="s">
        <v>40</v>
      </c>
      <c r="C43" s="159"/>
      <c r="D43" s="78" t="s">
        <v>13</v>
      </c>
      <c r="E43" s="264" t="s">
        <v>14</v>
      </c>
      <c r="F43" s="265"/>
      <c r="G43" s="308"/>
    </row>
    <row r="44" spans="1:7" s="52" customFormat="1" x14ac:dyDescent="0.3">
      <c r="A44" s="48"/>
      <c r="B44" s="49"/>
      <c r="C44" s="151" t="str">
        <f xml:space="preserve"> IF(B44="","",setValueToTime(B44))</f>
        <v/>
      </c>
      <c r="D44" s="171"/>
      <c r="E44" s="270" t="s">
        <v>252</v>
      </c>
      <c r="F44" s="261"/>
      <c r="G44" s="308"/>
    </row>
    <row r="45" spans="1:7" s="52" customFormat="1" x14ac:dyDescent="0.3">
      <c r="A45" s="53"/>
      <c r="B45" s="54"/>
      <c r="C45" s="152" t="str">
        <f t="shared" ref="C45:C51" si="5" xml:space="preserve"> IF(B45="","",setValueToTime(B45))</f>
        <v/>
      </c>
      <c r="D45" s="174"/>
      <c r="E45" s="271" t="s">
        <v>253</v>
      </c>
      <c r="F45" s="253"/>
      <c r="G45" s="308"/>
    </row>
    <row r="46" spans="1:7" s="52" customFormat="1" ht="94.5" x14ac:dyDescent="0.3">
      <c r="A46" s="53" t="s">
        <v>94</v>
      </c>
      <c r="B46" s="54">
        <v>25</v>
      </c>
      <c r="C46" s="152" t="str">
        <f t="shared" si="5"/>
        <v>2h5min</v>
      </c>
      <c r="D46" s="174" t="s">
        <v>251</v>
      </c>
      <c r="E46" s="271" t="s">
        <v>254</v>
      </c>
      <c r="F46" s="253"/>
      <c r="G46" s="308"/>
    </row>
    <row r="47" spans="1:7" s="52" customFormat="1" ht="27" x14ac:dyDescent="0.3">
      <c r="A47" s="53" t="s">
        <v>16</v>
      </c>
      <c r="B47" s="54">
        <v>5</v>
      </c>
      <c r="C47" s="152" t="str">
        <f t="shared" si="5"/>
        <v>0h25min</v>
      </c>
      <c r="D47" s="174" t="s">
        <v>255</v>
      </c>
      <c r="E47" s="252"/>
      <c r="F47" s="253"/>
      <c r="G47" s="308"/>
    </row>
    <row r="48" spans="1:7" s="52" customFormat="1" ht="27" x14ac:dyDescent="0.3">
      <c r="A48" s="54" t="s">
        <v>17</v>
      </c>
      <c r="B48" s="54">
        <v>6</v>
      </c>
      <c r="C48" s="153" t="str">
        <f t="shared" si="5"/>
        <v>0h30min</v>
      </c>
      <c r="D48" s="174" t="s">
        <v>247</v>
      </c>
      <c r="E48" s="252"/>
      <c r="F48" s="253"/>
      <c r="G48" s="308"/>
    </row>
    <row r="49" spans="1:7" s="59" customFormat="1" ht="27.75" thickBot="1" x14ac:dyDescent="0.35">
      <c r="A49" s="54" t="s">
        <v>101</v>
      </c>
      <c r="B49" s="54">
        <v>2</v>
      </c>
      <c r="C49" s="153" t="str">
        <f t="shared" si="5"/>
        <v>0h10min</v>
      </c>
      <c r="D49" s="174" t="s">
        <v>248</v>
      </c>
      <c r="E49" s="252"/>
      <c r="F49" s="253"/>
      <c r="G49" s="312"/>
    </row>
    <row r="50" spans="1:7" s="47" customFormat="1" ht="15.75" thickBot="1" x14ac:dyDescent="0.3">
      <c r="A50" s="54"/>
      <c r="B50" s="54"/>
      <c r="C50" s="153" t="str">
        <f t="shared" si="5"/>
        <v/>
      </c>
      <c r="D50" s="55"/>
      <c r="E50" s="252"/>
      <c r="F50" s="253"/>
      <c r="G50" s="78" t="s">
        <v>163</v>
      </c>
    </row>
    <row r="51" spans="1:7" s="47" customFormat="1" ht="15" thickBot="1" x14ac:dyDescent="0.3">
      <c r="A51" s="56"/>
      <c r="B51" s="56"/>
      <c r="C51" s="154" t="str">
        <f t="shared" si="5"/>
        <v/>
      </c>
      <c r="D51" s="57"/>
      <c r="E51" s="254"/>
      <c r="F51" s="255"/>
      <c r="G51" s="266" t="s">
        <v>265</v>
      </c>
    </row>
    <row r="52" spans="1:7" s="52" customFormat="1" ht="15" thickBot="1" x14ac:dyDescent="0.35">
      <c r="A52" s="161" t="s">
        <v>29</v>
      </c>
      <c r="B52" s="83">
        <f>SUM(B44:B51)</f>
        <v>38</v>
      </c>
      <c r="C52" s="161" t="str">
        <f xml:space="preserve"> setValueToTime(B52)</f>
        <v>3h10min</v>
      </c>
      <c r="D52" s="120"/>
      <c r="E52" s="262"/>
      <c r="F52" s="263"/>
      <c r="G52" s="267"/>
    </row>
    <row r="53" spans="1:7" s="52" customFormat="1" ht="15" thickBot="1" x14ac:dyDescent="0.35">
      <c r="A53" s="77"/>
      <c r="B53" s="77"/>
      <c r="C53" s="77"/>
      <c r="D53" s="77"/>
      <c r="E53" s="77"/>
      <c r="F53" s="77"/>
      <c r="G53" s="267"/>
    </row>
    <row r="54" spans="1:7" s="52" customFormat="1" ht="18.75" thickBot="1" x14ac:dyDescent="0.35">
      <c r="A54" s="155" t="s">
        <v>12</v>
      </c>
      <c r="B54" s="163">
        <v>14</v>
      </c>
      <c r="C54" s="163"/>
      <c r="D54" s="156" t="s">
        <v>15</v>
      </c>
      <c r="E54" s="157" t="s">
        <v>80</v>
      </c>
      <c r="F54" s="158" t="s">
        <v>44</v>
      </c>
      <c r="G54" s="267"/>
    </row>
    <row r="55" spans="1:7" s="52" customFormat="1" ht="27.75" thickBot="1" x14ac:dyDescent="0.35">
      <c r="A55" s="78" t="s">
        <v>5</v>
      </c>
      <c r="B55" s="160" t="s">
        <v>40</v>
      </c>
      <c r="C55" s="159"/>
      <c r="D55" s="78" t="s">
        <v>13</v>
      </c>
      <c r="E55" s="264" t="s">
        <v>14</v>
      </c>
      <c r="F55" s="265"/>
      <c r="G55" s="267"/>
    </row>
    <row r="56" spans="1:7" s="52" customFormat="1" ht="27" x14ac:dyDescent="0.3">
      <c r="A56" s="48" t="s">
        <v>4</v>
      </c>
      <c r="B56" s="49">
        <v>6</v>
      </c>
      <c r="C56" s="151" t="str">
        <f xml:space="preserve"> IF(B56="","",setValueToTime(B56))</f>
        <v>0h30min</v>
      </c>
      <c r="D56" s="171" t="s">
        <v>240</v>
      </c>
      <c r="E56" s="260"/>
      <c r="F56" s="261"/>
      <c r="G56" s="267"/>
    </row>
    <row r="57" spans="1:7" s="52" customFormat="1" ht="27" x14ac:dyDescent="0.3">
      <c r="A57" s="53" t="s">
        <v>95</v>
      </c>
      <c r="B57" s="54">
        <v>8</v>
      </c>
      <c r="C57" s="152" t="str">
        <f t="shared" ref="C57:C61" si="6" xml:space="preserve"> IF(B57="","",setValueToTime(B57))</f>
        <v>0h40min</v>
      </c>
      <c r="D57" s="174" t="s">
        <v>241</v>
      </c>
      <c r="E57" s="252"/>
      <c r="F57" s="253"/>
      <c r="G57" s="308"/>
    </row>
    <row r="58" spans="1:7" s="52" customFormat="1" ht="40.5" x14ac:dyDescent="0.3">
      <c r="A58" s="53" t="s">
        <v>16</v>
      </c>
      <c r="B58" s="54">
        <v>14</v>
      </c>
      <c r="C58" s="152" t="str">
        <f t="shared" si="6"/>
        <v>1h10min</v>
      </c>
      <c r="D58" s="174" t="s">
        <v>243</v>
      </c>
      <c r="E58" s="252"/>
      <c r="F58" s="253"/>
      <c r="G58" s="308"/>
    </row>
    <row r="59" spans="1:7" s="52" customFormat="1" ht="81" x14ac:dyDescent="0.3">
      <c r="A59" s="53" t="s">
        <v>96</v>
      </c>
      <c r="B59" s="54">
        <v>10</v>
      </c>
      <c r="C59" s="152" t="str">
        <f t="shared" si="6"/>
        <v>0h50min</v>
      </c>
      <c r="D59" s="174" t="s">
        <v>242</v>
      </c>
      <c r="E59" s="271" t="s">
        <v>244</v>
      </c>
      <c r="F59" s="253"/>
      <c r="G59" s="308"/>
    </row>
    <row r="60" spans="1:7" s="52" customFormat="1" ht="15" thickBot="1" x14ac:dyDescent="0.35">
      <c r="A60" s="54"/>
      <c r="B60" s="54"/>
      <c r="C60" s="153" t="str">
        <f t="shared" si="6"/>
        <v/>
      </c>
      <c r="D60" s="174"/>
      <c r="E60" s="271" t="s">
        <v>245</v>
      </c>
      <c r="F60" s="253"/>
      <c r="G60" s="308"/>
    </row>
    <row r="61" spans="1:7" s="59" customFormat="1" ht="36" customHeight="1" thickBot="1" x14ac:dyDescent="0.35">
      <c r="A61" s="54"/>
      <c r="B61" s="54"/>
      <c r="C61" s="153" t="str">
        <f t="shared" si="6"/>
        <v/>
      </c>
      <c r="D61" s="171"/>
      <c r="E61" s="271" t="s">
        <v>246</v>
      </c>
      <c r="F61" s="253"/>
      <c r="G61" s="312"/>
    </row>
    <row r="62" spans="1:7" s="47" customFormat="1" ht="36.75" customHeight="1" thickBot="1" x14ac:dyDescent="0.3">
      <c r="A62" s="161" t="s">
        <v>29</v>
      </c>
      <c r="B62" s="83">
        <f>SUM(B56:B61)</f>
        <v>38</v>
      </c>
      <c r="C62" s="161" t="str">
        <f xml:space="preserve"> setValueToTime(B62)</f>
        <v>3h10min</v>
      </c>
      <c r="D62" s="120"/>
      <c r="E62" s="262"/>
      <c r="F62" s="263"/>
      <c r="G62" s="307"/>
    </row>
    <row r="63" spans="1:7" s="47" customFormat="1" ht="42.75" customHeight="1" thickBot="1" x14ac:dyDescent="0.35">
      <c r="A63" s="77"/>
      <c r="B63" s="77"/>
      <c r="C63" s="77"/>
      <c r="D63" s="77"/>
      <c r="E63" s="77"/>
      <c r="F63" s="77"/>
      <c r="G63" s="307"/>
    </row>
    <row r="64" spans="1:7" s="52" customFormat="1" ht="14.25" customHeight="1" thickBot="1" x14ac:dyDescent="0.35">
      <c r="A64" s="155" t="s">
        <v>12</v>
      </c>
      <c r="B64" s="163">
        <v>13</v>
      </c>
      <c r="C64" s="163"/>
      <c r="D64" s="156" t="s">
        <v>15</v>
      </c>
      <c r="E64" s="157" t="s">
        <v>81</v>
      </c>
      <c r="F64" s="158" t="s">
        <v>43</v>
      </c>
      <c r="G64" s="308"/>
    </row>
    <row r="65" spans="1:7" s="52" customFormat="1" ht="27" customHeight="1" thickBot="1" x14ac:dyDescent="0.35">
      <c r="A65" s="78" t="s">
        <v>5</v>
      </c>
      <c r="B65" s="160" t="s">
        <v>40</v>
      </c>
      <c r="C65" s="159"/>
      <c r="D65" s="78" t="s">
        <v>13</v>
      </c>
      <c r="E65" s="264" t="s">
        <v>14</v>
      </c>
      <c r="F65" s="265"/>
      <c r="G65" s="308"/>
    </row>
    <row r="66" spans="1:7" s="52" customFormat="1" ht="27" x14ac:dyDescent="0.3">
      <c r="A66" s="48" t="s">
        <v>94</v>
      </c>
      <c r="B66" s="49">
        <v>20</v>
      </c>
      <c r="C66" s="151" t="str">
        <f xml:space="preserve"> IF(B66="","",setValueToTime(B66))</f>
        <v>1h40min</v>
      </c>
      <c r="D66" s="276" t="s">
        <v>250</v>
      </c>
      <c r="E66" s="270" t="s">
        <v>239</v>
      </c>
      <c r="F66" s="261"/>
      <c r="G66" s="308"/>
    </row>
    <row r="67" spans="1:7" s="52" customFormat="1" ht="15" thickBot="1" x14ac:dyDescent="0.35">
      <c r="A67" s="279"/>
      <c r="B67" s="280"/>
      <c r="C67" s="281"/>
      <c r="D67" s="277"/>
      <c r="E67" s="288"/>
      <c r="F67" s="289"/>
      <c r="G67" s="308"/>
    </row>
    <row r="68" spans="1:7" s="52" customFormat="1" ht="15.75" thickBot="1" x14ac:dyDescent="0.35">
      <c r="A68" s="282"/>
      <c r="B68" s="283"/>
      <c r="C68" s="284"/>
      <c r="D68" s="277"/>
      <c r="E68" s="290"/>
      <c r="F68" s="291"/>
      <c r="G68" s="78" t="s">
        <v>163</v>
      </c>
    </row>
    <row r="69" spans="1:7" s="52" customFormat="1" x14ac:dyDescent="0.3">
      <c r="A69" s="285"/>
      <c r="B69" s="286"/>
      <c r="C69" s="287"/>
      <c r="D69" s="278"/>
      <c r="E69" s="292"/>
      <c r="F69" s="293"/>
      <c r="G69" s="268" t="s">
        <v>266</v>
      </c>
    </row>
    <row r="70" spans="1:7" s="52" customFormat="1" ht="54" x14ac:dyDescent="0.3">
      <c r="A70" s="53" t="s">
        <v>96</v>
      </c>
      <c r="B70" s="54">
        <v>12</v>
      </c>
      <c r="C70" s="152" t="str">
        <f t="shared" ref="C70:C74" si="7" xml:space="preserve"> IF(B70="","",setValueToTime(B70))</f>
        <v>1h</v>
      </c>
      <c r="D70" s="174" t="s">
        <v>249</v>
      </c>
      <c r="E70" s="252"/>
      <c r="F70" s="253"/>
      <c r="G70" s="269"/>
    </row>
    <row r="71" spans="1:7" s="52" customFormat="1" ht="54" x14ac:dyDescent="0.3">
      <c r="A71" s="54" t="s">
        <v>101</v>
      </c>
      <c r="B71" s="54">
        <v>5</v>
      </c>
      <c r="C71" s="153" t="str">
        <f t="shared" si="7"/>
        <v>0h25min</v>
      </c>
      <c r="D71" s="174" t="s">
        <v>238</v>
      </c>
      <c r="E71" s="252"/>
      <c r="F71" s="253"/>
      <c r="G71" s="269"/>
    </row>
    <row r="72" spans="1:7" s="52" customFormat="1" ht="27" x14ac:dyDescent="0.3">
      <c r="A72" s="54" t="s">
        <v>17</v>
      </c>
      <c r="B72" s="54">
        <v>1</v>
      </c>
      <c r="C72" s="153" t="str">
        <f t="shared" si="7"/>
        <v>0h5min</v>
      </c>
      <c r="D72" s="174" t="s">
        <v>202</v>
      </c>
      <c r="E72" s="252"/>
      <c r="F72" s="253"/>
      <c r="G72" s="269"/>
    </row>
    <row r="73" spans="1:7" s="59" customFormat="1" ht="36" customHeight="1" x14ac:dyDescent="0.3">
      <c r="A73" s="54"/>
      <c r="B73" s="54"/>
      <c r="C73" s="153" t="str">
        <f t="shared" si="7"/>
        <v/>
      </c>
      <c r="D73" s="55"/>
      <c r="E73" s="252"/>
      <c r="F73" s="253"/>
      <c r="G73" s="269"/>
    </row>
    <row r="74" spans="1:7" s="47" customFormat="1" ht="30" customHeight="1" thickBot="1" x14ac:dyDescent="0.3">
      <c r="A74" s="56"/>
      <c r="B74" s="56"/>
      <c r="C74" s="154" t="str">
        <f t="shared" si="7"/>
        <v/>
      </c>
      <c r="D74" s="57"/>
      <c r="E74" s="254"/>
      <c r="F74" s="255"/>
      <c r="G74" s="269"/>
    </row>
    <row r="75" spans="1:7" s="47" customFormat="1" ht="63" customHeight="1" thickBot="1" x14ac:dyDescent="0.3">
      <c r="A75" s="161" t="s">
        <v>29</v>
      </c>
      <c r="B75" s="83">
        <f>SUM(B66:B74)</f>
        <v>38</v>
      </c>
      <c r="C75" s="161" t="str">
        <f xml:space="preserve"> setValueToTime(B75)</f>
        <v>3h10min</v>
      </c>
      <c r="D75" s="120"/>
      <c r="E75" s="262"/>
      <c r="F75" s="263"/>
      <c r="G75" s="269"/>
    </row>
    <row r="76" spans="1:7" s="52" customFormat="1" ht="15" thickBot="1" x14ac:dyDescent="0.35">
      <c r="A76" s="77"/>
      <c r="B76" s="77"/>
      <c r="C76" s="77"/>
      <c r="D76" s="77"/>
      <c r="E76" s="77"/>
      <c r="F76" s="77"/>
      <c r="G76" s="269"/>
    </row>
    <row r="77" spans="1:7" s="52" customFormat="1" ht="18.75" thickBot="1" x14ac:dyDescent="0.35">
      <c r="A77" s="155" t="s">
        <v>12</v>
      </c>
      <c r="B77" s="163">
        <v>12</v>
      </c>
      <c r="C77" s="163"/>
      <c r="D77" s="156" t="s">
        <v>15</v>
      </c>
      <c r="E77" s="157" t="s">
        <v>81</v>
      </c>
      <c r="F77" s="158" t="s">
        <v>44</v>
      </c>
      <c r="G77" s="269"/>
    </row>
    <row r="78" spans="1:7" s="52" customFormat="1" ht="27.75" thickBot="1" x14ac:dyDescent="0.35">
      <c r="A78" s="78" t="s">
        <v>5</v>
      </c>
      <c r="B78" s="160" t="s">
        <v>40</v>
      </c>
      <c r="C78" s="159"/>
      <c r="D78" s="78" t="s">
        <v>13</v>
      </c>
      <c r="E78" s="264" t="s">
        <v>14</v>
      </c>
      <c r="F78" s="265"/>
      <c r="G78" s="269"/>
    </row>
    <row r="79" spans="1:7" s="52" customFormat="1" ht="54" x14ac:dyDescent="0.3">
      <c r="A79" s="53" t="s">
        <v>4</v>
      </c>
      <c r="B79" s="54">
        <v>13</v>
      </c>
      <c r="C79" s="152" t="str">
        <f t="shared" ref="C79" si="8" xml:space="preserve"> IF(B79="","",setValueToTime(B79))</f>
        <v>1h5min</v>
      </c>
      <c r="D79" s="174" t="s">
        <v>234</v>
      </c>
      <c r="E79" s="260"/>
      <c r="F79" s="261"/>
      <c r="G79" s="308"/>
    </row>
    <row r="80" spans="1:7" s="52" customFormat="1" ht="135" x14ac:dyDescent="0.3">
      <c r="A80" s="53" t="s">
        <v>94</v>
      </c>
      <c r="B80" s="54">
        <v>26</v>
      </c>
      <c r="C80" s="152" t="str">
        <f t="shared" ref="C80:C82" si="9" xml:space="preserve"> IF(B80="","",setValueToTime(B80))</f>
        <v>2h10min</v>
      </c>
      <c r="D80" s="174" t="s">
        <v>237</v>
      </c>
      <c r="E80" s="271" t="s">
        <v>235</v>
      </c>
      <c r="F80" s="253"/>
      <c r="G80" s="308"/>
    </row>
    <row r="81" spans="1:7" s="52" customFormat="1" ht="54" x14ac:dyDescent="0.3">
      <c r="A81" s="53" t="s">
        <v>95</v>
      </c>
      <c r="B81" s="54">
        <v>7</v>
      </c>
      <c r="C81" s="152" t="str">
        <f t="shared" si="9"/>
        <v>0h35min</v>
      </c>
      <c r="D81" s="174" t="s">
        <v>236</v>
      </c>
      <c r="E81" s="252"/>
      <c r="F81" s="253"/>
      <c r="G81" s="308"/>
    </row>
    <row r="82" spans="1:7" s="52" customFormat="1" ht="27" customHeight="1" thickBot="1" x14ac:dyDescent="0.35">
      <c r="A82" s="53" t="s">
        <v>17</v>
      </c>
      <c r="B82" s="54">
        <v>2</v>
      </c>
      <c r="C82" s="152" t="str">
        <f t="shared" si="9"/>
        <v>0h10min</v>
      </c>
      <c r="D82" s="174" t="s">
        <v>202</v>
      </c>
      <c r="E82" s="252"/>
      <c r="F82" s="253"/>
      <c r="G82" s="308"/>
    </row>
    <row r="83" spans="1:7" s="52" customFormat="1" ht="15" thickBot="1" x14ac:dyDescent="0.35">
      <c r="A83" s="161" t="s">
        <v>29</v>
      </c>
      <c r="B83" s="83">
        <f>SUM(B79:B82)</f>
        <v>48</v>
      </c>
      <c r="C83" s="161" t="str">
        <f xml:space="preserve"> setValueToTime(B83)</f>
        <v>4h</v>
      </c>
      <c r="D83" s="120"/>
      <c r="E83" s="262"/>
      <c r="F83" s="263"/>
      <c r="G83" s="312"/>
    </row>
    <row r="84" spans="1:7" s="52" customFormat="1" ht="60.75" customHeight="1" thickBot="1" x14ac:dyDescent="0.35">
      <c r="A84" s="77"/>
      <c r="B84" s="77"/>
      <c r="C84" s="77"/>
      <c r="D84" s="77"/>
      <c r="E84" s="77"/>
      <c r="F84" s="77"/>
      <c r="G84" s="307"/>
    </row>
    <row r="85" spans="1:7" s="59" customFormat="1" ht="53.25" customHeight="1" thickBot="1" x14ac:dyDescent="0.35">
      <c r="A85" s="155" t="s">
        <v>12</v>
      </c>
      <c r="B85" s="163">
        <v>11</v>
      </c>
      <c r="C85" s="163"/>
      <c r="D85" s="156" t="s">
        <v>15</v>
      </c>
      <c r="E85" s="157" t="s">
        <v>82</v>
      </c>
      <c r="F85" s="158" t="s">
        <v>43</v>
      </c>
      <c r="G85" s="307"/>
    </row>
    <row r="86" spans="1:7" s="47" customFormat="1" ht="30" customHeight="1" thickBot="1" x14ac:dyDescent="0.35">
      <c r="A86" s="78" t="s">
        <v>5</v>
      </c>
      <c r="B86" s="160" t="s">
        <v>40</v>
      </c>
      <c r="C86" s="159"/>
      <c r="D86" s="78" t="s">
        <v>13</v>
      </c>
      <c r="E86" s="264" t="s">
        <v>14</v>
      </c>
      <c r="F86" s="265"/>
      <c r="G86" s="308"/>
    </row>
    <row r="87" spans="1:7" s="47" customFormat="1" ht="30" customHeight="1" x14ac:dyDescent="0.3">
      <c r="A87" s="48" t="s">
        <v>94</v>
      </c>
      <c r="B87" s="49">
        <v>13</v>
      </c>
      <c r="C87" s="151" t="str">
        <f xml:space="preserve"> IF(B87="","",setValueToTime(B87))</f>
        <v>1h5min</v>
      </c>
      <c r="D87" s="171" t="s">
        <v>231</v>
      </c>
      <c r="E87" s="270" t="s">
        <v>221</v>
      </c>
      <c r="F87" s="261"/>
      <c r="G87" s="308"/>
    </row>
    <row r="88" spans="1:7" s="52" customFormat="1" ht="27.75" thickBot="1" x14ac:dyDescent="0.35">
      <c r="A88" s="53" t="s">
        <v>96</v>
      </c>
      <c r="B88" s="54">
        <v>15</v>
      </c>
      <c r="C88" s="152" t="str">
        <f t="shared" ref="C88:C94" si="10" xml:space="preserve"> IF(B88="","",setValueToTime(B88))</f>
        <v>1h15min</v>
      </c>
      <c r="D88" s="174" t="s">
        <v>232</v>
      </c>
      <c r="E88" s="252"/>
      <c r="F88" s="253"/>
      <c r="G88" s="308"/>
    </row>
    <row r="89" spans="1:7" s="52" customFormat="1" ht="14.25" customHeight="1" thickBot="1" x14ac:dyDescent="0.35">
      <c r="A89" s="53" t="s">
        <v>4</v>
      </c>
      <c r="B89" s="54">
        <v>6</v>
      </c>
      <c r="C89" s="152" t="str">
        <f t="shared" si="10"/>
        <v>0h30min</v>
      </c>
      <c r="D89" s="174" t="s">
        <v>229</v>
      </c>
      <c r="E89" s="252"/>
      <c r="F89" s="253"/>
      <c r="G89" s="78" t="s">
        <v>163</v>
      </c>
    </row>
    <row r="90" spans="1:7" s="52" customFormat="1" ht="15" customHeight="1" x14ac:dyDescent="0.3">
      <c r="A90" s="53"/>
      <c r="B90" s="54"/>
      <c r="C90" s="152" t="str">
        <f t="shared" si="10"/>
        <v/>
      </c>
      <c r="D90" s="55"/>
      <c r="E90" s="252"/>
      <c r="F90" s="253"/>
      <c r="G90" s="268" t="s">
        <v>267</v>
      </c>
    </row>
    <row r="91" spans="1:7" s="52" customFormat="1" ht="51.75" customHeight="1" x14ac:dyDescent="0.3">
      <c r="A91" s="54" t="s">
        <v>101</v>
      </c>
      <c r="B91" s="54">
        <v>2</v>
      </c>
      <c r="C91" s="153" t="str">
        <f t="shared" si="10"/>
        <v>0h10min</v>
      </c>
      <c r="D91" s="174" t="s">
        <v>233</v>
      </c>
      <c r="E91" s="252"/>
      <c r="F91" s="253"/>
      <c r="G91" s="269"/>
    </row>
    <row r="92" spans="1:7" s="52" customFormat="1" ht="36.75" customHeight="1" x14ac:dyDescent="0.3">
      <c r="A92" s="54" t="s">
        <v>17</v>
      </c>
      <c r="B92" s="54">
        <v>2</v>
      </c>
      <c r="C92" s="153" t="str">
        <f t="shared" si="10"/>
        <v>0h10min</v>
      </c>
      <c r="D92" s="174" t="s">
        <v>230</v>
      </c>
      <c r="E92" s="252"/>
      <c r="F92" s="253"/>
      <c r="G92" s="269"/>
    </row>
    <row r="93" spans="1:7" s="52" customFormat="1" x14ac:dyDescent="0.3">
      <c r="A93" s="54"/>
      <c r="B93" s="54"/>
      <c r="C93" s="153" t="str">
        <f t="shared" si="10"/>
        <v/>
      </c>
      <c r="D93" s="55"/>
      <c r="E93" s="252"/>
      <c r="F93" s="253"/>
      <c r="G93" s="269"/>
    </row>
    <row r="94" spans="1:7" s="52" customFormat="1" ht="15" thickBot="1" x14ac:dyDescent="0.35">
      <c r="A94" s="56"/>
      <c r="B94" s="56"/>
      <c r="C94" s="154" t="str">
        <f t="shared" si="10"/>
        <v/>
      </c>
      <c r="D94" s="57"/>
      <c r="E94" s="254"/>
      <c r="F94" s="255"/>
      <c r="G94" s="269"/>
    </row>
    <row r="95" spans="1:7" s="52" customFormat="1" ht="15" thickBot="1" x14ac:dyDescent="0.35">
      <c r="A95" s="161" t="s">
        <v>29</v>
      </c>
      <c r="B95" s="83">
        <f>SUM(B87:B94)</f>
        <v>38</v>
      </c>
      <c r="C95" s="161" t="str">
        <f xml:space="preserve"> setValueToTime(B95)</f>
        <v>3h10min</v>
      </c>
      <c r="D95" s="120"/>
      <c r="E95" s="262"/>
      <c r="F95" s="263"/>
      <c r="G95" s="269"/>
    </row>
    <row r="96" spans="1:7" s="52" customFormat="1" ht="15" thickBot="1" x14ac:dyDescent="0.35">
      <c r="A96" s="77"/>
      <c r="B96" s="77"/>
      <c r="C96" s="77"/>
      <c r="D96" s="77"/>
      <c r="E96" s="77"/>
      <c r="F96" s="77"/>
      <c r="G96" s="269"/>
    </row>
    <row r="97" spans="1:7" s="59" customFormat="1" ht="18.75" thickBot="1" x14ac:dyDescent="0.35">
      <c r="A97" s="155" t="s">
        <v>12</v>
      </c>
      <c r="B97" s="163">
        <v>10</v>
      </c>
      <c r="C97" s="163"/>
      <c r="D97" s="156" t="s">
        <v>15</v>
      </c>
      <c r="E97" s="157" t="s">
        <v>82</v>
      </c>
      <c r="F97" s="158" t="s">
        <v>44</v>
      </c>
      <c r="G97" s="269"/>
    </row>
    <row r="98" spans="1:7" s="47" customFormat="1" ht="30" customHeight="1" thickBot="1" x14ac:dyDescent="0.3">
      <c r="A98" s="78" t="s">
        <v>5</v>
      </c>
      <c r="B98" s="160" t="s">
        <v>40</v>
      </c>
      <c r="C98" s="159"/>
      <c r="D98" s="78" t="s">
        <v>13</v>
      </c>
      <c r="E98" s="264" t="s">
        <v>14</v>
      </c>
      <c r="F98" s="265"/>
      <c r="G98" s="269"/>
    </row>
    <row r="99" spans="1:7" s="47" customFormat="1" ht="30" customHeight="1" x14ac:dyDescent="0.3">
      <c r="A99" s="48" t="s">
        <v>94</v>
      </c>
      <c r="B99" s="49">
        <v>35</v>
      </c>
      <c r="C99" s="151" t="str">
        <f xml:space="preserve"> IF(B99="","",setValueToTime(B99))</f>
        <v>2h55min</v>
      </c>
      <c r="D99" s="171" t="s">
        <v>224</v>
      </c>
      <c r="E99" s="270" t="s">
        <v>221</v>
      </c>
      <c r="F99" s="261"/>
      <c r="G99" s="308"/>
    </row>
    <row r="100" spans="1:7" s="52" customFormat="1" ht="67.5" x14ac:dyDescent="0.3">
      <c r="A100" s="53" t="s">
        <v>96</v>
      </c>
      <c r="B100" s="54">
        <v>6</v>
      </c>
      <c r="C100" s="152" t="str">
        <f t="shared" ref="C100:C103" si="11" xml:space="preserve"> IF(B100="","",setValueToTime(B100))</f>
        <v>0h30min</v>
      </c>
      <c r="D100" s="174" t="s">
        <v>225</v>
      </c>
      <c r="E100" s="271" t="s">
        <v>222</v>
      </c>
      <c r="F100" s="253"/>
      <c r="G100" s="308"/>
    </row>
    <row r="101" spans="1:7" s="52" customFormat="1" x14ac:dyDescent="0.3">
      <c r="A101" s="53"/>
      <c r="B101" s="54"/>
      <c r="C101" s="152"/>
      <c r="D101" s="174"/>
      <c r="E101" s="271" t="s">
        <v>223</v>
      </c>
      <c r="F101" s="253"/>
      <c r="G101" s="308"/>
    </row>
    <row r="102" spans="1:7" s="52" customFormat="1" ht="94.5" x14ac:dyDescent="0.3">
      <c r="A102" s="53" t="s">
        <v>90</v>
      </c>
      <c r="B102" s="54">
        <v>6</v>
      </c>
      <c r="C102" s="152" t="str">
        <f xml:space="preserve"> IF(B102="","",setValueToTime(B102))</f>
        <v>0h30min</v>
      </c>
      <c r="D102" s="174" t="s">
        <v>226</v>
      </c>
      <c r="E102" s="271" t="s">
        <v>227</v>
      </c>
      <c r="F102" s="253"/>
      <c r="G102" s="308"/>
    </row>
    <row r="103" spans="1:7" s="52" customFormat="1" ht="27.75" thickBot="1" x14ac:dyDescent="0.35">
      <c r="A103" s="54" t="s">
        <v>17</v>
      </c>
      <c r="B103" s="54">
        <v>1</v>
      </c>
      <c r="C103" s="153" t="str">
        <f t="shared" si="11"/>
        <v>0h5min</v>
      </c>
      <c r="D103" s="174" t="s">
        <v>228</v>
      </c>
      <c r="E103" s="252"/>
      <c r="F103" s="253"/>
      <c r="G103" s="312"/>
    </row>
    <row r="104" spans="1:7" s="52" customFormat="1" ht="46.5" customHeight="1" thickBot="1" x14ac:dyDescent="0.35">
      <c r="A104" s="161" t="s">
        <v>29</v>
      </c>
      <c r="B104" s="83">
        <f>SUM(B99:B103)</f>
        <v>48</v>
      </c>
      <c r="C104" s="161" t="str">
        <f xml:space="preserve"> setValueToTime(B104)</f>
        <v>4h</v>
      </c>
      <c r="D104" s="120"/>
      <c r="E104" s="262"/>
      <c r="F104" s="263"/>
      <c r="G104" s="307"/>
    </row>
    <row r="105" spans="1:7" s="52" customFormat="1" ht="15" thickBot="1" x14ac:dyDescent="0.35">
      <c r="A105" s="77"/>
      <c r="B105" s="77"/>
      <c r="C105" s="77"/>
      <c r="D105" s="77"/>
      <c r="E105" s="77"/>
      <c r="F105" s="77"/>
      <c r="G105" s="307"/>
    </row>
    <row r="106" spans="1:7" s="52" customFormat="1" ht="18.75" thickBot="1" x14ac:dyDescent="0.35">
      <c r="A106" s="155" t="s">
        <v>12</v>
      </c>
      <c r="B106" s="163">
        <v>9</v>
      </c>
      <c r="C106" s="163"/>
      <c r="D106" s="156" t="s">
        <v>15</v>
      </c>
      <c r="E106" s="157" t="s">
        <v>83</v>
      </c>
      <c r="F106" s="158" t="s">
        <v>44</v>
      </c>
      <c r="G106" s="78" t="s">
        <v>163</v>
      </c>
    </row>
    <row r="107" spans="1:7" s="52" customFormat="1" ht="27.75" thickBot="1" x14ac:dyDescent="0.35">
      <c r="A107" s="78" t="s">
        <v>5</v>
      </c>
      <c r="B107" s="160" t="s">
        <v>40</v>
      </c>
      <c r="C107" s="159"/>
      <c r="D107" s="78" t="s">
        <v>13</v>
      </c>
      <c r="E107" s="264" t="s">
        <v>14</v>
      </c>
      <c r="F107" s="265"/>
      <c r="G107" s="51"/>
    </row>
    <row r="108" spans="1:7" s="52" customFormat="1" ht="135.75" x14ac:dyDescent="0.3">
      <c r="A108" s="48" t="s">
        <v>96</v>
      </c>
      <c r="B108" s="49">
        <v>15</v>
      </c>
      <c r="C108" s="151" t="str">
        <f xml:space="preserve"> IF(B108="","",setValueToTime(B108))</f>
        <v>1h15min</v>
      </c>
      <c r="D108" s="171" t="s">
        <v>219</v>
      </c>
      <c r="E108" s="270" t="s">
        <v>214</v>
      </c>
      <c r="F108" s="275"/>
      <c r="G108" s="296" t="s">
        <v>282</v>
      </c>
    </row>
    <row r="109" spans="1:7" s="59" customFormat="1" ht="27.75" thickBot="1" x14ac:dyDescent="0.35">
      <c r="A109" s="53" t="s">
        <v>95</v>
      </c>
      <c r="B109" s="54">
        <v>4</v>
      </c>
      <c r="C109" s="152" t="str">
        <f t="shared" ref="C109:C112" si="12" xml:space="preserve"> IF(B109="","",setValueToTime(B109))</f>
        <v>0h20min</v>
      </c>
      <c r="D109" s="174" t="s">
        <v>215</v>
      </c>
      <c r="E109" s="252"/>
      <c r="F109" s="253"/>
      <c r="G109" s="308"/>
    </row>
    <row r="110" spans="1:7" s="47" customFormat="1" ht="30" customHeight="1" thickBot="1" x14ac:dyDescent="0.3">
      <c r="A110" s="53" t="s">
        <v>97</v>
      </c>
      <c r="B110" s="54">
        <v>12</v>
      </c>
      <c r="C110" s="152" t="str">
        <f t="shared" si="12"/>
        <v>1h</v>
      </c>
      <c r="D110" s="174" t="s">
        <v>216</v>
      </c>
      <c r="E110" s="271" t="s">
        <v>217</v>
      </c>
      <c r="F110" s="273"/>
      <c r="G110" s="309"/>
    </row>
    <row r="111" spans="1:7" s="47" customFormat="1" ht="30" customHeight="1" x14ac:dyDescent="0.25">
      <c r="A111" s="53" t="s">
        <v>96</v>
      </c>
      <c r="B111" s="54">
        <v>6</v>
      </c>
      <c r="C111" s="152" t="str">
        <f t="shared" si="12"/>
        <v>0h30min</v>
      </c>
      <c r="D111" s="174" t="s">
        <v>218</v>
      </c>
      <c r="E111" s="252"/>
      <c r="F111" s="253"/>
      <c r="G111" s="310"/>
    </row>
    <row r="112" spans="1:7" s="52" customFormat="1" ht="27.75" thickBot="1" x14ac:dyDescent="0.35">
      <c r="A112" s="54" t="s">
        <v>17</v>
      </c>
      <c r="B112" s="54">
        <v>1</v>
      </c>
      <c r="C112" s="153" t="str">
        <f t="shared" si="12"/>
        <v>0h5min</v>
      </c>
      <c r="D112" s="174" t="s">
        <v>220</v>
      </c>
      <c r="E112" s="252"/>
      <c r="F112" s="253"/>
      <c r="G112" s="311"/>
    </row>
    <row r="113" spans="1:7" s="52" customFormat="1" ht="15" thickBot="1" x14ac:dyDescent="0.35">
      <c r="A113" s="161" t="s">
        <v>29</v>
      </c>
      <c r="B113" s="83">
        <f>SUM(B108:B112)</f>
        <v>38</v>
      </c>
      <c r="C113" s="161" t="str">
        <f xml:space="preserve"> setValueToTime(B113)</f>
        <v>3h10min</v>
      </c>
      <c r="D113" s="120"/>
      <c r="E113" s="262"/>
      <c r="F113" s="263"/>
      <c r="G113" s="311"/>
    </row>
    <row r="114" spans="1:7" s="52" customFormat="1" ht="15" thickBot="1" x14ac:dyDescent="0.35">
      <c r="A114" s="77"/>
      <c r="B114" s="77"/>
      <c r="C114" s="77"/>
      <c r="D114" s="77"/>
      <c r="E114" s="77"/>
      <c r="F114" s="77"/>
      <c r="G114" s="311"/>
    </row>
    <row r="115" spans="1:7" s="52" customFormat="1" ht="18.75" thickBot="1" x14ac:dyDescent="0.35">
      <c r="A115" s="155" t="s">
        <v>12</v>
      </c>
      <c r="B115" s="163">
        <v>8</v>
      </c>
      <c r="C115" s="163"/>
      <c r="D115" s="156" t="s">
        <v>15</v>
      </c>
      <c r="E115" s="157" t="s">
        <v>84</v>
      </c>
      <c r="F115" s="158" t="s">
        <v>43</v>
      </c>
      <c r="G115" s="78" t="s">
        <v>163</v>
      </c>
    </row>
    <row r="116" spans="1:7" s="52" customFormat="1" ht="27.75" thickBot="1" x14ac:dyDescent="0.35">
      <c r="A116" s="78" t="s">
        <v>5</v>
      </c>
      <c r="B116" s="160" t="s">
        <v>40</v>
      </c>
      <c r="C116" s="159"/>
      <c r="D116" s="78" t="s">
        <v>13</v>
      </c>
      <c r="E116" s="264" t="s">
        <v>14</v>
      </c>
      <c r="F116" s="265"/>
      <c r="G116" s="304"/>
    </row>
    <row r="117" spans="1:7" s="52" customFormat="1" ht="204" x14ac:dyDescent="0.3">
      <c r="A117" s="48" t="s">
        <v>96</v>
      </c>
      <c r="B117" s="49">
        <v>34</v>
      </c>
      <c r="C117" s="151" t="str">
        <f xml:space="preserve"> IF(B117="","",setValueToTime(B117))</f>
        <v>2h50min</v>
      </c>
      <c r="D117" s="171" t="s">
        <v>210</v>
      </c>
      <c r="E117" s="270" t="s">
        <v>212</v>
      </c>
      <c r="F117" s="275"/>
      <c r="G117" s="217" t="s">
        <v>211</v>
      </c>
    </row>
    <row r="118" spans="1:7" s="52" customFormat="1" ht="27" x14ac:dyDescent="0.3">
      <c r="A118" s="53" t="s">
        <v>17</v>
      </c>
      <c r="B118" s="54">
        <v>2</v>
      </c>
      <c r="C118" s="152" t="str">
        <f t="shared" ref="C118:C119" si="13" xml:space="preserve"> IF(B118="","",setValueToTime(B118))</f>
        <v>0h10min</v>
      </c>
      <c r="D118" s="174" t="s">
        <v>209</v>
      </c>
      <c r="E118" s="252"/>
      <c r="F118" s="253"/>
      <c r="G118" s="295"/>
    </row>
    <row r="119" spans="1:7" s="52" customFormat="1" ht="27.75" thickBot="1" x14ac:dyDescent="0.35">
      <c r="A119" s="53" t="s">
        <v>101</v>
      </c>
      <c r="B119" s="54">
        <v>2</v>
      </c>
      <c r="C119" s="152" t="str">
        <f t="shared" si="13"/>
        <v>0h10min</v>
      </c>
      <c r="D119" s="174" t="s">
        <v>208</v>
      </c>
      <c r="E119" s="274" t="s">
        <v>213</v>
      </c>
      <c r="F119" s="253"/>
      <c r="G119" s="295"/>
    </row>
    <row r="120" spans="1:7" s="52" customFormat="1" ht="15" thickBot="1" x14ac:dyDescent="0.35">
      <c r="A120" s="161" t="s">
        <v>29</v>
      </c>
      <c r="B120" s="83">
        <f>SUM(B117:B119)</f>
        <v>38</v>
      </c>
      <c r="C120" s="161" t="str">
        <f xml:space="preserve"> setValueToTime(B120)</f>
        <v>3h10min</v>
      </c>
      <c r="D120" s="120"/>
      <c r="E120" s="262"/>
      <c r="F120" s="263"/>
    </row>
    <row r="121" spans="1:7" s="59" customFormat="1" ht="15" thickBot="1" x14ac:dyDescent="0.35">
      <c r="A121" s="77"/>
      <c r="B121" s="77"/>
      <c r="C121" s="77"/>
      <c r="D121" s="77"/>
      <c r="E121" s="77"/>
      <c r="F121" s="77"/>
      <c r="G121" s="305"/>
    </row>
    <row r="122" spans="1:7" s="47" customFormat="1" ht="30" customHeight="1" thickBot="1" x14ac:dyDescent="0.3">
      <c r="A122" s="155" t="s">
        <v>12</v>
      </c>
      <c r="B122" s="163">
        <v>7</v>
      </c>
      <c r="C122" s="163"/>
      <c r="D122" s="156" t="s">
        <v>15</v>
      </c>
      <c r="E122" s="157" t="s">
        <v>84</v>
      </c>
      <c r="F122" s="158" t="s">
        <v>44</v>
      </c>
      <c r="G122" s="306"/>
    </row>
    <row r="123" spans="1:7" s="47" customFormat="1" ht="30" customHeight="1" thickBot="1" x14ac:dyDescent="0.3">
      <c r="A123" s="78" t="s">
        <v>5</v>
      </c>
      <c r="B123" s="160" t="s">
        <v>40</v>
      </c>
      <c r="C123" s="159"/>
      <c r="D123" s="78" t="s">
        <v>13</v>
      </c>
      <c r="E123" s="264" t="s">
        <v>14</v>
      </c>
      <c r="F123" s="265"/>
      <c r="G123" s="306"/>
    </row>
    <row r="124" spans="1:7" s="52" customFormat="1" ht="40.5" x14ac:dyDescent="0.3">
      <c r="A124" s="48" t="s">
        <v>16</v>
      </c>
      <c r="B124" s="49">
        <v>11</v>
      </c>
      <c r="C124" s="151" t="str">
        <f xml:space="preserve"> IF(B124="","",setValueToTime(B124))</f>
        <v>0h55min</v>
      </c>
      <c r="D124" s="171" t="s">
        <v>203</v>
      </c>
      <c r="E124" s="260"/>
      <c r="F124" s="261"/>
      <c r="G124" s="306"/>
    </row>
    <row r="125" spans="1:7" s="52" customFormat="1" ht="40.5" x14ac:dyDescent="0.3">
      <c r="A125" s="53" t="s">
        <v>97</v>
      </c>
      <c r="B125" s="54">
        <v>6</v>
      </c>
      <c r="C125" s="152" t="str">
        <f t="shared" ref="C125:C129" si="14" xml:space="preserve"> IF(B125="","",setValueToTime(B125))</f>
        <v>0h30min</v>
      </c>
      <c r="D125" s="174" t="s">
        <v>204</v>
      </c>
      <c r="E125" s="252"/>
      <c r="F125" s="253"/>
      <c r="G125" s="306"/>
    </row>
    <row r="126" spans="1:7" s="52" customFormat="1" ht="27" customHeight="1" x14ac:dyDescent="0.3">
      <c r="A126" s="53" t="s">
        <v>94</v>
      </c>
      <c r="B126" s="54">
        <v>10</v>
      </c>
      <c r="C126" s="152" t="str">
        <f t="shared" si="14"/>
        <v>0h50min</v>
      </c>
      <c r="D126" s="174" t="s">
        <v>205</v>
      </c>
      <c r="E126" s="252"/>
      <c r="F126" s="253"/>
      <c r="G126" s="306"/>
    </row>
    <row r="127" spans="1:7" s="52" customFormat="1" ht="27" x14ac:dyDescent="0.3">
      <c r="A127" s="53" t="s">
        <v>100</v>
      </c>
      <c r="B127" s="54">
        <v>2</v>
      </c>
      <c r="C127" s="152" t="str">
        <f t="shared" si="14"/>
        <v>0h10min</v>
      </c>
      <c r="D127" s="174" t="s">
        <v>206</v>
      </c>
      <c r="E127" s="252"/>
      <c r="F127" s="253"/>
      <c r="G127" s="306"/>
    </row>
    <row r="128" spans="1:7" s="52" customFormat="1" ht="67.5" x14ac:dyDescent="0.3">
      <c r="A128" s="54" t="s">
        <v>96</v>
      </c>
      <c r="B128" s="54">
        <v>18</v>
      </c>
      <c r="C128" s="153" t="str">
        <f t="shared" si="14"/>
        <v>1h30min</v>
      </c>
      <c r="D128" s="174" t="s">
        <v>256</v>
      </c>
      <c r="E128" s="271" t="s">
        <v>207</v>
      </c>
      <c r="F128" s="273"/>
      <c r="G128" s="306"/>
    </row>
    <row r="129" spans="1:7" s="52" customFormat="1" ht="27.75" thickBot="1" x14ac:dyDescent="0.35">
      <c r="A129" s="54" t="s">
        <v>17</v>
      </c>
      <c r="B129" s="54">
        <v>1</v>
      </c>
      <c r="C129" s="153" t="str">
        <f t="shared" si="14"/>
        <v>0h5min</v>
      </c>
      <c r="D129" s="174" t="s">
        <v>202</v>
      </c>
      <c r="E129" s="252"/>
      <c r="F129" s="253"/>
      <c r="G129" s="307"/>
    </row>
    <row r="130" spans="1:7" s="52" customFormat="1" ht="15" thickBot="1" x14ac:dyDescent="0.35">
      <c r="A130" s="161" t="s">
        <v>29</v>
      </c>
      <c r="B130" s="83">
        <f>SUM(B124:B129)</f>
        <v>48</v>
      </c>
      <c r="C130" s="161" t="str">
        <f xml:space="preserve"> setValueToTime(B130)</f>
        <v>4h</v>
      </c>
      <c r="D130" s="120"/>
      <c r="E130" s="262"/>
      <c r="F130" s="263"/>
      <c r="G130" s="299"/>
    </row>
    <row r="131" spans="1:7" s="52" customFormat="1" ht="15" thickBot="1" x14ac:dyDescent="0.35">
      <c r="A131" s="77"/>
      <c r="B131" s="77"/>
      <c r="C131" s="77"/>
      <c r="D131" s="77"/>
      <c r="E131" s="77"/>
      <c r="F131" s="77"/>
      <c r="G131" s="297"/>
    </row>
    <row r="132" spans="1:7" s="52" customFormat="1" ht="18.75" thickBot="1" x14ac:dyDescent="0.35">
      <c r="A132" s="155" t="s">
        <v>12</v>
      </c>
      <c r="B132" s="163">
        <v>6</v>
      </c>
      <c r="C132" s="163"/>
      <c r="D132" s="156" t="s">
        <v>15</v>
      </c>
      <c r="E132" s="157" t="s">
        <v>85</v>
      </c>
      <c r="F132" s="158" t="s">
        <v>44</v>
      </c>
      <c r="G132" s="297"/>
    </row>
    <row r="133" spans="1:7" s="59" customFormat="1" ht="27.75" thickBot="1" x14ac:dyDescent="0.35">
      <c r="A133" s="78" t="s">
        <v>5</v>
      </c>
      <c r="B133" s="160" t="s">
        <v>40</v>
      </c>
      <c r="C133" s="159"/>
      <c r="D133" s="78" t="s">
        <v>13</v>
      </c>
      <c r="E133" s="264" t="s">
        <v>14</v>
      </c>
      <c r="F133" s="265"/>
      <c r="G133" s="78" t="s">
        <v>163</v>
      </c>
    </row>
    <row r="134" spans="1:7" s="47" customFormat="1" ht="102" x14ac:dyDescent="0.25">
      <c r="A134" s="48" t="s">
        <v>97</v>
      </c>
      <c r="B134" s="49">
        <v>12</v>
      </c>
      <c r="C134" s="151" t="str">
        <f xml:space="preserve"> IF(B134="","",setValueToTime(B134))</f>
        <v>1h</v>
      </c>
      <c r="D134" s="171" t="s">
        <v>198</v>
      </c>
      <c r="E134" s="260"/>
      <c r="F134" s="261"/>
      <c r="G134" s="216" t="s">
        <v>200</v>
      </c>
    </row>
    <row r="135" spans="1:7" s="47" customFormat="1" ht="30" customHeight="1" x14ac:dyDescent="0.3">
      <c r="A135" s="53" t="s">
        <v>92</v>
      </c>
      <c r="B135" s="54">
        <v>5</v>
      </c>
      <c r="C135" s="152" t="str">
        <f t="shared" ref="C135:C139" si="15" xml:space="preserve"> IF(B135="","",setValueToTime(B135))</f>
        <v>0h25min</v>
      </c>
      <c r="D135" s="174" t="s">
        <v>194</v>
      </c>
      <c r="E135" s="252"/>
      <c r="F135" s="253"/>
      <c r="G135" s="297"/>
    </row>
    <row r="136" spans="1:7" s="52" customFormat="1" x14ac:dyDescent="0.3">
      <c r="A136" s="53" t="s">
        <v>16</v>
      </c>
      <c r="B136" s="54">
        <v>3</v>
      </c>
      <c r="C136" s="152" t="str">
        <f t="shared" si="15"/>
        <v>0h15min</v>
      </c>
      <c r="D136" s="174" t="s">
        <v>195</v>
      </c>
      <c r="E136" s="252"/>
      <c r="F136" s="253"/>
      <c r="G136" s="297"/>
    </row>
    <row r="137" spans="1:7" s="52" customFormat="1" ht="54" x14ac:dyDescent="0.3">
      <c r="A137" s="53" t="s">
        <v>97</v>
      </c>
      <c r="B137" s="54">
        <v>15</v>
      </c>
      <c r="C137" s="152" t="str">
        <f t="shared" si="15"/>
        <v>1h15min</v>
      </c>
      <c r="D137" s="174" t="s">
        <v>197</v>
      </c>
      <c r="E137" s="271" t="s">
        <v>196</v>
      </c>
      <c r="F137" s="273"/>
      <c r="G137" s="297"/>
    </row>
    <row r="138" spans="1:7" s="52" customFormat="1" ht="27" x14ac:dyDescent="0.3">
      <c r="A138" s="54" t="s">
        <v>17</v>
      </c>
      <c r="B138" s="54">
        <v>2</v>
      </c>
      <c r="C138" s="153" t="str">
        <f t="shared" si="15"/>
        <v>0h10min</v>
      </c>
      <c r="D138" s="174" t="s">
        <v>202</v>
      </c>
      <c r="E138" s="252"/>
      <c r="F138" s="253"/>
      <c r="G138" s="297"/>
    </row>
    <row r="139" spans="1:7" s="52" customFormat="1" ht="27.75" thickBot="1" x14ac:dyDescent="0.35">
      <c r="A139" s="54" t="s">
        <v>101</v>
      </c>
      <c r="B139" s="54">
        <v>1</v>
      </c>
      <c r="C139" s="153" t="str">
        <f t="shared" si="15"/>
        <v>0h5min</v>
      </c>
      <c r="D139" s="174" t="s">
        <v>201</v>
      </c>
      <c r="E139" s="252"/>
      <c r="F139" s="253"/>
      <c r="G139" s="297"/>
    </row>
    <row r="140" spans="1:7" s="52" customFormat="1" ht="15" thickBot="1" x14ac:dyDescent="0.35">
      <c r="A140" s="161" t="s">
        <v>29</v>
      </c>
      <c r="B140" s="83">
        <f>SUM(B134:B139)</f>
        <v>38</v>
      </c>
      <c r="C140" s="161" t="str">
        <f xml:space="preserve"> setValueToTime(B140)</f>
        <v>3h10min</v>
      </c>
      <c r="D140" s="120"/>
      <c r="E140" s="262"/>
      <c r="F140" s="263"/>
      <c r="G140" s="297"/>
    </row>
    <row r="141" spans="1:7" s="52" customFormat="1" ht="15" thickBot="1" x14ac:dyDescent="0.35">
      <c r="A141" s="77"/>
      <c r="B141" s="77"/>
      <c r="C141" s="77"/>
      <c r="D141" s="77"/>
      <c r="E141" s="77"/>
      <c r="F141" s="77"/>
      <c r="G141" s="302"/>
    </row>
    <row r="142" spans="1:7" s="52" customFormat="1" ht="18.75" thickBot="1" x14ac:dyDescent="0.35">
      <c r="A142" s="155" t="s">
        <v>12</v>
      </c>
      <c r="B142" s="163">
        <v>5</v>
      </c>
      <c r="C142" s="163"/>
      <c r="D142" s="156" t="s">
        <v>15</v>
      </c>
      <c r="E142" s="157" t="s">
        <v>72</v>
      </c>
      <c r="F142" s="158" t="s">
        <v>43</v>
      </c>
      <c r="G142" s="302"/>
    </row>
    <row r="143" spans="1:7" s="52" customFormat="1" ht="27.75" thickBot="1" x14ac:dyDescent="0.35">
      <c r="A143" s="78" t="s">
        <v>5</v>
      </c>
      <c r="B143" s="160" t="s">
        <v>40</v>
      </c>
      <c r="C143" s="159"/>
      <c r="D143" s="78" t="s">
        <v>13</v>
      </c>
      <c r="E143" s="264" t="s">
        <v>14</v>
      </c>
      <c r="F143" s="265"/>
      <c r="G143" s="78" t="s">
        <v>163</v>
      </c>
    </row>
    <row r="144" spans="1:7" s="52" customFormat="1" ht="63.75" x14ac:dyDescent="0.3">
      <c r="A144" s="48" t="s">
        <v>87</v>
      </c>
      <c r="B144" s="49">
        <v>6</v>
      </c>
      <c r="C144" s="151" t="str">
        <f xml:space="preserve"> IF(B144="","",setValueToTime(B144))</f>
        <v>0h30min</v>
      </c>
      <c r="D144" s="171" t="s">
        <v>178</v>
      </c>
      <c r="E144" s="260"/>
      <c r="F144" s="261"/>
      <c r="G144" s="216" t="s">
        <v>199</v>
      </c>
    </row>
    <row r="145" spans="1:7" s="59" customFormat="1" ht="40.5" x14ac:dyDescent="0.3">
      <c r="A145" s="53" t="s">
        <v>16</v>
      </c>
      <c r="B145" s="54">
        <v>14</v>
      </c>
      <c r="C145" s="152" t="str">
        <f t="shared" ref="C145:C150" si="16" xml:space="preserve"> IF(B145="","",setValueToTime(B145))</f>
        <v>1h10min</v>
      </c>
      <c r="D145" s="174" t="s">
        <v>186</v>
      </c>
      <c r="E145" s="252"/>
      <c r="F145" s="253"/>
      <c r="G145" s="297"/>
    </row>
    <row r="146" spans="1:7" s="47" customFormat="1" ht="30" customHeight="1" x14ac:dyDescent="0.3">
      <c r="A146" s="53" t="s">
        <v>91</v>
      </c>
      <c r="B146" s="54">
        <v>5</v>
      </c>
      <c r="C146" s="152" t="str">
        <f t="shared" si="16"/>
        <v>0h25min</v>
      </c>
      <c r="D146" s="174" t="s">
        <v>185</v>
      </c>
      <c r="E146" s="271" t="s">
        <v>192</v>
      </c>
      <c r="F146" s="273"/>
      <c r="G146" s="297"/>
    </row>
    <row r="147" spans="1:7" s="47" customFormat="1" ht="30" customHeight="1" x14ac:dyDescent="0.3">
      <c r="A147" s="53" t="s">
        <v>90</v>
      </c>
      <c r="B147" s="54">
        <v>5</v>
      </c>
      <c r="C147" s="152" t="str">
        <f t="shared" si="16"/>
        <v>0h25min</v>
      </c>
      <c r="D147" s="174" t="s">
        <v>187</v>
      </c>
      <c r="E147" s="271"/>
      <c r="F147" s="273"/>
      <c r="G147" s="297"/>
    </row>
    <row r="148" spans="1:7" s="52" customFormat="1" ht="27" x14ac:dyDescent="0.3">
      <c r="A148" s="54" t="s">
        <v>100</v>
      </c>
      <c r="B148" s="54">
        <v>4</v>
      </c>
      <c r="C148" s="153" t="str">
        <f t="shared" si="16"/>
        <v>0h20min</v>
      </c>
      <c r="D148" s="174" t="s">
        <v>188</v>
      </c>
      <c r="E148" s="271" t="s">
        <v>191</v>
      </c>
      <c r="F148" s="273"/>
      <c r="G148" s="297"/>
    </row>
    <row r="149" spans="1:7" s="52" customFormat="1" ht="27" x14ac:dyDescent="0.3">
      <c r="A149" s="54" t="s">
        <v>17</v>
      </c>
      <c r="B149" s="54">
        <v>2</v>
      </c>
      <c r="C149" s="153" t="str">
        <f t="shared" si="16"/>
        <v>0h10min</v>
      </c>
      <c r="D149" s="174" t="s">
        <v>189</v>
      </c>
      <c r="E149" s="252"/>
      <c r="F149" s="253"/>
      <c r="G149" s="297"/>
    </row>
    <row r="150" spans="1:7" s="52" customFormat="1" ht="27.75" thickBot="1" x14ac:dyDescent="0.35">
      <c r="A150" s="54" t="s">
        <v>101</v>
      </c>
      <c r="B150" s="54">
        <v>2</v>
      </c>
      <c r="C150" s="153" t="str">
        <f t="shared" si="16"/>
        <v>0h10min</v>
      </c>
      <c r="D150" s="174" t="s">
        <v>193</v>
      </c>
      <c r="E150" s="252"/>
      <c r="F150" s="253"/>
      <c r="G150" s="297"/>
    </row>
    <row r="151" spans="1:7" s="52" customFormat="1" ht="15" customHeight="1" thickBot="1" x14ac:dyDescent="0.35">
      <c r="A151" s="161" t="s">
        <v>29</v>
      </c>
      <c r="B151" s="83">
        <f>SUM(B144:B150)</f>
        <v>38</v>
      </c>
      <c r="C151" s="161" t="str">
        <f xml:space="preserve"> setValueToTime(B151)</f>
        <v>3h10min</v>
      </c>
      <c r="D151" s="120"/>
      <c r="E151" s="262"/>
      <c r="F151" s="263"/>
      <c r="G151" s="302"/>
    </row>
    <row r="152" spans="1:7" s="52" customFormat="1" ht="15" thickBot="1" x14ac:dyDescent="0.35">
      <c r="A152" s="77"/>
      <c r="B152" s="77"/>
      <c r="C152" s="77"/>
      <c r="D152" s="77"/>
      <c r="E152" s="77"/>
      <c r="F152" s="77"/>
      <c r="G152" s="302"/>
    </row>
    <row r="153" spans="1:7" s="52" customFormat="1" ht="18.75" thickBot="1" x14ac:dyDescent="0.35">
      <c r="A153" s="155" t="s">
        <v>12</v>
      </c>
      <c r="B153" s="163">
        <v>4</v>
      </c>
      <c r="C153" s="163"/>
      <c r="D153" s="156" t="s">
        <v>15</v>
      </c>
      <c r="E153" s="157" t="s">
        <v>72</v>
      </c>
      <c r="F153" s="158" t="s">
        <v>44</v>
      </c>
      <c r="G153" s="303"/>
    </row>
    <row r="154" spans="1:7" s="52" customFormat="1" ht="27.75" thickBot="1" x14ac:dyDescent="0.35">
      <c r="A154" s="78" t="s">
        <v>5</v>
      </c>
      <c r="B154" s="160" t="s">
        <v>40</v>
      </c>
      <c r="C154" s="159"/>
      <c r="D154" s="78" t="s">
        <v>13</v>
      </c>
      <c r="E154" s="264" t="s">
        <v>14</v>
      </c>
      <c r="F154" s="265"/>
      <c r="G154" s="297"/>
    </row>
    <row r="155" spans="1:7" s="52" customFormat="1" ht="40.5" x14ac:dyDescent="0.3">
      <c r="A155" s="48" t="s">
        <v>92</v>
      </c>
      <c r="B155" s="49">
        <v>12</v>
      </c>
      <c r="C155" s="151" t="str">
        <f xml:space="preserve"> IF(B155="","",setValueToTime(B155))</f>
        <v>1h</v>
      </c>
      <c r="D155" s="171" t="s">
        <v>183</v>
      </c>
      <c r="E155" s="270" t="s">
        <v>180</v>
      </c>
      <c r="F155" s="261"/>
      <c r="G155" s="297"/>
    </row>
    <row r="156" spans="1:7" s="52" customFormat="1" ht="40.5" x14ac:dyDescent="0.3">
      <c r="A156" s="53" t="s">
        <v>91</v>
      </c>
      <c r="B156" s="54">
        <v>10</v>
      </c>
      <c r="C156" s="152" t="str">
        <f t="shared" ref="C156:C158" si="17" xml:space="preserve"> IF(B156="","",setValueToTime(B156))</f>
        <v>0h50min</v>
      </c>
      <c r="D156" s="174" t="s">
        <v>184</v>
      </c>
      <c r="E156" s="271" t="s">
        <v>190</v>
      </c>
      <c r="F156" s="273"/>
      <c r="G156" s="297"/>
    </row>
    <row r="157" spans="1:7" s="59" customFormat="1" ht="135" x14ac:dyDescent="0.3">
      <c r="A157" s="53" t="s">
        <v>90</v>
      </c>
      <c r="B157" s="54">
        <v>14</v>
      </c>
      <c r="C157" s="152" t="str">
        <f t="shared" si="17"/>
        <v>1h10min</v>
      </c>
      <c r="D157" s="174" t="s">
        <v>182</v>
      </c>
      <c r="E157" s="271" t="s">
        <v>181</v>
      </c>
      <c r="F157" s="253"/>
      <c r="G157" s="297"/>
    </row>
    <row r="158" spans="1:7" s="47" customFormat="1" ht="30" customHeight="1" thickBot="1" x14ac:dyDescent="0.35">
      <c r="A158" s="53" t="s">
        <v>17</v>
      </c>
      <c r="B158" s="54">
        <v>2</v>
      </c>
      <c r="C158" s="152" t="str">
        <f t="shared" si="17"/>
        <v>0h10min</v>
      </c>
      <c r="D158" s="174" t="s">
        <v>175</v>
      </c>
      <c r="E158" s="252"/>
      <c r="F158" s="253"/>
      <c r="G158" s="297"/>
    </row>
    <row r="159" spans="1:7" s="47" customFormat="1" ht="30" customHeight="1" thickBot="1" x14ac:dyDescent="0.35">
      <c r="A159" s="161" t="s">
        <v>29</v>
      </c>
      <c r="B159" s="83">
        <f>SUM(B155:B158)</f>
        <v>38</v>
      </c>
      <c r="C159" s="161" t="str">
        <f xml:space="preserve"> setValueToTime(B159)</f>
        <v>3h10min</v>
      </c>
      <c r="D159" s="120"/>
      <c r="E159" s="262"/>
      <c r="F159" s="263"/>
      <c r="G159" s="298"/>
    </row>
    <row r="160" spans="1:7" s="52" customFormat="1" ht="15" thickBot="1" x14ac:dyDescent="0.35">
      <c r="A160" s="77"/>
      <c r="B160" s="77"/>
      <c r="C160" s="77"/>
      <c r="D160" s="77"/>
      <c r="E160" s="77"/>
      <c r="F160" s="77"/>
      <c r="G160" s="299"/>
    </row>
    <row r="161" spans="1:8" s="52" customFormat="1" ht="18.75" thickBot="1" x14ac:dyDescent="0.35">
      <c r="A161" s="155" t="s">
        <v>12</v>
      </c>
      <c r="B161" s="163">
        <v>3</v>
      </c>
      <c r="C161" s="163"/>
      <c r="D161" s="156" t="s">
        <v>15</v>
      </c>
      <c r="E161" s="157" t="s">
        <v>73</v>
      </c>
      <c r="F161" s="158" t="s">
        <v>43</v>
      </c>
      <c r="G161" s="78" t="s">
        <v>163</v>
      </c>
    </row>
    <row r="162" spans="1:8" s="52" customFormat="1" ht="27.75" thickBot="1" x14ac:dyDescent="0.35">
      <c r="A162" s="78" t="s">
        <v>5</v>
      </c>
      <c r="B162" s="160" t="s">
        <v>40</v>
      </c>
      <c r="C162" s="159">
        <v>38</v>
      </c>
      <c r="D162" s="78" t="s">
        <v>13</v>
      </c>
      <c r="E162" s="264" t="s">
        <v>14</v>
      </c>
      <c r="F162" s="265"/>
      <c r="G162" s="268" t="s">
        <v>283</v>
      </c>
    </row>
    <row r="163" spans="1:8" s="52" customFormat="1" ht="27" x14ac:dyDescent="0.3">
      <c r="A163" s="53" t="s">
        <v>92</v>
      </c>
      <c r="B163" s="54">
        <v>25</v>
      </c>
      <c r="C163" s="152" t="str">
        <f t="shared" ref="C163" si="18" xml:space="preserve"> IF(B163="","",setValueToTime(B163))</f>
        <v>2h5min</v>
      </c>
      <c r="D163" s="174" t="s">
        <v>268</v>
      </c>
      <c r="E163" s="270" t="s">
        <v>180</v>
      </c>
      <c r="F163" s="261"/>
      <c r="G163" s="269"/>
    </row>
    <row r="164" spans="1:8" s="52" customFormat="1" ht="27" x14ac:dyDescent="0.3">
      <c r="A164" s="53" t="s">
        <v>101</v>
      </c>
      <c r="B164" s="54">
        <v>3</v>
      </c>
      <c r="C164" s="152" t="str">
        <f t="shared" ref="C164:C170" si="19" xml:space="preserve"> IF(B164="","",setValueToTime(B164))</f>
        <v>0h15min</v>
      </c>
      <c r="D164" s="174" t="s">
        <v>167</v>
      </c>
      <c r="E164" s="252"/>
      <c r="F164" s="253"/>
      <c r="G164" s="269"/>
    </row>
    <row r="165" spans="1:8" s="52" customFormat="1" ht="27.75" thickBot="1" x14ac:dyDescent="0.35">
      <c r="A165" s="53" t="s">
        <v>16</v>
      </c>
      <c r="B165" s="54">
        <v>4</v>
      </c>
      <c r="C165" s="152" t="str">
        <f t="shared" si="19"/>
        <v>0h20min</v>
      </c>
      <c r="D165" s="174" t="s">
        <v>168</v>
      </c>
      <c r="E165" s="252"/>
      <c r="F165" s="253"/>
      <c r="G165" s="272"/>
    </row>
    <row r="166" spans="1:8" s="52" customFormat="1" ht="27" x14ac:dyDescent="0.3">
      <c r="A166" s="53" t="s">
        <v>17</v>
      </c>
      <c r="B166" s="54">
        <v>3</v>
      </c>
      <c r="C166" s="152" t="str">
        <f t="shared" si="19"/>
        <v>0h15min</v>
      </c>
      <c r="D166" s="174" t="s">
        <v>169</v>
      </c>
      <c r="E166" s="252"/>
      <c r="F166" s="253"/>
      <c r="G166" s="297"/>
    </row>
    <row r="167" spans="1:8" s="52" customFormat="1" ht="27" x14ac:dyDescent="0.3">
      <c r="A167" s="53" t="s">
        <v>17</v>
      </c>
      <c r="B167" s="54">
        <v>2</v>
      </c>
      <c r="C167" s="152" t="str">
        <f t="shared" si="19"/>
        <v>0h10min</v>
      </c>
      <c r="D167" s="174" t="s">
        <v>161</v>
      </c>
      <c r="E167" s="252"/>
      <c r="F167" s="253"/>
      <c r="G167" s="298"/>
    </row>
    <row r="168" spans="1:8" s="52" customFormat="1" x14ac:dyDescent="0.3">
      <c r="A168" s="53" t="s">
        <v>101</v>
      </c>
      <c r="B168" s="54">
        <v>1</v>
      </c>
      <c r="C168" s="152" t="str">
        <f t="shared" si="19"/>
        <v>0h5min</v>
      </c>
      <c r="D168" s="174" t="s">
        <v>121</v>
      </c>
      <c r="E168" s="252"/>
      <c r="F168" s="253"/>
      <c r="G168" s="297"/>
    </row>
    <row r="169" spans="1:8" s="59" customFormat="1" x14ac:dyDescent="0.3">
      <c r="A169" s="54"/>
      <c r="B169" s="54"/>
      <c r="C169" s="153" t="str">
        <f t="shared" si="19"/>
        <v/>
      </c>
      <c r="D169" s="55"/>
      <c r="E169" s="252"/>
      <c r="F169" s="253"/>
      <c r="G169" s="298"/>
    </row>
    <row r="170" spans="1:8" s="47" customFormat="1" ht="30" customHeight="1" thickBot="1" x14ac:dyDescent="0.3">
      <c r="A170" s="56"/>
      <c r="B170" s="56"/>
      <c r="C170" s="154" t="str">
        <f t="shared" si="19"/>
        <v/>
      </c>
      <c r="D170" s="57"/>
      <c r="E170" s="254"/>
      <c r="F170" s="255"/>
      <c r="G170" s="299"/>
    </row>
    <row r="171" spans="1:8" s="47" customFormat="1" ht="30" customHeight="1" thickBot="1" x14ac:dyDescent="0.3">
      <c r="A171" s="161" t="s">
        <v>29</v>
      </c>
      <c r="B171" s="83">
        <f>SUM(B163:B170)</f>
        <v>38</v>
      </c>
      <c r="C171" s="161" t="str">
        <f xml:space="preserve"> setValueToTime(B171)</f>
        <v>3h10min</v>
      </c>
      <c r="D171" s="120"/>
      <c r="E171" s="262"/>
      <c r="F171" s="263"/>
      <c r="G171" s="299"/>
      <c r="H171" s="213"/>
    </row>
    <row r="172" spans="1:8" s="52" customFormat="1" ht="15" thickBot="1" x14ac:dyDescent="0.35">
      <c r="A172" s="77"/>
      <c r="B172" s="77"/>
      <c r="C172" s="77"/>
      <c r="D172" s="77"/>
      <c r="E172" s="77"/>
      <c r="F172" s="77"/>
      <c r="G172" s="297"/>
      <c r="H172" s="214"/>
    </row>
    <row r="173" spans="1:8" s="52" customFormat="1" ht="18.75" thickBot="1" x14ac:dyDescent="0.35">
      <c r="A173" s="155" t="s">
        <v>12</v>
      </c>
      <c r="B173" s="163">
        <v>2</v>
      </c>
      <c r="C173" s="163"/>
      <c r="D173" s="156" t="s">
        <v>15</v>
      </c>
      <c r="E173" s="157" t="s">
        <v>73</v>
      </c>
      <c r="F173" s="158" t="s">
        <v>44</v>
      </c>
      <c r="G173" s="297"/>
      <c r="H173" s="214"/>
    </row>
    <row r="174" spans="1:8" s="52" customFormat="1" ht="27.75" thickBot="1" x14ac:dyDescent="0.35">
      <c r="A174" s="78" t="s">
        <v>5</v>
      </c>
      <c r="B174" s="160" t="s">
        <v>40</v>
      </c>
      <c r="C174" s="159">
        <v>48</v>
      </c>
      <c r="D174" s="78" t="s">
        <v>13</v>
      </c>
      <c r="E174" s="264" t="s">
        <v>14</v>
      </c>
      <c r="F174" s="265"/>
      <c r="G174" s="297"/>
      <c r="H174" s="215"/>
    </row>
    <row r="175" spans="1:8" s="52" customFormat="1" ht="27" x14ac:dyDescent="0.3">
      <c r="A175" s="48" t="s">
        <v>93</v>
      </c>
      <c r="B175" s="49">
        <v>2</v>
      </c>
      <c r="C175" s="151" t="str">
        <f xml:space="preserve"> IF(B175="","",setValueToTime(B175))</f>
        <v>0h10min</v>
      </c>
      <c r="D175" s="171" t="s">
        <v>177</v>
      </c>
      <c r="E175" s="260"/>
      <c r="F175" s="261"/>
      <c r="G175" s="297"/>
    </row>
    <row r="176" spans="1:8" s="52" customFormat="1" ht="27" x14ac:dyDescent="0.3">
      <c r="A176" s="53" t="s">
        <v>87</v>
      </c>
      <c r="B176" s="54">
        <v>23</v>
      </c>
      <c r="C176" s="152" t="str">
        <f t="shared" ref="C176:C178" si="20" xml:space="preserve"> IF(B176="","",setValueToTime(B176))</f>
        <v>1h55min</v>
      </c>
      <c r="D176" s="174" t="s">
        <v>160</v>
      </c>
      <c r="E176" s="252"/>
      <c r="F176" s="253"/>
      <c r="G176" s="297"/>
    </row>
    <row r="177" spans="1:13" s="52" customFormat="1" ht="27" x14ac:dyDescent="0.3">
      <c r="A177" s="53" t="s">
        <v>17</v>
      </c>
      <c r="B177" s="54">
        <v>2</v>
      </c>
      <c r="C177" s="152" t="str">
        <f t="shared" si="20"/>
        <v>0h10min</v>
      </c>
      <c r="D177" s="174" t="s">
        <v>161</v>
      </c>
      <c r="E177" s="252"/>
      <c r="F177" s="253"/>
      <c r="G177" s="297"/>
    </row>
    <row r="178" spans="1:13" s="52" customFormat="1" ht="27" x14ac:dyDescent="0.3">
      <c r="A178" s="53" t="s">
        <v>92</v>
      </c>
      <c r="B178" s="54">
        <v>9</v>
      </c>
      <c r="C178" s="152" t="str">
        <f t="shared" si="20"/>
        <v>0h45min</v>
      </c>
      <c r="D178" s="174" t="s">
        <v>164</v>
      </c>
      <c r="E178" s="274" t="s">
        <v>165</v>
      </c>
      <c r="F178" s="253"/>
      <c r="G178" s="297"/>
    </row>
    <row r="179" spans="1:13" s="52" customFormat="1" ht="27" x14ac:dyDescent="0.3">
      <c r="A179" s="53" t="s">
        <v>101</v>
      </c>
      <c r="B179" s="54">
        <v>1</v>
      </c>
      <c r="C179" s="152" t="str">
        <f xml:space="preserve"> IF(B179="","",setValueToTime(B179))</f>
        <v>0h5min</v>
      </c>
      <c r="D179" s="174" t="s">
        <v>114</v>
      </c>
      <c r="E179" s="212"/>
      <c r="F179" s="211"/>
      <c r="G179" s="298"/>
    </row>
    <row r="180" spans="1:13" s="52" customFormat="1" ht="27.75" thickBot="1" x14ac:dyDescent="0.35">
      <c r="A180" s="53" t="s">
        <v>17</v>
      </c>
      <c r="B180" s="54">
        <v>1</v>
      </c>
      <c r="C180" s="152" t="str">
        <f xml:space="preserve"> IF(B180="","",setValueToTime(B180))</f>
        <v>0h5min</v>
      </c>
      <c r="D180" s="174" t="s">
        <v>166</v>
      </c>
      <c r="E180" s="252"/>
      <c r="F180" s="253"/>
      <c r="G180" s="300"/>
    </row>
    <row r="181" spans="1:13" s="59" customFormat="1" ht="15" thickBot="1" x14ac:dyDescent="0.35">
      <c r="A181" s="161" t="s">
        <v>29</v>
      </c>
      <c r="B181" s="83">
        <f>SUM(B175:B180)</f>
        <v>38</v>
      </c>
      <c r="C181" s="161" t="str">
        <f xml:space="preserve"> setValueToTime(B181)</f>
        <v>3h10min</v>
      </c>
      <c r="D181" s="120"/>
      <c r="E181" s="262"/>
      <c r="F181" s="263"/>
      <c r="G181" s="301"/>
    </row>
    <row r="182" spans="1:13" s="47" customFormat="1" ht="30" customHeight="1" thickBot="1" x14ac:dyDescent="0.35">
      <c r="A182" s="77"/>
      <c r="B182" s="77"/>
      <c r="C182" s="77"/>
      <c r="D182" s="77"/>
      <c r="E182" s="77"/>
      <c r="F182" s="77"/>
      <c r="G182" s="301"/>
    </row>
    <row r="183" spans="1:13" s="47" customFormat="1" ht="30" customHeight="1" thickBot="1" x14ac:dyDescent="0.3">
      <c r="A183" s="155" t="s">
        <v>12</v>
      </c>
      <c r="B183" s="163">
        <v>1</v>
      </c>
      <c r="C183" s="163"/>
      <c r="D183" s="156" t="s">
        <v>15</v>
      </c>
      <c r="E183" s="157" t="s">
        <v>41</v>
      </c>
      <c r="F183" s="158" t="s">
        <v>43</v>
      </c>
      <c r="G183" s="78" t="s">
        <v>163</v>
      </c>
      <c r="H183" s="213"/>
    </row>
    <row r="184" spans="1:13" s="52" customFormat="1" ht="27.75" thickBot="1" x14ac:dyDescent="0.35">
      <c r="A184" s="78" t="s">
        <v>5</v>
      </c>
      <c r="B184" s="160" t="s">
        <v>40</v>
      </c>
      <c r="C184" s="159">
        <v>38</v>
      </c>
      <c r="D184" s="78" t="s">
        <v>13</v>
      </c>
      <c r="E184" s="264" t="s">
        <v>14</v>
      </c>
      <c r="F184" s="265"/>
      <c r="G184" s="268" t="s">
        <v>176</v>
      </c>
      <c r="H184" s="214"/>
    </row>
    <row r="185" spans="1:13" s="52" customFormat="1" ht="27" x14ac:dyDescent="0.3">
      <c r="A185" s="48" t="s">
        <v>88</v>
      </c>
      <c r="B185" s="49">
        <v>6</v>
      </c>
      <c r="C185" s="151" t="str">
        <f xml:space="preserve"> IF(B185="","",setValueToTime(B185))</f>
        <v>0h30min</v>
      </c>
      <c r="D185" s="171" t="s">
        <v>107</v>
      </c>
      <c r="E185" s="260"/>
      <c r="F185" s="261"/>
      <c r="G185" s="269"/>
      <c r="H185" s="214"/>
    </row>
    <row r="186" spans="1:13" s="52" customFormat="1" ht="27.75" thickBot="1" x14ac:dyDescent="0.35">
      <c r="A186" s="53" t="s">
        <v>89</v>
      </c>
      <c r="B186" s="54">
        <v>7</v>
      </c>
      <c r="C186" s="152" t="str">
        <f t="shared" ref="C186:C188" si="21" xml:space="preserve"> IF(B186="","",setValueToTime(B186))</f>
        <v>0h35min</v>
      </c>
      <c r="D186" s="174" t="s">
        <v>108</v>
      </c>
      <c r="E186" s="252"/>
      <c r="F186" s="253"/>
      <c r="G186" s="269"/>
      <c r="H186" s="215"/>
    </row>
    <row r="187" spans="1:13" s="52" customFormat="1" ht="27.75" thickBot="1" x14ac:dyDescent="0.35">
      <c r="A187" s="53" t="s">
        <v>87</v>
      </c>
      <c r="B187" s="54">
        <v>10</v>
      </c>
      <c r="C187" s="152" t="str">
        <f t="shared" si="21"/>
        <v>0h50min</v>
      </c>
      <c r="D187" s="174" t="s">
        <v>109</v>
      </c>
      <c r="E187" s="252"/>
      <c r="F187" s="253"/>
      <c r="G187" s="272"/>
    </row>
    <row r="188" spans="1:13" s="52" customFormat="1" ht="41.25" thickBot="1" x14ac:dyDescent="0.35">
      <c r="A188" s="53" t="s">
        <v>93</v>
      </c>
      <c r="B188" s="54">
        <v>15</v>
      </c>
      <c r="C188" s="152" t="str">
        <f t="shared" si="21"/>
        <v>1h15min</v>
      </c>
      <c r="D188" s="174" t="s">
        <v>158</v>
      </c>
      <c r="E188" s="271" t="s">
        <v>179</v>
      </c>
      <c r="F188" s="253"/>
      <c r="G188" s="297"/>
    </row>
    <row r="189" spans="1:13" s="52" customFormat="1" ht="15" thickBot="1" x14ac:dyDescent="0.35">
      <c r="A189" s="161" t="s">
        <v>29</v>
      </c>
      <c r="B189" s="83">
        <f>SUM(B185:B188)</f>
        <v>38</v>
      </c>
      <c r="C189" s="161" t="str">
        <f xml:space="preserve"> setValueToTime(B189)</f>
        <v>3h10min</v>
      </c>
      <c r="D189" s="120"/>
      <c r="E189" s="262"/>
      <c r="F189" s="263"/>
      <c r="G189" s="297"/>
    </row>
    <row r="190" spans="1:13" s="52" customFormat="1" x14ac:dyDescent="0.3">
      <c r="A190" s="77"/>
      <c r="B190" s="77"/>
      <c r="C190" s="77"/>
      <c r="D190" s="77"/>
      <c r="E190" s="77"/>
      <c r="F190" s="77"/>
      <c r="G190" s="297"/>
    </row>
    <row r="191" spans="1:13" s="52" customFormat="1" x14ac:dyDescent="0.3">
      <c r="A191" s="313"/>
      <c r="B191" s="313"/>
      <c r="C191" s="313"/>
      <c r="D191" s="313"/>
      <c r="E191" s="308"/>
      <c r="F191" s="308"/>
      <c r="G191" s="308"/>
      <c r="H191" s="308"/>
      <c r="I191" s="308"/>
      <c r="J191" s="308"/>
      <c r="K191" s="308"/>
      <c r="L191" s="308"/>
      <c r="M191" s="308"/>
    </row>
    <row r="192" spans="1:13" s="52" customFormat="1" x14ac:dyDescent="0.3">
      <c r="A192" s="313"/>
      <c r="B192" s="313"/>
      <c r="C192" s="313"/>
      <c r="D192" s="313"/>
      <c r="E192" s="308"/>
      <c r="F192" s="308"/>
      <c r="G192" s="308"/>
      <c r="H192" s="308"/>
      <c r="I192" s="308"/>
      <c r="J192" s="308"/>
      <c r="K192" s="308"/>
      <c r="L192" s="308"/>
      <c r="M192" s="308"/>
    </row>
    <row r="193" spans="1:13" s="59" customFormat="1" x14ac:dyDescent="0.3">
      <c r="A193" s="313"/>
      <c r="B193" s="313"/>
      <c r="C193" s="313"/>
      <c r="D193" s="313"/>
      <c r="E193" s="308"/>
      <c r="F193" s="308"/>
      <c r="G193" s="312"/>
      <c r="H193" s="312"/>
      <c r="I193" s="312"/>
      <c r="J193" s="312"/>
      <c r="K193" s="312"/>
      <c r="L193" s="312"/>
      <c r="M193" s="312"/>
    </row>
    <row r="194" spans="1:13" s="47" customFormat="1" ht="30" customHeight="1" x14ac:dyDescent="0.3">
      <c r="A194" s="313"/>
      <c r="B194" s="313"/>
      <c r="C194" s="313"/>
      <c r="D194" s="313"/>
      <c r="E194" s="308"/>
      <c r="F194" s="308"/>
      <c r="G194" s="308"/>
      <c r="H194" s="307"/>
      <c r="I194" s="307"/>
      <c r="J194" s="307"/>
      <c r="K194" s="307"/>
      <c r="L194" s="307"/>
      <c r="M194" s="307"/>
    </row>
    <row r="195" spans="1:13" s="47" customFormat="1" ht="30" customHeight="1" x14ac:dyDescent="0.3">
      <c r="A195" s="313"/>
      <c r="B195" s="313"/>
      <c r="C195" s="313"/>
      <c r="D195" s="313"/>
      <c r="E195" s="308"/>
      <c r="F195" s="308"/>
      <c r="G195" s="308"/>
      <c r="H195" s="307"/>
      <c r="I195" s="307"/>
      <c r="J195" s="307"/>
      <c r="K195" s="307"/>
      <c r="L195" s="307"/>
      <c r="M195" s="307"/>
    </row>
    <row r="196" spans="1:13" s="52" customFormat="1" x14ac:dyDescent="0.3">
      <c r="A196" s="313"/>
      <c r="B196" s="313"/>
      <c r="C196" s="313"/>
      <c r="D196" s="313"/>
      <c r="E196" s="308"/>
      <c r="F196" s="308"/>
      <c r="G196" s="308"/>
      <c r="H196" s="308"/>
      <c r="I196" s="308"/>
      <c r="J196" s="308"/>
      <c r="K196" s="308"/>
      <c r="L196" s="308"/>
      <c r="M196" s="308"/>
    </row>
    <row r="197" spans="1:13" s="52" customFormat="1" x14ac:dyDescent="0.3">
      <c r="A197" s="313"/>
      <c r="B197" s="313"/>
      <c r="C197" s="313"/>
      <c r="D197" s="313"/>
      <c r="E197" s="308"/>
      <c r="F197" s="308"/>
      <c r="G197" s="308"/>
      <c r="H197" s="308"/>
      <c r="I197" s="308"/>
      <c r="J197" s="308"/>
      <c r="K197" s="308"/>
      <c r="L197" s="308"/>
      <c r="M197" s="308"/>
    </row>
    <row r="198" spans="1:13" s="52" customFormat="1" x14ac:dyDescent="0.3">
      <c r="A198" s="313"/>
      <c r="B198" s="313"/>
      <c r="C198" s="313"/>
      <c r="D198" s="313"/>
      <c r="E198" s="308"/>
      <c r="F198" s="308"/>
      <c r="G198" s="308"/>
      <c r="H198" s="308"/>
      <c r="I198" s="308"/>
      <c r="J198" s="308"/>
      <c r="K198" s="308"/>
      <c r="L198" s="308"/>
      <c r="M198" s="308"/>
    </row>
    <row r="199" spans="1:13" s="52" customFormat="1" x14ac:dyDescent="0.3">
      <c r="A199" s="313"/>
      <c r="B199" s="313"/>
      <c r="C199" s="313"/>
      <c r="D199" s="313"/>
      <c r="E199" s="308"/>
      <c r="F199" s="308"/>
      <c r="G199" s="308"/>
      <c r="H199" s="308"/>
      <c r="I199" s="308"/>
      <c r="J199" s="308"/>
      <c r="K199" s="308"/>
      <c r="L199" s="308"/>
      <c r="M199" s="308"/>
    </row>
    <row r="200" spans="1:13" s="52" customFormat="1" x14ac:dyDescent="0.3">
      <c r="A200" s="313"/>
      <c r="B200" s="313"/>
      <c r="C200" s="313"/>
      <c r="D200" s="313"/>
      <c r="E200" s="308"/>
      <c r="F200" s="308"/>
      <c r="G200" s="308"/>
      <c r="H200" s="308"/>
      <c r="I200" s="308"/>
      <c r="J200" s="308"/>
      <c r="K200" s="308"/>
      <c r="L200" s="308"/>
      <c r="M200" s="308"/>
    </row>
    <row r="201" spans="1:13" s="52" customFormat="1" x14ac:dyDescent="0.3">
      <c r="A201" s="313"/>
      <c r="B201" s="313"/>
      <c r="C201" s="313"/>
      <c r="D201" s="313"/>
      <c r="E201" s="308"/>
      <c r="F201" s="308"/>
      <c r="G201" s="308"/>
      <c r="H201" s="308"/>
      <c r="I201" s="308"/>
      <c r="J201" s="308"/>
      <c r="K201" s="308"/>
      <c r="L201" s="308"/>
      <c r="M201" s="308"/>
    </row>
    <row r="202" spans="1:13" s="52" customFormat="1" x14ac:dyDescent="0.3">
      <c r="A202" s="313"/>
      <c r="B202" s="313"/>
      <c r="C202" s="313"/>
      <c r="D202" s="313"/>
      <c r="E202" s="308"/>
      <c r="F202" s="308"/>
      <c r="G202" s="308"/>
      <c r="H202" s="308"/>
      <c r="I202" s="308"/>
      <c r="J202" s="308"/>
      <c r="K202" s="308"/>
      <c r="L202" s="308"/>
      <c r="M202" s="308"/>
    </row>
    <row r="203" spans="1:13" s="52" customFormat="1" x14ac:dyDescent="0.3">
      <c r="A203" s="313"/>
      <c r="B203" s="313"/>
      <c r="C203" s="313"/>
      <c r="D203" s="313"/>
      <c r="E203" s="308"/>
      <c r="F203" s="308"/>
      <c r="G203" s="312"/>
      <c r="H203" s="308"/>
      <c r="I203" s="308"/>
      <c r="J203" s="308"/>
      <c r="K203" s="308"/>
      <c r="L203" s="308"/>
      <c r="M203" s="308"/>
    </row>
    <row r="204" spans="1:13" s="52" customFormat="1" x14ac:dyDescent="0.3">
      <c r="A204" s="313"/>
      <c r="B204" s="313"/>
      <c r="C204" s="313"/>
      <c r="D204" s="313"/>
      <c r="E204" s="308"/>
      <c r="F204" s="308"/>
      <c r="G204" s="308"/>
      <c r="H204" s="308"/>
      <c r="I204" s="308"/>
      <c r="J204" s="308"/>
      <c r="K204" s="308"/>
      <c r="L204" s="308"/>
      <c r="M204" s="308"/>
    </row>
    <row r="205" spans="1:13" s="59" customFormat="1" x14ac:dyDescent="0.3">
      <c r="A205" s="313"/>
      <c r="B205" s="313"/>
      <c r="C205" s="313"/>
      <c r="D205" s="313"/>
      <c r="E205" s="308"/>
      <c r="F205" s="308"/>
      <c r="G205" s="308"/>
      <c r="H205" s="312"/>
      <c r="I205" s="312"/>
      <c r="J205" s="312"/>
      <c r="K205" s="312"/>
      <c r="L205" s="312"/>
      <c r="M205" s="312"/>
    </row>
    <row r="206" spans="1:13" s="47" customFormat="1" ht="30" customHeight="1" thickBot="1" x14ac:dyDescent="0.35">
      <c r="A206" s="313"/>
      <c r="B206" s="313"/>
      <c r="C206" s="313"/>
      <c r="D206" s="313"/>
      <c r="E206" s="308"/>
      <c r="F206" s="308"/>
      <c r="G206" s="308"/>
      <c r="H206" s="307"/>
      <c r="I206" s="307"/>
      <c r="J206" s="307"/>
      <c r="K206" s="307"/>
      <c r="L206" s="307"/>
      <c r="M206" s="307"/>
    </row>
    <row r="207" spans="1:13" s="47" customFormat="1" ht="30" customHeight="1" x14ac:dyDescent="0.3">
      <c r="A207" s="313"/>
      <c r="B207" s="313"/>
      <c r="C207" s="313"/>
      <c r="D207" s="313"/>
      <c r="E207" s="308"/>
      <c r="F207" s="308"/>
      <c r="G207" s="308"/>
      <c r="H207" s="314"/>
      <c r="I207" s="307"/>
      <c r="J207" s="307"/>
      <c r="K207" s="307"/>
      <c r="L207" s="307"/>
      <c r="M207" s="307"/>
    </row>
    <row r="208" spans="1:13" s="52" customFormat="1" x14ac:dyDescent="0.3">
      <c r="A208" s="313"/>
      <c r="B208" s="313"/>
      <c r="C208" s="313"/>
      <c r="D208" s="313"/>
      <c r="E208" s="308"/>
      <c r="F208" s="308"/>
      <c r="G208" s="308"/>
      <c r="H208" s="315"/>
      <c r="I208" s="308"/>
      <c r="J208" s="308"/>
      <c r="K208" s="308"/>
      <c r="L208" s="308"/>
      <c r="M208" s="308"/>
    </row>
    <row r="209" spans="1:13" s="52" customFormat="1" x14ac:dyDescent="0.3">
      <c r="A209" s="313"/>
      <c r="B209" s="313"/>
      <c r="C209" s="313"/>
      <c r="D209" s="313"/>
      <c r="E209" s="308"/>
      <c r="F209" s="308"/>
      <c r="G209" s="308"/>
      <c r="H209" s="315"/>
      <c r="I209" s="308"/>
      <c r="J209" s="308"/>
      <c r="K209" s="308"/>
      <c r="L209" s="308"/>
      <c r="M209" s="308"/>
    </row>
    <row r="210" spans="1:13" s="52" customFormat="1" ht="15" thickBot="1" x14ac:dyDescent="0.35">
      <c r="A210" s="313"/>
      <c r="B210" s="313"/>
      <c r="C210" s="313"/>
      <c r="D210" s="313"/>
      <c r="E210" s="308"/>
      <c r="F210" s="308"/>
      <c r="G210" s="308"/>
      <c r="H210" s="316"/>
      <c r="I210" s="308"/>
      <c r="J210" s="308"/>
      <c r="K210" s="308"/>
      <c r="L210" s="308"/>
      <c r="M210" s="308"/>
    </row>
    <row r="211" spans="1:13" s="52" customFormat="1" x14ac:dyDescent="0.3">
      <c r="A211" s="313"/>
      <c r="B211" s="313"/>
      <c r="C211" s="313"/>
      <c r="D211" s="313"/>
      <c r="E211" s="308"/>
      <c r="F211" s="308"/>
      <c r="G211" s="308"/>
      <c r="H211" s="308"/>
      <c r="I211" s="308"/>
      <c r="J211" s="308"/>
      <c r="K211" s="308"/>
      <c r="L211" s="308"/>
      <c r="M211" s="308"/>
    </row>
    <row r="212" spans="1:13" s="52" customFormat="1" x14ac:dyDescent="0.3">
      <c r="A212" s="313"/>
      <c r="B212" s="313"/>
      <c r="C212" s="313"/>
      <c r="D212" s="313"/>
      <c r="E212" s="308"/>
      <c r="F212" s="308"/>
      <c r="G212" s="308"/>
      <c r="H212" s="308"/>
      <c r="I212" s="308"/>
      <c r="J212" s="308"/>
      <c r="K212" s="308"/>
      <c r="L212" s="308"/>
      <c r="M212" s="308"/>
    </row>
    <row r="213" spans="1:13" s="52" customFormat="1" x14ac:dyDescent="0.3">
      <c r="A213" s="313"/>
      <c r="B213" s="313"/>
      <c r="C213" s="313"/>
      <c r="D213" s="313"/>
      <c r="E213" s="308"/>
      <c r="F213" s="308"/>
      <c r="G213" s="308"/>
      <c r="H213" s="308"/>
      <c r="I213" s="308"/>
      <c r="J213" s="308"/>
      <c r="K213" s="308"/>
      <c r="L213" s="308"/>
      <c r="M213" s="308"/>
    </row>
    <row r="214" spans="1:13" s="52" customFormat="1" x14ac:dyDescent="0.3">
      <c r="A214" s="313"/>
      <c r="B214" s="313"/>
      <c r="C214" s="313"/>
      <c r="D214" s="313"/>
      <c r="E214" s="308"/>
      <c r="F214" s="308"/>
      <c r="G214" s="308"/>
      <c r="H214" s="308"/>
      <c r="I214" s="308"/>
      <c r="J214" s="308"/>
      <c r="K214" s="308"/>
      <c r="L214" s="308"/>
      <c r="M214" s="308"/>
    </row>
    <row r="215" spans="1:13" s="52" customFormat="1" x14ac:dyDescent="0.3">
      <c r="A215" s="313"/>
      <c r="B215" s="313"/>
      <c r="C215" s="313"/>
      <c r="D215" s="313"/>
      <c r="E215" s="308"/>
      <c r="F215" s="308"/>
      <c r="G215" s="308"/>
      <c r="H215" s="308"/>
      <c r="I215" s="308"/>
      <c r="J215" s="308"/>
      <c r="K215" s="308"/>
      <c r="L215" s="308"/>
      <c r="M215" s="308"/>
    </row>
    <row r="216" spans="1:13" s="52" customFormat="1" x14ac:dyDescent="0.3">
      <c r="A216" s="313"/>
      <c r="B216" s="313"/>
      <c r="C216" s="313"/>
      <c r="D216" s="313"/>
      <c r="E216" s="308"/>
      <c r="F216" s="308"/>
      <c r="G216" s="308"/>
      <c r="H216" s="308"/>
      <c r="I216" s="308"/>
      <c r="J216" s="308"/>
      <c r="K216" s="308"/>
      <c r="L216" s="308"/>
      <c r="M216" s="308"/>
    </row>
    <row r="217" spans="1:13" s="59" customFormat="1" x14ac:dyDescent="0.3">
      <c r="A217" s="313"/>
      <c r="B217" s="313"/>
      <c r="C217" s="313"/>
      <c r="D217" s="313"/>
      <c r="E217" s="308"/>
      <c r="F217" s="308"/>
      <c r="G217" s="308"/>
      <c r="H217" s="312"/>
      <c r="I217" s="312"/>
      <c r="J217" s="312"/>
      <c r="K217" s="312"/>
      <c r="L217" s="312"/>
      <c r="M217" s="312"/>
    </row>
    <row r="218" spans="1:13" s="47" customFormat="1" ht="30" customHeight="1" thickBot="1" x14ac:dyDescent="0.35">
      <c r="A218" s="313"/>
      <c r="B218" s="313"/>
      <c r="C218" s="313"/>
      <c r="D218" s="313"/>
      <c r="E218" s="308"/>
      <c r="F218" s="308"/>
      <c r="G218" s="308"/>
      <c r="H218" s="307"/>
      <c r="I218" s="317"/>
      <c r="J218" s="307"/>
      <c r="K218" s="307"/>
      <c r="L218" s="307"/>
      <c r="M218" s="307"/>
    </row>
    <row r="219" spans="1:13" s="47" customFormat="1" ht="30" customHeight="1" x14ac:dyDescent="0.3">
      <c r="A219" s="313"/>
      <c r="B219" s="313"/>
      <c r="C219" s="313"/>
      <c r="D219" s="313"/>
      <c r="E219" s="308"/>
      <c r="F219" s="308"/>
      <c r="G219" s="308"/>
      <c r="H219" s="318"/>
      <c r="I219" s="307"/>
      <c r="J219" s="307"/>
      <c r="K219" s="307"/>
      <c r="L219" s="307"/>
      <c r="M219" s="307"/>
    </row>
    <row r="220" spans="1:13" s="52" customFormat="1" x14ac:dyDescent="0.3">
      <c r="A220" s="313"/>
      <c r="B220" s="313"/>
      <c r="C220" s="313"/>
      <c r="D220" s="313"/>
      <c r="E220" s="308"/>
      <c r="F220" s="308"/>
      <c r="G220" s="308"/>
      <c r="H220" s="319"/>
      <c r="I220" s="308"/>
      <c r="J220" s="308"/>
      <c r="K220" s="308"/>
      <c r="L220" s="308"/>
      <c r="M220" s="308"/>
    </row>
    <row r="221" spans="1:13" s="52" customFormat="1" x14ac:dyDescent="0.3">
      <c r="A221" s="313"/>
      <c r="B221" s="313"/>
      <c r="C221" s="313"/>
      <c r="D221" s="313"/>
      <c r="E221" s="308"/>
      <c r="F221" s="308"/>
      <c r="G221" s="308"/>
      <c r="H221" s="319"/>
      <c r="I221" s="308"/>
      <c r="J221" s="308"/>
      <c r="K221" s="308"/>
      <c r="L221" s="308"/>
      <c r="M221" s="308"/>
    </row>
    <row r="222" spans="1:13" s="52" customFormat="1" ht="15" thickBot="1" x14ac:dyDescent="0.35">
      <c r="A222" s="313"/>
      <c r="B222" s="313"/>
      <c r="C222" s="313"/>
      <c r="D222" s="313"/>
      <c r="E222" s="308"/>
      <c r="F222" s="308"/>
      <c r="G222" s="308"/>
      <c r="H222" s="320"/>
      <c r="I222" s="308"/>
      <c r="J222" s="308"/>
      <c r="K222" s="308"/>
      <c r="L222" s="308"/>
      <c r="M222" s="308"/>
    </row>
    <row r="223" spans="1:13" s="52" customFormat="1" x14ac:dyDescent="0.3">
      <c r="A223" s="313"/>
      <c r="B223" s="313"/>
      <c r="C223" s="313"/>
      <c r="D223" s="313"/>
      <c r="E223" s="308"/>
      <c r="F223" s="308"/>
      <c r="G223" s="308"/>
      <c r="H223" s="308"/>
      <c r="I223" s="308"/>
      <c r="J223" s="308"/>
      <c r="K223" s="308"/>
      <c r="L223" s="308"/>
      <c r="M223" s="308"/>
    </row>
    <row r="224" spans="1:13" s="52" customFormat="1" x14ac:dyDescent="0.3">
      <c r="A224" s="313"/>
      <c r="B224" s="313"/>
      <c r="C224" s="313"/>
      <c r="D224" s="313"/>
      <c r="E224" s="308"/>
      <c r="F224" s="308"/>
      <c r="G224" s="308"/>
      <c r="H224" s="308"/>
      <c r="I224" s="308"/>
      <c r="J224" s="308"/>
      <c r="K224" s="308"/>
      <c r="L224" s="308"/>
      <c r="M224" s="308"/>
    </row>
    <row r="225" spans="1:13" s="52" customFormat="1" x14ac:dyDescent="0.3">
      <c r="A225" s="313"/>
      <c r="B225" s="313"/>
      <c r="C225" s="313"/>
      <c r="D225" s="313"/>
      <c r="E225" s="308"/>
      <c r="F225" s="308"/>
      <c r="G225" s="308"/>
      <c r="H225" s="308"/>
      <c r="I225" s="308"/>
      <c r="J225" s="308"/>
      <c r="K225" s="308"/>
      <c r="L225" s="308"/>
      <c r="M225" s="308"/>
    </row>
    <row r="226" spans="1:13" s="52" customFormat="1" x14ac:dyDescent="0.3">
      <c r="A226" s="313"/>
      <c r="B226" s="313"/>
      <c r="C226" s="313"/>
      <c r="D226" s="313"/>
      <c r="E226" s="308"/>
      <c r="F226" s="308"/>
      <c r="G226" s="308"/>
      <c r="H226" s="308"/>
      <c r="I226" s="308"/>
      <c r="J226" s="308"/>
      <c r="K226" s="308"/>
      <c r="L226" s="308"/>
      <c r="M226" s="308"/>
    </row>
    <row r="227" spans="1:13" s="52" customFormat="1" ht="18.75" customHeight="1" thickBot="1" x14ac:dyDescent="0.35">
      <c r="A227" s="313"/>
      <c r="B227" s="313"/>
      <c r="C227" s="313"/>
      <c r="D227" s="313"/>
      <c r="E227" s="308"/>
      <c r="F227" s="308"/>
      <c r="G227" s="308"/>
      <c r="H227" s="307"/>
      <c r="I227" s="308"/>
      <c r="J227" s="308"/>
      <c r="K227" s="308"/>
      <c r="L227" s="308"/>
      <c r="M227" s="308"/>
    </row>
    <row r="228" spans="1:13" s="52" customFormat="1" ht="64.5" customHeight="1" x14ac:dyDescent="0.3">
      <c r="A228" s="313"/>
      <c r="B228" s="313"/>
      <c r="C228" s="313"/>
      <c r="D228" s="313"/>
      <c r="E228" s="308"/>
      <c r="F228" s="308"/>
      <c r="G228" s="308"/>
      <c r="H228" s="314"/>
      <c r="I228" s="308"/>
      <c r="J228" s="308"/>
      <c r="K228" s="308"/>
      <c r="L228" s="308"/>
      <c r="M228" s="308"/>
    </row>
    <row r="229" spans="1:13" s="59" customFormat="1" x14ac:dyDescent="0.3">
      <c r="A229" s="313"/>
      <c r="B229" s="313"/>
      <c r="C229" s="313"/>
      <c r="D229" s="313"/>
      <c r="E229" s="308"/>
      <c r="F229" s="308"/>
      <c r="G229" s="308"/>
      <c r="H229" s="315"/>
      <c r="I229" s="312"/>
      <c r="J229" s="312"/>
      <c r="K229" s="312"/>
      <c r="L229" s="312"/>
      <c r="M229" s="312"/>
    </row>
    <row r="230" spans="1:13" s="47" customFormat="1" ht="30" customHeight="1" x14ac:dyDescent="0.3">
      <c r="A230" s="313"/>
      <c r="B230" s="313"/>
      <c r="C230" s="313"/>
      <c r="D230" s="313"/>
      <c r="E230" s="308"/>
      <c r="F230" s="308"/>
      <c r="G230" s="308"/>
      <c r="H230" s="315"/>
      <c r="I230" s="307"/>
      <c r="J230" s="307"/>
      <c r="K230" s="307"/>
      <c r="L230" s="307"/>
      <c r="M230" s="307"/>
    </row>
    <row r="231" spans="1:13" s="47" customFormat="1" ht="30" customHeight="1" thickBot="1" x14ac:dyDescent="0.35">
      <c r="A231" s="313"/>
      <c r="B231" s="313"/>
      <c r="C231" s="313"/>
      <c r="D231" s="313"/>
      <c r="E231" s="308"/>
      <c r="F231" s="308"/>
      <c r="G231" s="308"/>
      <c r="H231" s="316"/>
      <c r="I231" s="307"/>
      <c r="J231" s="307"/>
      <c r="K231" s="307"/>
      <c r="L231" s="307"/>
      <c r="M231" s="307"/>
    </row>
    <row r="232" spans="1:13" s="52" customFormat="1" x14ac:dyDescent="0.3">
      <c r="A232" s="313"/>
      <c r="B232" s="313"/>
      <c r="C232" s="313"/>
      <c r="D232" s="313"/>
      <c r="E232" s="308"/>
      <c r="F232" s="308"/>
      <c r="G232" s="308"/>
      <c r="H232" s="308"/>
      <c r="I232" s="308"/>
      <c r="J232" s="308"/>
      <c r="K232" s="308"/>
      <c r="L232" s="308"/>
      <c r="M232" s="308"/>
    </row>
    <row r="233" spans="1:13" s="52" customFormat="1" x14ac:dyDescent="0.3">
      <c r="A233" s="313"/>
      <c r="B233" s="313"/>
      <c r="C233" s="313"/>
      <c r="D233" s="313"/>
      <c r="E233" s="308"/>
      <c r="F233" s="308"/>
      <c r="G233" s="308"/>
      <c r="H233" s="308"/>
      <c r="I233" s="308"/>
      <c r="J233" s="308"/>
      <c r="K233" s="308"/>
      <c r="L233" s="308"/>
      <c r="M233" s="308"/>
    </row>
    <row r="234" spans="1:13" s="52" customFormat="1" x14ac:dyDescent="0.3">
      <c r="A234" s="313"/>
      <c r="B234" s="313"/>
      <c r="C234" s="313"/>
      <c r="D234" s="313"/>
      <c r="E234" s="308"/>
      <c r="F234" s="308"/>
      <c r="G234" s="308"/>
      <c r="H234" s="308"/>
      <c r="I234" s="308"/>
      <c r="J234" s="308"/>
      <c r="K234" s="308"/>
      <c r="L234" s="308"/>
      <c r="M234" s="308"/>
    </row>
    <row r="235" spans="1:13" s="52" customFormat="1" x14ac:dyDescent="0.3">
      <c r="A235" s="313"/>
      <c r="B235" s="313"/>
      <c r="C235" s="313"/>
      <c r="D235" s="313"/>
      <c r="E235" s="308"/>
      <c r="F235" s="308"/>
      <c r="G235" s="308"/>
      <c r="H235" s="308"/>
      <c r="I235" s="308"/>
      <c r="J235" s="308"/>
      <c r="K235" s="308"/>
      <c r="L235" s="308"/>
      <c r="M235" s="308"/>
    </row>
    <row r="236" spans="1:13" s="52" customFormat="1" x14ac:dyDescent="0.3">
      <c r="A236" s="313"/>
      <c r="B236" s="313"/>
      <c r="C236" s="313"/>
      <c r="D236" s="313"/>
      <c r="E236" s="308"/>
      <c r="F236" s="308"/>
      <c r="G236" s="308"/>
      <c r="H236" s="308"/>
      <c r="I236" s="308"/>
      <c r="J236" s="308"/>
      <c r="K236" s="308"/>
      <c r="L236" s="308"/>
      <c r="M236" s="308"/>
    </row>
    <row r="237" spans="1:13" s="52" customFormat="1" x14ac:dyDescent="0.3">
      <c r="A237" s="313"/>
      <c r="B237" s="313"/>
      <c r="C237" s="313"/>
      <c r="D237" s="313"/>
      <c r="E237" s="308"/>
      <c r="F237" s="308"/>
      <c r="G237" s="308"/>
      <c r="H237" s="308"/>
      <c r="I237" s="308"/>
      <c r="J237" s="308"/>
      <c r="K237" s="308"/>
      <c r="L237" s="308"/>
      <c r="M237" s="308"/>
    </row>
    <row r="238" spans="1:13" s="52" customFormat="1" x14ac:dyDescent="0.3">
      <c r="A238" s="313"/>
      <c r="B238" s="313"/>
      <c r="C238" s="313"/>
      <c r="D238" s="313"/>
      <c r="E238" s="308"/>
      <c r="F238" s="308"/>
      <c r="G238" s="308"/>
      <c r="H238" s="308"/>
      <c r="I238" s="308"/>
      <c r="J238" s="308"/>
      <c r="K238" s="308"/>
      <c r="L238" s="308"/>
      <c r="M238" s="308"/>
    </row>
    <row r="239" spans="1:13" s="52" customFormat="1" x14ac:dyDescent="0.3">
      <c r="A239" s="313"/>
      <c r="B239" s="313"/>
      <c r="C239" s="313"/>
      <c r="D239" s="313"/>
      <c r="E239" s="308"/>
      <c r="F239" s="308"/>
      <c r="G239" s="308"/>
      <c r="H239" s="308"/>
      <c r="I239" s="308"/>
      <c r="J239" s="308"/>
      <c r="K239" s="308"/>
      <c r="L239" s="308"/>
      <c r="M239" s="308"/>
    </row>
    <row r="240" spans="1:13" s="52" customFormat="1" x14ac:dyDescent="0.3">
      <c r="A240" s="313"/>
      <c r="B240" s="313"/>
      <c r="C240" s="313"/>
      <c r="D240" s="313"/>
      <c r="E240" s="308"/>
      <c r="F240" s="308"/>
      <c r="G240" s="308"/>
      <c r="H240" s="308"/>
      <c r="I240" s="308"/>
      <c r="J240" s="308"/>
      <c r="K240" s="308"/>
      <c r="L240" s="308"/>
      <c r="M240" s="308"/>
    </row>
    <row r="241" spans="1:13" s="59" customFormat="1" x14ac:dyDescent="0.3">
      <c r="A241" s="313"/>
      <c r="B241" s="313"/>
      <c r="C241" s="313"/>
      <c r="D241" s="313"/>
      <c r="E241" s="308"/>
      <c r="F241" s="308"/>
      <c r="G241" s="308"/>
      <c r="H241" s="312"/>
      <c r="I241" s="312"/>
      <c r="J241" s="312"/>
      <c r="K241" s="312"/>
      <c r="L241" s="312"/>
      <c r="M241" s="312"/>
    </row>
    <row r="242" spans="1:13" s="47" customFormat="1" ht="30" customHeight="1" x14ac:dyDescent="0.3">
      <c r="A242" s="313"/>
      <c r="B242" s="313"/>
      <c r="C242" s="313"/>
      <c r="D242" s="313"/>
      <c r="E242" s="308"/>
      <c r="F242" s="308"/>
      <c r="G242" s="308"/>
      <c r="H242" s="308"/>
      <c r="I242" s="307"/>
      <c r="J242" s="307"/>
      <c r="K242" s="307"/>
      <c r="L242" s="307"/>
      <c r="M242" s="307"/>
    </row>
    <row r="243" spans="1:13" s="47" customFormat="1" ht="30" customHeight="1" x14ac:dyDescent="0.3">
      <c r="A243" s="313"/>
      <c r="B243" s="313"/>
      <c r="C243" s="313"/>
      <c r="D243" s="313"/>
      <c r="E243" s="308"/>
      <c r="F243" s="308"/>
      <c r="G243" s="308"/>
      <c r="H243" s="308"/>
      <c r="I243" s="307"/>
      <c r="J243" s="307"/>
      <c r="K243" s="307"/>
      <c r="L243" s="307"/>
      <c r="M243" s="307"/>
    </row>
    <row r="244" spans="1:13" s="52" customFormat="1" x14ac:dyDescent="0.3">
      <c r="A244" s="313"/>
      <c r="B244" s="313"/>
      <c r="C244" s="313"/>
      <c r="D244" s="313"/>
      <c r="E244" s="308"/>
      <c r="F244" s="308"/>
      <c r="G244" s="308"/>
      <c r="H244" s="308"/>
      <c r="I244" s="308"/>
      <c r="J244" s="308"/>
      <c r="K244" s="308"/>
      <c r="L244" s="308"/>
      <c r="M244" s="308"/>
    </row>
    <row r="245" spans="1:13" s="52" customFormat="1" x14ac:dyDescent="0.3">
      <c r="A245" s="313"/>
      <c r="B245" s="313"/>
      <c r="C245" s="313"/>
      <c r="D245" s="313"/>
      <c r="E245" s="308"/>
      <c r="F245" s="308"/>
      <c r="G245" s="308"/>
      <c r="H245" s="308"/>
      <c r="I245" s="308"/>
      <c r="J245" s="308"/>
      <c r="K245" s="308"/>
      <c r="L245" s="308"/>
      <c r="M245" s="308"/>
    </row>
    <row r="246" spans="1:13" s="52" customFormat="1" x14ac:dyDescent="0.3">
      <c r="A246" s="313"/>
      <c r="B246" s="313"/>
      <c r="C246" s="313"/>
      <c r="D246" s="313"/>
      <c r="E246" s="308"/>
      <c r="F246" s="308"/>
      <c r="G246" s="308"/>
      <c r="H246" s="308"/>
      <c r="I246" s="308"/>
      <c r="J246" s="308"/>
      <c r="K246" s="308"/>
      <c r="L246" s="308"/>
      <c r="M246" s="308"/>
    </row>
    <row r="247" spans="1:13" s="52" customFormat="1" x14ac:dyDescent="0.3">
      <c r="A247" s="313"/>
      <c r="B247" s="313"/>
      <c r="C247" s="313"/>
      <c r="D247" s="313"/>
      <c r="E247" s="308"/>
      <c r="F247" s="308"/>
      <c r="G247" s="308"/>
      <c r="H247" s="308"/>
      <c r="I247" s="308"/>
      <c r="J247" s="308"/>
      <c r="K247" s="308"/>
      <c r="L247" s="308"/>
      <c r="M247" s="308"/>
    </row>
    <row r="248" spans="1:13" s="52" customFormat="1" x14ac:dyDescent="0.3">
      <c r="A248" s="313"/>
      <c r="B248" s="313"/>
      <c r="C248" s="313"/>
      <c r="D248" s="313"/>
      <c r="E248" s="308"/>
      <c r="F248" s="308"/>
      <c r="G248" s="308"/>
      <c r="H248" s="308"/>
      <c r="I248" s="308"/>
      <c r="J248" s="308"/>
      <c r="K248" s="308"/>
      <c r="L248" s="308"/>
      <c r="M248" s="308"/>
    </row>
    <row r="249" spans="1:13" s="52" customFormat="1" x14ac:dyDescent="0.3">
      <c r="A249" s="313"/>
      <c r="B249" s="313"/>
      <c r="C249" s="313"/>
      <c r="D249" s="313"/>
      <c r="E249" s="308"/>
      <c r="F249" s="308"/>
      <c r="G249" s="308"/>
      <c r="H249" s="308"/>
      <c r="I249" s="308"/>
      <c r="J249" s="308"/>
      <c r="K249" s="308"/>
      <c r="L249" s="308"/>
      <c r="M249" s="308"/>
    </row>
    <row r="250" spans="1:13" s="52" customFormat="1" x14ac:dyDescent="0.3">
      <c r="A250" s="313"/>
      <c r="B250" s="313"/>
      <c r="C250" s="313"/>
      <c r="D250" s="313"/>
      <c r="E250" s="308"/>
      <c r="F250" s="308"/>
      <c r="G250" s="308"/>
      <c r="H250" s="308"/>
      <c r="I250" s="308"/>
      <c r="J250" s="308"/>
      <c r="K250" s="308"/>
      <c r="L250" s="308"/>
      <c r="M250" s="308"/>
    </row>
    <row r="251" spans="1:13" s="52" customFormat="1" x14ac:dyDescent="0.3">
      <c r="A251" s="313"/>
      <c r="B251" s="313"/>
      <c r="C251" s="313"/>
      <c r="D251" s="313"/>
      <c r="E251" s="308"/>
      <c r="F251" s="308"/>
      <c r="G251" s="308"/>
      <c r="H251" s="308"/>
      <c r="I251" s="308"/>
      <c r="J251" s="308"/>
      <c r="K251" s="308"/>
      <c r="L251" s="308"/>
      <c r="M251" s="308"/>
    </row>
    <row r="252" spans="1:13" s="52" customFormat="1" x14ac:dyDescent="0.3">
      <c r="A252" s="313"/>
      <c r="B252" s="313"/>
      <c r="C252" s="313"/>
      <c r="D252" s="313"/>
      <c r="E252" s="308"/>
      <c r="F252" s="308"/>
      <c r="G252" s="308"/>
      <c r="H252" s="308"/>
      <c r="I252" s="308"/>
      <c r="J252" s="308"/>
      <c r="K252" s="308"/>
      <c r="L252" s="308"/>
      <c r="M252" s="308"/>
    </row>
    <row r="253" spans="1:13" s="59" customFormat="1" x14ac:dyDescent="0.3">
      <c r="A253" s="313"/>
      <c r="B253" s="313"/>
      <c r="C253" s="313"/>
      <c r="D253" s="313"/>
      <c r="E253" s="308"/>
      <c r="F253" s="308"/>
      <c r="G253" s="308"/>
      <c r="H253" s="308"/>
      <c r="I253" s="312"/>
      <c r="J253" s="312"/>
      <c r="K253" s="312"/>
      <c r="L253" s="312"/>
      <c r="M253" s="312"/>
    </row>
    <row r="254" spans="1:13" s="47" customFormat="1" ht="30" customHeight="1" x14ac:dyDescent="0.3">
      <c r="A254" s="313"/>
      <c r="B254" s="313"/>
      <c r="C254" s="313"/>
      <c r="D254" s="313"/>
      <c r="E254" s="308"/>
      <c r="F254" s="308"/>
      <c r="G254" s="308"/>
      <c r="H254" s="308"/>
      <c r="I254" s="307"/>
      <c r="J254" s="307"/>
      <c r="K254" s="307"/>
      <c r="L254" s="307"/>
      <c r="M254" s="307"/>
    </row>
    <row r="255" spans="1:13" s="47" customFormat="1" ht="30" customHeight="1" x14ac:dyDescent="0.3">
      <c r="A255" s="313"/>
      <c r="B255" s="313"/>
      <c r="C255" s="313"/>
      <c r="D255" s="313"/>
      <c r="E255" s="308"/>
      <c r="F255" s="308"/>
      <c r="G255" s="308"/>
      <c r="H255" s="308"/>
      <c r="I255" s="307"/>
      <c r="J255" s="307"/>
      <c r="K255" s="307"/>
      <c r="L255" s="307"/>
      <c r="M255" s="307"/>
    </row>
    <row r="256" spans="1:13" s="52" customFormat="1" x14ac:dyDescent="0.3">
      <c r="A256" s="313"/>
      <c r="B256" s="313"/>
      <c r="C256" s="313"/>
      <c r="D256" s="313"/>
      <c r="E256" s="308"/>
      <c r="F256" s="308"/>
      <c r="G256" s="308"/>
      <c r="H256" s="308"/>
      <c r="I256" s="308"/>
      <c r="J256" s="308"/>
      <c r="K256" s="308"/>
      <c r="L256" s="308"/>
      <c r="M256" s="308"/>
    </row>
    <row r="257" spans="1:13" s="52" customFormat="1" x14ac:dyDescent="0.3">
      <c r="A257" s="313"/>
      <c r="B257" s="313"/>
      <c r="C257" s="313"/>
      <c r="D257" s="313"/>
      <c r="E257" s="308"/>
      <c r="F257" s="308"/>
      <c r="G257" s="308"/>
      <c r="H257" s="308"/>
      <c r="I257" s="308"/>
      <c r="J257" s="308"/>
      <c r="K257" s="308"/>
      <c r="L257" s="308"/>
      <c r="M257" s="308"/>
    </row>
    <row r="258" spans="1:13" s="52" customFormat="1" x14ac:dyDescent="0.3">
      <c r="A258" s="313"/>
      <c r="B258" s="313"/>
      <c r="C258" s="313"/>
      <c r="D258" s="313"/>
      <c r="E258" s="308"/>
      <c r="F258" s="308"/>
      <c r="G258" s="308"/>
      <c r="H258" s="308"/>
      <c r="I258" s="308"/>
      <c r="J258" s="308"/>
      <c r="K258" s="308"/>
      <c r="L258" s="308"/>
      <c r="M258" s="308"/>
    </row>
    <row r="259" spans="1:13" s="52" customFormat="1" x14ac:dyDescent="0.3">
      <c r="A259" s="313"/>
      <c r="B259" s="313"/>
      <c r="C259" s="313"/>
      <c r="D259" s="313"/>
      <c r="E259" s="308"/>
      <c r="F259" s="308"/>
      <c r="G259" s="308"/>
      <c r="H259" s="308"/>
      <c r="I259" s="308"/>
      <c r="J259" s="308"/>
      <c r="K259" s="308"/>
      <c r="L259" s="308"/>
      <c r="M259" s="308"/>
    </row>
    <row r="260" spans="1:13" s="52" customFormat="1" x14ac:dyDescent="0.3">
      <c r="A260" s="313"/>
      <c r="B260" s="313"/>
      <c r="C260" s="313"/>
      <c r="D260" s="313"/>
      <c r="E260" s="308"/>
      <c r="F260" s="308"/>
      <c r="G260" s="308"/>
      <c r="H260" s="308"/>
      <c r="I260" s="308"/>
      <c r="J260" s="308"/>
      <c r="K260" s="308"/>
      <c r="L260" s="308"/>
      <c r="M260" s="308"/>
    </row>
    <row r="261" spans="1:13" s="52" customFormat="1" x14ac:dyDescent="0.3">
      <c r="A261" s="313"/>
      <c r="B261" s="313"/>
      <c r="C261" s="313"/>
      <c r="D261" s="313"/>
      <c r="E261" s="308"/>
      <c r="F261" s="308"/>
      <c r="G261" s="308"/>
      <c r="H261" s="308"/>
      <c r="I261" s="308"/>
      <c r="J261" s="308"/>
      <c r="K261" s="308"/>
      <c r="L261" s="308"/>
      <c r="M261" s="308"/>
    </row>
    <row r="262" spans="1:13" s="52" customFormat="1" x14ac:dyDescent="0.3">
      <c r="A262" s="313"/>
      <c r="B262" s="313"/>
      <c r="C262" s="313"/>
      <c r="D262" s="313"/>
      <c r="E262" s="308"/>
      <c r="F262" s="308"/>
      <c r="G262" s="308"/>
      <c r="H262" s="308"/>
      <c r="I262" s="308"/>
      <c r="J262" s="308"/>
      <c r="K262" s="308"/>
      <c r="L262" s="308"/>
      <c r="M262" s="308"/>
    </row>
    <row r="263" spans="1:13" s="52" customFormat="1" x14ac:dyDescent="0.3">
      <c r="A263" s="313"/>
      <c r="B263" s="313"/>
      <c r="C263" s="313"/>
      <c r="D263" s="313"/>
      <c r="E263" s="308"/>
      <c r="F263" s="308"/>
      <c r="G263" s="308"/>
      <c r="H263" s="308"/>
      <c r="I263" s="308"/>
      <c r="J263" s="308"/>
      <c r="K263" s="308"/>
      <c r="L263" s="308"/>
      <c r="M263" s="308"/>
    </row>
    <row r="264" spans="1:13" s="52" customFormat="1" x14ac:dyDescent="0.3">
      <c r="A264" s="313"/>
      <c r="B264" s="313"/>
      <c r="C264" s="313"/>
      <c r="D264" s="313"/>
      <c r="E264" s="308"/>
      <c r="F264" s="308"/>
      <c r="G264" s="308"/>
      <c r="H264" s="308"/>
      <c r="I264" s="308"/>
      <c r="J264" s="308"/>
      <c r="K264" s="308"/>
      <c r="L264" s="308"/>
      <c r="M264" s="308"/>
    </row>
    <row r="265" spans="1:13" s="59" customFormat="1" x14ac:dyDescent="0.3">
      <c r="A265" s="313"/>
      <c r="B265" s="313"/>
      <c r="C265" s="313"/>
      <c r="D265" s="313"/>
      <c r="E265" s="308"/>
      <c r="F265" s="308"/>
      <c r="G265" s="308"/>
      <c r="H265" s="308"/>
      <c r="I265" s="312"/>
      <c r="J265" s="312"/>
      <c r="K265" s="312"/>
      <c r="L265" s="312"/>
      <c r="M265" s="312"/>
    </row>
    <row r="266" spans="1:13" s="47" customFormat="1" ht="30" customHeight="1" x14ac:dyDescent="0.3">
      <c r="A266" s="313"/>
      <c r="B266" s="313"/>
      <c r="C266" s="313"/>
      <c r="D266" s="313"/>
      <c r="E266" s="308"/>
      <c r="F266" s="308"/>
      <c r="G266" s="308"/>
      <c r="H266" s="308"/>
      <c r="I266" s="307"/>
      <c r="J266" s="307"/>
      <c r="K266" s="307"/>
      <c r="L266" s="307"/>
      <c r="M266" s="307"/>
    </row>
    <row r="267" spans="1:13" s="47" customFormat="1" ht="30" customHeight="1" x14ac:dyDescent="0.3">
      <c r="A267" s="313"/>
      <c r="B267" s="313"/>
      <c r="C267" s="313"/>
      <c r="D267" s="313"/>
      <c r="E267" s="308"/>
      <c r="F267" s="308"/>
      <c r="G267" s="308"/>
      <c r="H267" s="308"/>
      <c r="I267" s="307"/>
      <c r="J267" s="307"/>
      <c r="K267" s="307"/>
      <c r="L267" s="307"/>
      <c r="M267" s="307"/>
    </row>
    <row r="268" spans="1:13" s="52" customFormat="1" x14ac:dyDescent="0.3">
      <c r="A268" s="313"/>
      <c r="B268" s="313"/>
      <c r="C268" s="313"/>
      <c r="D268" s="313"/>
      <c r="E268" s="308"/>
      <c r="F268" s="308"/>
      <c r="G268" s="308"/>
      <c r="H268" s="308"/>
      <c r="I268" s="308"/>
      <c r="J268" s="308"/>
      <c r="K268" s="308"/>
      <c r="L268" s="308"/>
      <c r="M268" s="308"/>
    </row>
    <row r="269" spans="1:13" s="52" customFormat="1" x14ac:dyDescent="0.3">
      <c r="A269" s="313"/>
      <c r="B269" s="313"/>
      <c r="C269" s="313"/>
      <c r="D269" s="313"/>
      <c r="E269" s="308"/>
      <c r="F269" s="308"/>
      <c r="G269" s="308"/>
      <c r="H269" s="308"/>
      <c r="I269" s="308"/>
      <c r="J269" s="308"/>
      <c r="K269" s="308"/>
      <c r="L269" s="308"/>
      <c r="M269" s="308"/>
    </row>
    <row r="270" spans="1:13" s="52" customFormat="1" x14ac:dyDescent="0.3">
      <c r="A270" s="313"/>
      <c r="B270" s="313"/>
      <c r="C270" s="313"/>
      <c r="D270" s="313"/>
      <c r="E270" s="308"/>
      <c r="F270" s="308"/>
      <c r="G270" s="308"/>
      <c r="H270" s="308"/>
      <c r="I270" s="308"/>
      <c r="J270" s="308"/>
      <c r="K270" s="308"/>
      <c r="L270" s="308"/>
      <c r="M270" s="308"/>
    </row>
    <row r="271" spans="1:13" s="52" customFormat="1" x14ac:dyDescent="0.3">
      <c r="A271" s="313"/>
      <c r="B271" s="313"/>
      <c r="C271" s="313"/>
      <c r="D271" s="313"/>
      <c r="E271" s="308"/>
      <c r="F271" s="308"/>
      <c r="G271" s="308"/>
      <c r="H271" s="308"/>
      <c r="I271" s="308"/>
      <c r="J271" s="308"/>
      <c r="K271" s="308"/>
      <c r="L271" s="308"/>
      <c r="M271" s="308"/>
    </row>
    <row r="272" spans="1:13" s="52" customFormat="1" x14ac:dyDescent="0.3">
      <c r="A272" s="313"/>
      <c r="B272" s="313"/>
      <c r="C272" s="313"/>
      <c r="D272" s="313"/>
      <c r="E272" s="308"/>
      <c r="F272" s="308"/>
      <c r="G272" s="308"/>
      <c r="H272" s="308"/>
      <c r="I272" s="308"/>
      <c r="J272" s="308"/>
      <c r="K272" s="308"/>
      <c r="L272" s="308"/>
      <c r="M272" s="308"/>
    </row>
    <row r="273" spans="1:13" s="52" customFormat="1" x14ac:dyDescent="0.3">
      <c r="A273" s="313"/>
      <c r="B273" s="313"/>
      <c r="C273" s="313"/>
      <c r="D273" s="313"/>
      <c r="E273" s="308"/>
      <c r="F273" s="308"/>
      <c r="G273" s="308"/>
      <c r="H273" s="308"/>
      <c r="I273" s="308"/>
      <c r="J273" s="308"/>
      <c r="K273" s="308"/>
      <c r="L273" s="308"/>
      <c r="M273" s="308"/>
    </row>
    <row r="274" spans="1:13" s="52" customFormat="1" x14ac:dyDescent="0.3">
      <c r="A274" s="313"/>
      <c r="B274" s="313"/>
      <c r="C274" s="313"/>
      <c r="D274" s="313"/>
      <c r="E274" s="308"/>
      <c r="F274" s="308"/>
      <c r="G274" s="308"/>
      <c r="H274" s="308"/>
      <c r="I274" s="308"/>
      <c r="J274" s="308"/>
      <c r="K274" s="308"/>
      <c r="L274" s="308"/>
      <c r="M274" s="308"/>
    </row>
    <row r="275" spans="1:13" s="52" customFormat="1" x14ac:dyDescent="0.3">
      <c r="A275" s="313"/>
      <c r="B275" s="313"/>
      <c r="C275" s="313"/>
      <c r="D275" s="313"/>
      <c r="E275" s="308"/>
      <c r="F275" s="308"/>
      <c r="G275" s="308"/>
      <c r="H275" s="308"/>
      <c r="I275" s="308"/>
      <c r="J275" s="308"/>
      <c r="K275" s="308"/>
      <c r="L275" s="308"/>
      <c r="M275" s="308"/>
    </row>
    <row r="276" spans="1:13" s="52" customFormat="1" x14ac:dyDescent="0.3">
      <c r="A276" s="313"/>
      <c r="B276" s="313"/>
      <c r="C276" s="313"/>
      <c r="D276" s="313"/>
      <c r="E276" s="308"/>
      <c r="F276" s="308"/>
      <c r="G276" s="308"/>
      <c r="H276" s="308"/>
      <c r="I276" s="308"/>
      <c r="J276" s="308"/>
      <c r="K276" s="308"/>
      <c r="L276" s="308"/>
      <c r="M276" s="308"/>
    </row>
    <row r="277" spans="1:13" s="59" customFormat="1" x14ac:dyDescent="0.3">
      <c r="A277" s="313"/>
      <c r="B277" s="313"/>
      <c r="C277" s="313"/>
      <c r="D277" s="313"/>
      <c r="E277" s="308"/>
      <c r="F277" s="308"/>
      <c r="G277" s="308"/>
      <c r="H277" s="308"/>
      <c r="I277" s="312"/>
      <c r="J277" s="312"/>
      <c r="K277" s="312"/>
      <c r="L277" s="312"/>
      <c r="M277" s="312"/>
    </row>
    <row r="278" spans="1:13" s="47" customFormat="1" ht="30" customHeight="1" x14ac:dyDescent="0.3">
      <c r="A278" s="313"/>
      <c r="B278" s="313"/>
      <c r="C278" s="313"/>
      <c r="D278" s="313"/>
      <c r="E278" s="308"/>
      <c r="F278" s="308"/>
      <c r="G278" s="308"/>
      <c r="H278" s="308"/>
      <c r="I278" s="307"/>
      <c r="J278" s="307"/>
      <c r="K278" s="307"/>
      <c r="L278" s="307"/>
      <c r="M278" s="307"/>
    </row>
    <row r="279" spans="1:13" s="47" customFormat="1" ht="30" customHeight="1" x14ac:dyDescent="0.3">
      <c r="A279" s="313"/>
      <c r="B279" s="313"/>
      <c r="C279" s="313"/>
      <c r="D279" s="313"/>
      <c r="E279" s="308"/>
      <c r="F279" s="308"/>
      <c r="G279" s="308"/>
      <c r="H279" s="308"/>
      <c r="I279" s="307"/>
      <c r="J279" s="307"/>
      <c r="K279" s="307"/>
      <c r="L279" s="307"/>
      <c r="M279" s="307"/>
    </row>
    <row r="280" spans="1:13" s="52" customFormat="1" x14ac:dyDescent="0.3">
      <c r="A280" s="313"/>
      <c r="B280" s="313"/>
      <c r="C280" s="313"/>
      <c r="D280" s="313"/>
      <c r="E280" s="308"/>
      <c r="F280" s="308"/>
      <c r="G280" s="308"/>
      <c r="H280" s="308"/>
      <c r="I280" s="308"/>
      <c r="J280" s="308"/>
      <c r="K280" s="308"/>
      <c r="L280" s="308"/>
      <c r="M280" s="308"/>
    </row>
    <row r="281" spans="1:13" s="52" customFormat="1" x14ac:dyDescent="0.3">
      <c r="A281" s="313"/>
      <c r="B281" s="313"/>
      <c r="C281" s="313"/>
      <c r="D281" s="313"/>
      <c r="E281" s="308"/>
      <c r="F281" s="308"/>
      <c r="G281" s="308"/>
      <c r="H281" s="308"/>
      <c r="I281" s="308"/>
      <c r="J281" s="308"/>
      <c r="K281" s="308"/>
      <c r="L281" s="308"/>
      <c r="M281" s="308"/>
    </row>
    <row r="282" spans="1:13" s="52" customFormat="1" x14ac:dyDescent="0.3">
      <c r="A282" s="313"/>
      <c r="B282" s="313"/>
      <c r="C282" s="313"/>
      <c r="D282" s="313"/>
      <c r="E282" s="308"/>
      <c r="F282" s="308"/>
      <c r="G282" s="308"/>
      <c r="H282" s="308"/>
      <c r="I282" s="308"/>
      <c r="J282" s="308"/>
      <c r="K282" s="308"/>
      <c r="L282" s="308"/>
      <c r="M282" s="308"/>
    </row>
    <row r="283" spans="1:13" s="52" customFormat="1" x14ac:dyDescent="0.3">
      <c r="A283" s="313"/>
      <c r="B283" s="313"/>
      <c r="C283" s="313"/>
      <c r="D283" s="313"/>
      <c r="E283" s="308"/>
      <c r="F283" s="308"/>
      <c r="G283" s="308"/>
      <c r="H283" s="308"/>
      <c r="I283" s="308"/>
      <c r="J283" s="308"/>
      <c r="K283" s="308"/>
      <c r="L283" s="308"/>
      <c r="M283" s="308"/>
    </row>
    <row r="284" spans="1:13" s="52" customFormat="1" x14ac:dyDescent="0.3">
      <c r="A284" s="313"/>
      <c r="B284" s="313"/>
      <c r="C284" s="313"/>
      <c r="D284" s="313"/>
      <c r="E284" s="308"/>
      <c r="F284" s="308"/>
      <c r="G284" s="308"/>
      <c r="H284" s="308"/>
      <c r="I284" s="308"/>
      <c r="J284" s="308"/>
      <c r="K284" s="308"/>
      <c r="L284" s="308"/>
      <c r="M284" s="308"/>
    </row>
    <row r="285" spans="1:13" s="52" customFormat="1" x14ac:dyDescent="0.3">
      <c r="A285" s="313"/>
      <c r="B285" s="313"/>
      <c r="C285" s="313"/>
      <c r="D285" s="313"/>
      <c r="E285" s="308"/>
      <c r="F285" s="308"/>
      <c r="G285" s="308"/>
      <c r="H285" s="308"/>
      <c r="I285" s="308"/>
      <c r="J285" s="308"/>
      <c r="K285" s="308"/>
      <c r="L285" s="308"/>
      <c r="M285" s="308"/>
    </row>
    <row r="286" spans="1:13" s="52" customFormat="1" x14ac:dyDescent="0.3">
      <c r="A286" s="313"/>
      <c r="B286" s="313"/>
      <c r="C286" s="313"/>
      <c r="D286" s="313"/>
      <c r="E286" s="308"/>
      <c r="F286" s="308"/>
      <c r="G286" s="308"/>
      <c r="H286" s="308"/>
      <c r="I286" s="308"/>
      <c r="J286" s="308"/>
      <c r="K286" s="308"/>
      <c r="L286" s="308"/>
      <c r="M286" s="308"/>
    </row>
    <row r="287" spans="1:13" s="52" customFormat="1" x14ac:dyDescent="0.3">
      <c r="A287" s="313"/>
      <c r="B287" s="313"/>
      <c r="C287" s="313"/>
      <c r="D287" s="313"/>
      <c r="E287" s="308"/>
      <c r="F287" s="308"/>
      <c r="G287" s="308"/>
      <c r="H287" s="308"/>
      <c r="I287" s="308"/>
      <c r="J287" s="308"/>
      <c r="K287" s="308"/>
      <c r="L287" s="308"/>
      <c r="M287" s="308"/>
    </row>
    <row r="288" spans="1:13" s="52" customFormat="1" x14ac:dyDescent="0.3">
      <c r="A288" s="313"/>
      <c r="B288" s="313"/>
      <c r="C288" s="313"/>
      <c r="D288" s="313"/>
      <c r="E288" s="308"/>
      <c r="F288" s="308"/>
      <c r="G288" s="308"/>
      <c r="H288" s="308"/>
      <c r="I288" s="308"/>
      <c r="J288" s="308"/>
      <c r="K288" s="308"/>
      <c r="L288" s="308"/>
      <c r="M288" s="308"/>
    </row>
    <row r="289" spans="1:13" s="59" customFormat="1" x14ac:dyDescent="0.3">
      <c r="A289" s="313"/>
      <c r="B289" s="313"/>
      <c r="C289" s="313"/>
      <c r="D289" s="313"/>
      <c r="E289" s="308"/>
      <c r="F289" s="308"/>
      <c r="G289" s="308"/>
      <c r="H289" s="308"/>
      <c r="I289" s="312"/>
      <c r="J289" s="312"/>
      <c r="K289" s="312"/>
      <c r="L289" s="312"/>
      <c r="M289" s="312"/>
    </row>
    <row r="290" spans="1:13" s="47" customFormat="1" ht="30" customHeight="1" x14ac:dyDescent="0.3">
      <c r="A290" s="313"/>
      <c r="B290" s="313"/>
      <c r="C290" s="313"/>
      <c r="D290" s="313"/>
      <c r="E290" s="308"/>
      <c r="F290" s="308"/>
      <c r="G290" s="308"/>
      <c r="H290" s="308"/>
      <c r="I290" s="307"/>
      <c r="J290" s="307"/>
      <c r="K290" s="307"/>
      <c r="L290" s="307"/>
      <c r="M290" s="307"/>
    </row>
    <row r="291" spans="1:13" s="47" customFormat="1" ht="30" customHeight="1" x14ac:dyDescent="0.3">
      <c r="A291" s="313"/>
      <c r="B291" s="313"/>
      <c r="C291" s="313"/>
      <c r="D291" s="313"/>
      <c r="E291" s="308"/>
      <c r="F291" s="308"/>
      <c r="G291" s="308"/>
      <c r="H291" s="308"/>
      <c r="I291" s="307"/>
      <c r="J291" s="307"/>
      <c r="K291" s="307"/>
      <c r="L291" s="307"/>
      <c r="M291" s="307"/>
    </row>
    <row r="292" spans="1:13" s="52" customFormat="1" x14ac:dyDescent="0.3">
      <c r="A292" s="313"/>
      <c r="B292" s="313"/>
      <c r="C292" s="313"/>
      <c r="D292" s="313"/>
      <c r="E292" s="308"/>
      <c r="F292" s="308"/>
      <c r="G292" s="308"/>
      <c r="H292" s="308"/>
      <c r="I292" s="308"/>
      <c r="J292" s="308"/>
      <c r="K292" s="308"/>
      <c r="L292" s="308"/>
      <c r="M292" s="308"/>
    </row>
    <row r="293" spans="1:13" s="52" customFormat="1" x14ac:dyDescent="0.3">
      <c r="A293" s="313"/>
      <c r="B293" s="313"/>
      <c r="C293" s="313"/>
      <c r="D293" s="313"/>
      <c r="E293" s="308"/>
      <c r="F293" s="308"/>
      <c r="G293" s="308"/>
      <c r="H293" s="308"/>
      <c r="I293" s="308"/>
      <c r="J293" s="308"/>
      <c r="K293" s="308"/>
      <c r="L293" s="308"/>
      <c r="M293" s="308"/>
    </row>
    <row r="294" spans="1:13" s="52" customFormat="1" x14ac:dyDescent="0.3">
      <c r="A294" s="313"/>
      <c r="B294" s="313"/>
      <c r="C294" s="313"/>
      <c r="D294" s="313"/>
      <c r="E294" s="308"/>
      <c r="F294" s="308"/>
      <c r="G294" s="308"/>
      <c r="H294" s="308"/>
      <c r="I294" s="308"/>
      <c r="J294" s="308"/>
      <c r="K294" s="308"/>
      <c r="L294" s="308"/>
      <c r="M294" s="308"/>
    </row>
    <row r="295" spans="1:13" s="52" customFormat="1" x14ac:dyDescent="0.3">
      <c r="A295" s="313"/>
      <c r="B295" s="313"/>
      <c r="C295" s="313"/>
      <c r="D295" s="313"/>
      <c r="E295" s="308"/>
      <c r="F295" s="308"/>
      <c r="G295" s="308"/>
      <c r="H295" s="308"/>
      <c r="I295" s="308"/>
      <c r="J295" s="308"/>
      <c r="K295" s="308"/>
      <c r="L295" s="308"/>
      <c r="M295" s="308"/>
    </row>
    <row r="296" spans="1:13" s="52" customFormat="1" x14ac:dyDescent="0.3">
      <c r="A296" s="313"/>
      <c r="B296" s="313"/>
      <c r="C296" s="313"/>
      <c r="D296" s="313"/>
      <c r="E296" s="308"/>
      <c r="F296" s="308"/>
      <c r="G296" s="308"/>
      <c r="H296" s="308"/>
      <c r="I296" s="308"/>
      <c r="J296" s="308"/>
      <c r="K296" s="308"/>
      <c r="L296" s="308"/>
      <c r="M296" s="308"/>
    </row>
    <row r="297" spans="1:13" s="52" customFormat="1" x14ac:dyDescent="0.3">
      <c r="A297" s="313"/>
      <c r="B297" s="313"/>
      <c r="C297" s="313"/>
      <c r="D297" s="313"/>
      <c r="E297" s="308"/>
      <c r="F297" s="308"/>
      <c r="G297" s="308"/>
      <c r="H297" s="308"/>
      <c r="I297" s="308"/>
      <c r="J297" s="308"/>
      <c r="K297" s="308"/>
      <c r="L297" s="308"/>
      <c r="M297" s="308"/>
    </row>
    <row r="298" spans="1:13" s="52" customFormat="1" x14ac:dyDescent="0.3">
      <c r="A298" s="313"/>
      <c r="B298" s="313"/>
      <c r="C298" s="313"/>
      <c r="D298" s="313"/>
      <c r="E298" s="308"/>
      <c r="F298" s="308"/>
      <c r="G298" s="308"/>
      <c r="H298" s="308"/>
      <c r="I298" s="308"/>
      <c r="J298" s="308"/>
      <c r="K298" s="308"/>
      <c r="L298" s="308"/>
      <c r="M298" s="308"/>
    </row>
    <row r="299" spans="1:13" s="52" customFormat="1" x14ac:dyDescent="0.3">
      <c r="A299" s="313"/>
      <c r="B299" s="313"/>
      <c r="C299" s="313"/>
      <c r="D299" s="313"/>
      <c r="E299" s="308"/>
      <c r="F299" s="308"/>
      <c r="G299" s="308"/>
      <c r="H299" s="308"/>
      <c r="I299" s="308"/>
      <c r="J299" s="308"/>
      <c r="K299" s="308"/>
      <c r="L299" s="308"/>
      <c r="M299" s="308"/>
    </row>
    <row r="300" spans="1:13" s="52" customFormat="1" x14ac:dyDescent="0.3">
      <c r="A300" s="313"/>
      <c r="B300" s="313"/>
      <c r="C300" s="313"/>
      <c r="D300" s="313"/>
      <c r="E300" s="308"/>
      <c r="F300" s="308"/>
      <c r="G300" s="308"/>
      <c r="H300" s="308"/>
      <c r="I300" s="308"/>
      <c r="J300" s="308"/>
      <c r="K300" s="308"/>
      <c r="L300" s="308"/>
      <c r="M300" s="308"/>
    </row>
    <row r="301" spans="1:13" s="59" customFormat="1" x14ac:dyDescent="0.3">
      <c r="A301" s="313"/>
      <c r="B301" s="313"/>
      <c r="C301" s="313"/>
      <c r="D301" s="313"/>
      <c r="E301" s="308"/>
      <c r="F301" s="308"/>
      <c r="G301" s="308"/>
      <c r="H301" s="308"/>
      <c r="I301" s="312"/>
      <c r="J301" s="312"/>
      <c r="K301" s="312"/>
      <c r="L301" s="312"/>
      <c r="M301" s="312"/>
    </row>
    <row r="302" spans="1:13" s="47" customFormat="1" ht="30" customHeight="1" x14ac:dyDescent="0.3">
      <c r="A302" s="313"/>
      <c r="B302" s="313"/>
      <c r="C302" s="313"/>
      <c r="D302" s="313"/>
      <c r="E302" s="308"/>
      <c r="F302" s="308"/>
      <c r="G302" s="308"/>
      <c r="H302" s="308"/>
      <c r="I302" s="307"/>
      <c r="J302" s="307"/>
      <c r="K302" s="307"/>
      <c r="L302" s="307"/>
      <c r="M302" s="307"/>
    </row>
    <row r="303" spans="1:13" s="47" customFormat="1" ht="30" customHeight="1" x14ac:dyDescent="0.3">
      <c r="A303" s="313"/>
      <c r="B303" s="313"/>
      <c r="C303" s="313"/>
      <c r="D303" s="313"/>
      <c r="E303" s="308"/>
      <c r="F303" s="308"/>
      <c r="G303" s="308"/>
      <c r="H303" s="308"/>
      <c r="I303" s="307"/>
      <c r="J303" s="307"/>
      <c r="K303" s="307"/>
      <c r="L303" s="307"/>
      <c r="M303" s="307"/>
    </row>
    <row r="304" spans="1:13" s="52" customFormat="1" x14ac:dyDescent="0.3">
      <c r="A304" s="313"/>
      <c r="B304" s="313"/>
      <c r="C304" s="313"/>
      <c r="D304" s="313"/>
      <c r="E304" s="308"/>
      <c r="F304" s="308"/>
      <c r="G304" s="308"/>
      <c r="H304" s="308"/>
      <c r="I304" s="308"/>
      <c r="J304" s="308"/>
      <c r="K304" s="308"/>
      <c r="L304" s="308"/>
      <c r="M304" s="308"/>
    </row>
    <row r="305" spans="1:13" s="52" customFormat="1" x14ac:dyDescent="0.3">
      <c r="A305" s="313"/>
      <c r="B305" s="313"/>
      <c r="C305" s="313"/>
      <c r="D305" s="313"/>
      <c r="E305" s="308"/>
      <c r="F305" s="308"/>
      <c r="G305" s="308"/>
      <c r="H305" s="308"/>
      <c r="I305" s="308"/>
      <c r="J305" s="308"/>
      <c r="K305" s="308"/>
      <c r="L305" s="308"/>
      <c r="M305" s="308"/>
    </row>
    <row r="306" spans="1:13" s="52" customFormat="1" x14ac:dyDescent="0.3">
      <c r="A306" s="313"/>
      <c r="B306" s="313"/>
      <c r="C306" s="313"/>
      <c r="D306" s="313"/>
      <c r="E306" s="308"/>
      <c r="F306" s="308"/>
      <c r="G306" s="308"/>
      <c r="H306" s="308"/>
      <c r="I306" s="308"/>
      <c r="J306" s="308"/>
      <c r="K306" s="308"/>
      <c r="L306" s="308"/>
      <c r="M306" s="308"/>
    </row>
    <row r="307" spans="1:13" s="52" customFormat="1" x14ac:dyDescent="0.3">
      <c r="A307" s="313"/>
      <c r="B307" s="313"/>
      <c r="C307" s="313"/>
      <c r="D307" s="313"/>
      <c r="E307" s="308"/>
      <c r="F307" s="308"/>
      <c r="G307" s="308"/>
      <c r="H307" s="308"/>
      <c r="I307" s="308"/>
      <c r="J307" s="308"/>
      <c r="K307" s="308"/>
      <c r="L307" s="308"/>
      <c r="M307" s="308"/>
    </row>
    <row r="308" spans="1:13" s="52" customFormat="1" x14ac:dyDescent="0.3">
      <c r="A308" s="313"/>
      <c r="B308" s="313"/>
      <c r="C308" s="313"/>
      <c r="D308" s="313"/>
      <c r="E308" s="308"/>
      <c r="F308" s="308"/>
      <c r="G308" s="308"/>
      <c r="H308" s="308"/>
      <c r="I308" s="308"/>
      <c r="J308" s="308"/>
      <c r="K308" s="308"/>
      <c r="L308" s="308"/>
      <c r="M308" s="308"/>
    </row>
    <row r="309" spans="1:13" s="52" customFormat="1" x14ac:dyDescent="0.3">
      <c r="A309" s="313"/>
      <c r="B309" s="313"/>
      <c r="C309" s="313"/>
      <c r="D309" s="313"/>
      <c r="E309" s="308"/>
      <c r="F309" s="308"/>
      <c r="G309" s="308"/>
      <c r="H309" s="308"/>
      <c r="I309" s="308"/>
      <c r="J309" s="308"/>
      <c r="K309" s="308"/>
      <c r="L309" s="308"/>
      <c r="M309" s="308"/>
    </row>
    <row r="310" spans="1:13" s="52" customFormat="1" x14ac:dyDescent="0.3">
      <c r="A310" s="313"/>
      <c r="B310" s="313"/>
      <c r="C310" s="313"/>
      <c r="D310" s="313"/>
      <c r="E310" s="308"/>
      <c r="F310" s="308"/>
      <c r="G310" s="308"/>
      <c r="H310" s="308"/>
      <c r="I310" s="308"/>
      <c r="J310" s="308"/>
      <c r="K310" s="308"/>
      <c r="L310" s="308"/>
      <c r="M310" s="308"/>
    </row>
    <row r="311" spans="1:13" s="52" customFormat="1" x14ac:dyDescent="0.3">
      <c r="A311" s="313"/>
      <c r="B311" s="313"/>
      <c r="C311" s="313"/>
      <c r="D311" s="313"/>
      <c r="E311" s="308"/>
      <c r="F311" s="308"/>
      <c r="G311" s="308"/>
      <c r="H311" s="308"/>
      <c r="I311" s="308"/>
      <c r="J311" s="308"/>
      <c r="K311" s="308"/>
      <c r="L311" s="308"/>
      <c r="M311" s="308"/>
    </row>
    <row r="312" spans="1:13" s="52" customFormat="1" x14ac:dyDescent="0.3">
      <c r="A312" s="313"/>
      <c r="B312" s="313"/>
      <c r="C312" s="313"/>
      <c r="D312" s="313"/>
      <c r="E312" s="308"/>
      <c r="F312" s="308"/>
      <c r="G312" s="308"/>
      <c r="H312" s="308"/>
      <c r="I312" s="308"/>
      <c r="J312" s="308"/>
      <c r="K312" s="308"/>
      <c r="L312" s="308"/>
      <c r="M312" s="308"/>
    </row>
    <row r="313" spans="1:13" s="59" customFormat="1" x14ac:dyDescent="0.3">
      <c r="A313" s="313"/>
      <c r="B313" s="313"/>
      <c r="C313" s="313"/>
      <c r="D313" s="313"/>
      <c r="E313" s="308"/>
      <c r="F313" s="308"/>
      <c r="G313" s="308"/>
      <c r="H313" s="308"/>
      <c r="I313" s="312"/>
      <c r="J313" s="312"/>
      <c r="K313" s="312"/>
      <c r="L313" s="312"/>
      <c r="M313" s="312"/>
    </row>
    <row r="314" spans="1:13" s="47" customFormat="1" ht="30" customHeight="1" x14ac:dyDescent="0.3">
      <c r="A314" s="313"/>
      <c r="B314" s="313"/>
      <c r="C314" s="313"/>
      <c r="D314" s="313"/>
      <c r="E314" s="308"/>
      <c r="F314" s="308"/>
      <c r="G314" s="308"/>
      <c r="H314" s="308"/>
      <c r="I314" s="307"/>
      <c r="J314" s="307"/>
      <c r="K314" s="307"/>
      <c r="L314" s="307"/>
      <c r="M314" s="307"/>
    </row>
    <row r="315" spans="1:13" s="47" customFormat="1" ht="30" customHeight="1" x14ac:dyDescent="0.3">
      <c r="A315" s="313"/>
      <c r="B315" s="313"/>
      <c r="C315" s="313"/>
      <c r="D315" s="313"/>
      <c r="E315" s="308"/>
      <c r="F315" s="308"/>
      <c r="G315" s="308"/>
      <c r="H315" s="308"/>
      <c r="I315" s="307"/>
      <c r="J315" s="307"/>
      <c r="K315" s="307"/>
      <c r="L315" s="307"/>
      <c r="M315" s="307"/>
    </row>
    <row r="316" spans="1:13" s="52" customFormat="1" x14ac:dyDescent="0.3">
      <c r="A316" s="313"/>
      <c r="B316" s="313"/>
      <c r="C316" s="313"/>
      <c r="D316" s="313"/>
      <c r="E316" s="308"/>
      <c r="F316" s="308"/>
      <c r="G316" s="308"/>
      <c r="H316" s="308"/>
      <c r="I316" s="308"/>
      <c r="J316" s="308"/>
      <c r="K316" s="308"/>
      <c r="L316" s="308"/>
      <c r="M316" s="308"/>
    </row>
    <row r="317" spans="1:13" s="52" customFormat="1" x14ac:dyDescent="0.3">
      <c r="A317" s="313"/>
      <c r="B317" s="313"/>
      <c r="C317" s="313"/>
      <c r="D317" s="313"/>
      <c r="E317" s="308"/>
      <c r="F317" s="308"/>
      <c r="G317" s="308"/>
      <c r="H317" s="308"/>
      <c r="I317" s="308"/>
      <c r="J317" s="308"/>
      <c r="K317" s="308"/>
      <c r="L317" s="308"/>
      <c r="M317" s="308"/>
    </row>
    <row r="318" spans="1:13" s="52" customFormat="1" x14ac:dyDescent="0.3">
      <c r="A318" s="313"/>
      <c r="B318" s="313"/>
      <c r="C318" s="313"/>
      <c r="D318" s="313"/>
      <c r="E318" s="308"/>
      <c r="F318" s="308"/>
      <c r="G318" s="308"/>
      <c r="H318" s="308"/>
      <c r="I318" s="308"/>
      <c r="J318" s="308"/>
      <c r="K318" s="308"/>
      <c r="L318" s="308"/>
      <c r="M318" s="308"/>
    </row>
    <row r="319" spans="1:13" s="52" customFormat="1" x14ac:dyDescent="0.3">
      <c r="A319" s="313"/>
      <c r="B319" s="313"/>
      <c r="C319" s="313"/>
      <c r="D319" s="313"/>
      <c r="E319" s="308"/>
      <c r="F319" s="308"/>
      <c r="G319" s="308"/>
      <c r="H319" s="308"/>
      <c r="I319" s="308"/>
      <c r="J319" s="308"/>
      <c r="K319" s="308"/>
      <c r="L319" s="308"/>
      <c r="M319" s="308"/>
    </row>
    <row r="320" spans="1:13" s="52" customFormat="1" x14ac:dyDescent="0.3">
      <c r="A320" s="313"/>
      <c r="B320" s="313"/>
      <c r="C320" s="313"/>
      <c r="D320" s="313"/>
      <c r="E320" s="308"/>
      <c r="F320" s="308"/>
      <c r="G320" s="308"/>
      <c r="H320" s="308"/>
      <c r="I320" s="308"/>
      <c r="J320" s="308"/>
      <c r="K320" s="308"/>
      <c r="L320" s="308"/>
      <c r="M320" s="308"/>
    </row>
    <row r="321" spans="1:13" s="52" customFormat="1" x14ac:dyDescent="0.3">
      <c r="A321" s="313"/>
      <c r="B321" s="313"/>
      <c r="C321" s="313"/>
      <c r="D321" s="313"/>
      <c r="E321" s="308"/>
      <c r="F321" s="308"/>
      <c r="G321" s="308"/>
      <c r="H321" s="308"/>
      <c r="I321" s="308"/>
      <c r="J321" s="308"/>
      <c r="K321" s="308"/>
      <c r="L321" s="308"/>
      <c r="M321" s="308"/>
    </row>
    <row r="322" spans="1:13" s="52" customFormat="1" x14ac:dyDescent="0.3">
      <c r="A322" s="313"/>
      <c r="B322" s="313"/>
      <c r="C322" s="313"/>
      <c r="D322" s="313"/>
      <c r="E322" s="308"/>
      <c r="F322" s="308"/>
      <c r="G322" s="308"/>
      <c r="H322" s="308"/>
      <c r="I322" s="308"/>
      <c r="J322" s="308"/>
      <c r="K322" s="308"/>
      <c r="L322" s="308"/>
      <c r="M322" s="308"/>
    </row>
    <row r="323" spans="1:13" s="52" customFormat="1" x14ac:dyDescent="0.3">
      <c r="A323" s="60"/>
      <c r="B323" s="60"/>
      <c r="C323" s="60"/>
      <c r="D323" s="60"/>
      <c r="E323" s="124"/>
      <c r="F323" s="61"/>
      <c r="G323" s="61"/>
      <c r="H323" s="61"/>
    </row>
    <row r="324" spans="1:13" s="52" customFormat="1" x14ac:dyDescent="0.3">
      <c r="A324" s="60"/>
      <c r="B324" s="60"/>
      <c r="C324" s="60"/>
      <c r="D324" s="60"/>
      <c r="E324" s="124"/>
      <c r="F324" s="61"/>
      <c r="G324" s="61"/>
      <c r="H324" s="61"/>
    </row>
    <row r="325" spans="1:13" s="59" customFormat="1" x14ac:dyDescent="0.3">
      <c r="A325" s="60"/>
      <c r="B325" s="60"/>
      <c r="C325" s="60"/>
      <c r="D325" s="60"/>
      <c r="E325" s="124"/>
      <c r="F325" s="61"/>
      <c r="G325" s="61"/>
      <c r="H325" s="61"/>
    </row>
    <row r="326" spans="1:13" s="47" customFormat="1" ht="30" customHeight="1" x14ac:dyDescent="0.3">
      <c r="A326" s="60"/>
      <c r="B326" s="60"/>
      <c r="C326" s="60"/>
      <c r="D326" s="60"/>
      <c r="E326" s="124"/>
      <c r="F326" s="61"/>
      <c r="G326" s="61"/>
      <c r="H326" s="61"/>
    </row>
    <row r="327" spans="1:13" s="47" customFormat="1" ht="30" customHeight="1" x14ac:dyDescent="0.3">
      <c r="A327" s="60"/>
      <c r="B327" s="60"/>
      <c r="C327" s="60"/>
      <c r="D327" s="60"/>
      <c r="E327" s="124"/>
      <c r="F327" s="61"/>
      <c r="G327" s="61"/>
      <c r="H327" s="61"/>
    </row>
    <row r="328" spans="1:13" s="52" customFormat="1" x14ac:dyDescent="0.3">
      <c r="A328" s="60"/>
      <c r="B328" s="60"/>
      <c r="C328" s="60"/>
      <c r="D328" s="60"/>
      <c r="E328" s="124"/>
      <c r="F328" s="61"/>
      <c r="G328" s="61"/>
      <c r="H328" s="61"/>
    </row>
    <row r="329" spans="1:13" s="52" customFormat="1" x14ac:dyDescent="0.3">
      <c r="A329" s="60"/>
      <c r="B329" s="60"/>
      <c r="C329" s="60"/>
      <c r="D329" s="60"/>
      <c r="E329" s="124"/>
      <c r="F329" s="61"/>
      <c r="G329" s="61"/>
      <c r="H329" s="61"/>
    </row>
    <row r="330" spans="1:13" s="52" customFormat="1" x14ac:dyDescent="0.3">
      <c r="A330" s="60"/>
      <c r="B330" s="60"/>
      <c r="C330" s="60"/>
      <c r="D330" s="60"/>
      <c r="E330" s="124"/>
      <c r="F330" s="61"/>
      <c r="G330" s="61"/>
      <c r="H330" s="61"/>
    </row>
    <row r="331" spans="1:13" s="52" customFormat="1" x14ac:dyDescent="0.3">
      <c r="A331" s="60"/>
      <c r="B331" s="60"/>
      <c r="C331" s="60"/>
      <c r="D331" s="60"/>
      <c r="E331" s="124"/>
      <c r="F331" s="61"/>
      <c r="G331" s="61"/>
      <c r="H331" s="61"/>
    </row>
    <row r="332" spans="1:13" s="52" customFormat="1" x14ac:dyDescent="0.3">
      <c r="A332" s="60"/>
      <c r="B332" s="60"/>
      <c r="C332" s="60"/>
      <c r="D332" s="60"/>
      <c r="E332" s="124"/>
      <c r="F332" s="61"/>
      <c r="G332" s="61"/>
      <c r="H332" s="61"/>
    </row>
    <row r="333" spans="1:13" s="52" customFormat="1" x14ac:dyDescent="0.3">
      <c r="A333" s="60"/>
      <c r="B333" s="60"/>
      <c r="C333" s="60"/>
      <c r="D333" s="60"/>
      <c r="E333" s="124"/>
      <c r="F333" s="61"/>
      <c r="G333" s="61"/>
      <c r="H333" s="61"/>
    </row>
    <row r="334" spans="1:13" s="52" customFormat="1" x14ac:dyDescent="0.3">
      <c r="A334" s="60"/>
      <c r="B334" s="60"/>
      <c r="C334" s="60"/>
      <c r="D334" s="60"/>
      <c r="E334" s="124"/>
      <c r="F334" s="61"/>
      <c r="G334" s="61"/>
      <c r="H334" s="61"/>
    </row>
    <row r="335" spans="1:13" s="52" customFormat="1" x14ac:dyDescent="0.3">
      <c r="A335" s="60"/>
      <c r="B335" s="60"/>
      <c r="C335" s="60"/>
      <c r="D335" s="60"/>
      <c r="E335" s="124"/>
      <c r="F335" s="61"/>
      <c r="G335" s="61"/>
      <c r="H335" s="61"/>
    </row>
    <row r="336" spans="1:13" s="52" customFormat="1" x14ac:dyDescent="0.3">
      <c r="A336" s="60"/>
      <c r="B336" s="60"/>
      <c r="C336" s="60"/>
      <c r="D336" s="60"/>
      <c r="E336" s="124"/>
      <c r="F336" s="61"/>
      <c r="G336" s="61"/>
      <c r="H336" s="61"/>
    </row>
    <row r="337" spans="1:8" s="59" customFormat="1" x14ac:dyDescent="0.3">
      <c r="A337" s="60"/>
      <c r="B337" s="60"/>
      <c r="C337" s="60"/>
      <c r="D337" s="60"/>
      <c r="E337" s="124"/>
      <c r="F337" s="61"/>
      <c r="G337" s="61"/>
      <c r="H337" s="61"/>
    </row>
    <row r="338" spans="1:8" s="47" customFormat="1" ht="30" customHeight="1" x14ac:dyDescent="0.3">
      <c r="A338" s="60"/>
      <c r="B338" s="60"/>
      <c r="C338" s="60"/>
      <c r="D338" s="60"/>
      <c r="E338" s="124"/>
      <c r="F338" s="61"/>
      <c r="G338" s="61"/>
      <c r="H338" s="61"/>
    </row>
    <row r="339" spans="1:8" s="47" customFormat="1" ht="30" customHeight="1" x14ac:dyDescent="0.3">
      <c r="A339" s="60"/>
      <c r="B339" s="60"/>
      <c r="C339" s="60"/>
      <c r="D339" s="60"/>
      <c r="E339" s="124"/>
      <c r="F339" s="61"/>
      <c r="G339" s="61"/>
      <c r="H339" s="61"/>
    </row>
    <row r="340" spans="1:8" s="52" customFormat="1" x14ac:dyDescent="0.3">
      <c r="A340" s="60"/>
      <c r="B340" s="60"/>
      <c r="C340" s="60"/>
      <c r="D340" s="60"/>
      <c r="E340" s="124"/>
      <c r="F340" s="61"/>
      <c r="G340" s="61"/>
      <c r="H340" s="61"/>
    </row>
    <row r="341" spans="1:8" s="52" customFormat="1" x14ac:dyDescent="0.3">
      <c r="A341" s="60"/>
      <c r="B341" s="60"/>
      <c r="C341" s="60"/>
      <c r="D341" s="60"/>
      <c r="E341" s="124"/>
      <c r="F341" s="61"/>
      <c r="G341" s="61"/>
      <c r="H341" s="61"/>
    </row>
    <row r="342" spans="1:8" s="52" customFormat="1" x14ac:dyDescent="0.3">
      <c r="A342" s="60"/>
      <c r="B342" s="60"/>
      <c r="C342" s="60"/>
      <c r="D342" s="60"/>
      <c r="E342" s="124"/>
      <c r="F342" s="61"/>
      <c r="G342" s="61"/>
      <c r="H342" s="61"/>
    </row>
    <row r="343" spans="1:8" s="52" customFormat="1" x14ac:dyDescent="0.3">
      <c r="A343" s="60"/>
      <c r="B343" s="60"/>
      <c r="C343" s="60"/>
      <c r="D343" s="60"/>
      <c r="E343" s="124"/>
      <c r="F343" s="61"/>
      <c r="G343" s="61"/>
      <c r="H343" s="61"/>
    </row>
    <row r="344" spans="1:8" s="52" customFormat="1" x14ac:dyDescent="0.3">
      <c r="A344" s="60"/>
      <c r="B344" s="60"/>
      <c r="C344" s="60"/>
      <c r="D344" s="60"/>
      <c r="E344" s="124"/>
      <c r="F344" s="61"/>
      <c r="G344" s="61"/>
      <c r="H344" s="61"/>
    </row>
    <row r="345" spans="1:8" s="52" customFormat="1" x14ac:dyDescent="0.3">
      <c r="A345" s="60"/>
      <c r="B345" s="60"/>
      <c r="C345" s="60"/>
      <c r="D345" s="60"/>
      <c r="E345" s="124"/>
      <c r="F345" s="61"/>
      <c r="G345" s="61"/>
      <c r="H345" s="61"/>
    </row>
    <row r="346" spans="1:8" s="52" customFormat="1" x14ac:dyDescent="0.3">
      <c r="A346" s="60"/>
      <c r="B346" s="60"/>
      <c r="C346" s="60"/>
      <c r="D346" s="60"/>
      <c r="E346" s="124"/>
      <c r="F346" s="61"/>
      <c r="G346" s="61"/>
      <c r="H346" s="61"/>
    </row>
    <row r="347" spans="1:8" s="52" customFormat="1" x14ac:dyDescent="0.3">
      <c r="A347" s="60"/>
      <c r="B347" s="60"/>
      <c r="C347" s="60"/>
      <c r="D347" s="60"/>
      <c r="E347" s="124"/>
      <c r="F347" s="61"/>
      <c r="G347" s="61"/>
      <c r="H347" s="61"/>
    </row>
    <row r="348" spans="1:8" s="52" customFormat="1" x14ac:dyDescent="0.3">
      <c r="A348" s="60"/>
      <c r="B348" s="60"/>
      <c r="C348" s="60"/>
      <c r="D348" s="60"/>
      <c r="E348" s="124"/>
      <c r="F348" s="61"/>
      <c r="G348" s="61"/>
      <c r="H348" s="61"/>
    </row>
    <row r="349" spans="1:8" s="59" customFormat="1" x14ac:dyDescent="0.3">
      <c r="A349" s="60"/>
      <c r="B349" s="60"/>
      <c r="C349" s="60"/>
      <c r="D349" s="60"/>
      <c r="E349" s="124"/>
      <c r="F349" s="61"/>
      <c r="G349" s="61"/>
      <c r="H349" s="61"/>
    </row>
    <row r="350" spans="1:8" s="47" customFormat="1" ht="30" customHeight="1" x14ac:dyDescent="0.3">
      <c r="A350" s="60"/>
      <c r="B350" s="60"/>
      <c r="C350" s="60"/>
      <c r="D350" s="60"/>
      <c r="E350" s="124"/>
      <c r="F350" s="61"/>
      <c r="G350" s="61"/>
      <c r="H350" s="61"/>
    </row>
    <row r="351" spans="1:8" s="47" customFormat="1" ht="30" customHeight="1" x14ac:dyDescent="0.3">
      <c r="A351" s="60"/>
      <c r="B351" s="60"/>
      <c r="C351" s="60"/>
      <c r="D351" s="60"/>
      <c r="E351" s="124"/>
      <c r="F351" s="61"/>
      <c r="G351" s="61"/>
      <c r="H351" s="61"/>
    </row>
    <row r="352" spans="1:8" s="52" customFormat="1" x14ac:dyDescent="0.3">
      <c r="A352" s="60"/>
      <c r="B352" s="60"/>
      <c r="C352" s="60"/>
      <c r="D352" s="60"/>
      <c r="E352" s="124"/>
      <c r="F352" s="61"/>
      <c r="G352" s="61"/>
      <c r="H352" s="61"/>
    </row>
    <row r="353" spans="1:8" s="52" customFormat="1" x14ac:dyDescent="0.3">
      <c r="A353" s="60"/>
      <c r="B353" s="60"/>
      <c r="C353" s="60"/>
      <c r="D353" s="60"/>
      <c r="E353" s="124"/>
      <c r="F353" s="61"/>
      <c r="G353" s="61"/>
      <c r="H353" s="61"/>
    </row>
    <row r="354" spans="1:8" s="52" customFormat="1" x14ac:dyDescent="0.3">
      <c r="A354" s="60"/>
      <c r="B354" s="60"/>
      <c r="C354" s="60"/>
      <c r="D354" s="60"/>
      <c r="E354" s="124"/>
      <c r="F354" s="61"/>
      <c r="G354" s="61"/>
      <c r="H354" s="61"/>
    </row>
    <row r="355" spans="1:8" s="52" customFormat="1" x14ac:dyDescent="0.3">
      <c r="A355" s="60"/>
      <c r="B355" s="60"/>
      <c r="C355" s="60"/>
      <c r="D355" s="60"/>
      <c r="E355" s="124"/>
      <c r="F355" s="61"/>
      <c r="G355" s="61"/>
      <c r="H355" s="61"/>
    </row>
    <row r="356" spans="1:8" s="52" customFormat="1" x14ac:dyDescent="0.3">
      <c r="A356" s="60"/>
      <c r="B356" s="60"/>
      <c r="C356" s="60"/>
      <c r="D356" s="60"/>
      <c r="E356" s="124"/>
      <c r="F356" s="61"/>
      <c r="G356" s="61"/>
      <c r="H356" s="61"/>
    </row>
    <row r="357" spans="1:8" s="52" customFormat="1" x14ac:dyDescent="0.3">
      <c r="A357" s="60"/>
      <c r="B357" s="60"/>
      <c r="C357" s="60"/>
      <c r="D357" s="60"/>
      <c r="E357" s="124"/>
      <c r="F357" s="61"/>
      <c r="G357" s="61"/>
      <c r="H357" s="61"/>
    </row>
    <row r="358" spans="1:8" s="52" customFormat="1" x14ac:dyDescent="0.3">
      <c r="A358" s="60"/>
      <c r="B358" s="60"/>
      <c r="C358" s="60"/>
      <c r="D358" s="60"/>
      <c r="E358" s="124"/>
      <c r="F358" s="61"/>
      <c r="G358" s="61"/>
      <c r="H358" s="61"/>
    </row>
    <row r="359" spans="1:8" s="52" customFormat="1" x14ac:dyDescent="0.3">
      <c r="A359" s="60"/>
      <c r="B359" s="60"/>
      <c r="C359" s="60"/>
      <c r="D359" s="60"/>
      <c r="E359" s="124"/>
      <c r="F359" s="61"/>
      <c r="G359" s="61"/>
      <c r="H359" s="61"/>
    </row>
    <row r="360" spans="1:8" s="52" customFormat="1" x14ac:dyDescent="0.3">
      <c r="A360" s="60"/>
      <c r="B360" s="60"/>
      <c r="C360" s="60"/>
      <c r="D360" s="60"/>
      <c r="E360" s="124"/>
      <c r="F360" s="61"/>
      <c r="G360" s="61"/>
      <c r="H360" s="61"/>
    </row>
    <row r="361" spans="1:8" s="59" customFormat="1" x14ac:dyDescent="0.3">
      <c r="A361" s="60"/>
      <c r="B361" s="60"/>
      <c r="C361" s="60"/>
      <c r="D361" s="60"/>
      <c r="E361" s="124"/>
      <c r="F361" s="61"/>
      <c r="G361" s="61"/>
      <c r="H361" s="61"/>
    </row>
    <row r="362" spans="1:8" s="47" customFormat="1" ht="30" customHeight="1" x14ac:dyDescent="0.3">
      <c r="A362" s="60"/>
      <c r="B362" s="60"/>
      <c r="C362" s="60"/>
      <c r="D362" s="60"/>
      <c r="E362" s="124"/>
      <c r="F362" s="61"/>
      <c r="G362" s="61"/>
      <c r="H362" s="61"/>
    </row>
    <row r="363" spans="1:8" s="47" customFormat="1" ht="30" customHeight="1" x14ac:dyDescent="0.3">
      <c r="A363" s="60"/>
      <c r="B363" s="60"/>
      <c r="C363" s="60"/>
      <c r="D363" s="60"/>
      <c r="E363" s="124"/>
      <c r="F363" s="61"/>
      <c r="G363" s="61"/>
      <c r="H363" s="61"/>
    </row>
    <row r="364" spans="1:8" s="52" customFormat="1" x14ac:dyDescent="0.3">
      <c r="A364" s="60"/>
      <c r="B364" s="60"/>
      <c r="C364" s="60"/>
      <c r="D364" s="60"/>
      <c r="E364" s="124"/>
      <c r="F364" s="61"/>
      <c r="G364" s="61"/>
      <c r="H364" s="61"/>
    </row>
    <row r="365" spans="1:8" s="52" customFormat="1" x14ac:dyDescent="0.3">
      <c r="A365" s="60"/>
      <c r="B365" s="60"/>
      <c r="C365" s="60"/>
      <c r="D365" s="60"/>
      <c r="E365" s="124"/>
      <c r="F365" s="61"/>
      <c r="G365" s="61"/>
      <c r="H365" s="61"/>
    </row>
    <row r="366" spans="1:8" s="52" customFormat="1" x14ac:dyDescent="0.3">
      <c r="A366" s="60"/>
      <c r="B366" s="60"/>
      <c r="C366" s="60"/>
      <c r="D366" s="60"/>
      <c r="E366" s="124"/>
      <c r="F366" s="61"/>
      <c r="G366" s="61"/>
      <c r="H366" s="61"/>
    </row>
    <row r="367" spans="1:8" s="52" customFormat="1" x14ac:dyDescent="0.3">
      <c r="A367" s="60"/>
      <c r="B367" s="60"/>
      <c r="C367" s="60"/>
      <c r="D367" s="60"/>
      <c r="E367" s="124"/>
      <c r="F367" s="61"/>
      <c r="G367" s="61"/>
      <c r="H367" s="61"/>
    </row>
    <row r="368" spans="1:8" s="52" customFormat="1" x14ac:dyDescent="0.3">
      <c r="A368" s="60"/>
      <c r="B368" s="60"/>
      <c r="C368" s="60"/>
      <c r="D368" s="60"/>
      <c r="E368" s="124"/>
      <c r="F368" s="61"/>
      <c r="G368" s="61"/>
      <c r="H368" s="61"/>
    </row>
    <row r="369" spans="1:8" s="52" customFormat="1" x14ac:dyDescent="0.3">
      <c r="A369" s="60"/>
      <c r="B369" s="60"/>
      <c r="C369" s="60"/>
      <c r="D369" s="60"/>
      <c r="E369" s="124"/>
      <c r="F369" s="61"/>
      <c r="G369" s="61"/>
      <c r="H369" s="61"/>
    </row>
    <row r="370" spans="1:8" s="52" customFormat="1" x14ac:dyDescent="0.3">
      <c r="A370" s="60"/>
      <c r="B370" s="60"/>
      <c r="C370" s="60"/>
      <c r="D370" s="60"/>
      <c r="E370" s="124"/>
      <c r="F370" s="61"/>
      <c r="G370" s="61"/>
      <c r="H370" s="61"/>
    </row>
    <row r="371" spans="1:8" s="52" customFormat="1" x14ac:dyDescent="0.3">
      <c r="A371" s="60"/>
      <c r="B371" s="60"/>
      <c r="C371" s="60"/>
      <c r="D371" s="60"/>
      <c r="E371" s="124"/>
      <c r="F371" s="61"/>
      <c r="G371" s="61"/>
      <c r="H371" s="61"/>
    </row>
    <row r="372" spans="1:8" s="52" customFormat="1" x14ac:dyDescent="0.3">
      <c r="A372" s="60"/>
      <c r="B372" s="60"/>
      <c r="C372" s="60"/>
      <c r="D372" s="60"/>
      <c r="E372" s="124"/>
      <c r="F372" s="61"/>
      <c r="G372" s="61"/>
      <c r="H372" s="61"/>
    </row>
    <row r="373" spans="1:8" s="59" customFormat="1" x14ac:dyDescent="0.3">
      <c r="A373" s="60"/>
      <c r="B373" s="60"/>
      <c r="C373" s="60"/>
      <c r="D373" s="60"/>
      <c r="E373" s="124"/>
      <c r="F373" s="61"/>
      <c r="G373" s="61"/>
      <c r="H373" s="61"/>
    </row>
    <row r="374" spans="1:8" s="47" customFormat="1" ht="30" customHeight="1" x14ac:dyDescent="0.3">
      <c r="A374" s="60"/>
      <c r="B374" s="60"/>
      <c r="C374" s="60"/>
      <c r="D374" s="60"/>
      <c r="E374" s="124"/>
      <c r="F374" s="61"/>
      <c r="G374" s="61"/>
      <c r="H374" s="61"/>
    </row>
    <row r="375" spans="1:8" s="47" customFormat="1" ht="30" customHeight="1" x14ac:dyDescent="0.3">
      <c r="A375" s="60"/>
      <c r="B375" s="60"/>
      <c r="C375" s="60"/>
      <c r="D375" s="60"/>
      <c r="E375" s="124"/>
      <c r="F375" s="61"/>
      <c r="G375" s="61"/>
      <c r="H375" s="61"/>
    </row>
    <row r="376" spans="1:8" s="52" customFormat="1" x14ac:dyDescent="0.3">
      <c r="A376" s="60"/>
      <c r="B376" s="60"/>
      <c r="C376" s="60"/>
      <c r="D376" s="60"/>
      <c r="E376" s="124"/>
      <c r="F376" s="61"/>
      <c r="G376" s="61"/>
      <c r="H376" s="61"/>
    </row>
    <row r="377" spans="1:8" s="52" customFormat="1" x14ac:dyDescent="0.3">
      <c r="A377" s="60"/>
      <c r="B377" s="60"/>
      <c r="C377" s="60"/>
      <c r="D377" s="60"/>
      <c r="E377" s="124"/>
      <c r="F377" s="61"/>
      <c r="G377" s="61"/>
      <c r="H377" s="61"/>
    </row>
    <row r="378" spans="1:8" s="52" customFormat="1" x14ac:dyDescent="0.3">
      <c r="A378" s="60"/>
      <c r="B378" s="60"/>
      <c r="C378" s="60"/>
      <c r="D378" s="60"/>
      <c r="E378" s="124"/>
      <c r="F378" s="61"/>
      <c r="G378" s="61"/>
      <c r="H378" s="61"/>
    </row>
    <row r="379" spans="1:8" s="52" customFormat="1" x14ac:dyDescent="0.3">
      <c r="A379" s="60"/>
      <c r="B379" s="60"/>
      <c r="C379" s="60"/>
      <c r="D379" s="60"/>
      <c r="E379" s="124"/>
      <c r="F379" s="61"/>
      <c r="G379" s="61"/>
      <c r="H379" s="61"/>
    </row>
    <row r="380" spans="1:8" s="52" customFormat="1" x14ac:dyDescent="0.3">
      <c r="A380" s="60"/>
      <c r="B380" s="60"/>
      <c r="C380" s="60"/>
      <c r="D380" s="60"/>
      <c r="E380" s="124"/>
      <c r="F380" s="61"/>
      <c r="G380" s="61"/>
      <c r="H380" s="61"/>
    </row>
    <row r="381" spans="1:8" s="52" customFormat="1" x14ac:dyDescent="0.3">
      <c r="A381" s="60"/>
      <c r="B381" s="60"/>
      <c r="C381" s="60"/>
      <c r="D381" s="60"/>
      <c r="E381" s="124"/>
      <c r="F381" s="61"/>
      <c r="G381" s="61"/>
      <c r="H381" s="61"/>
    </row>
    <row r="382" spans="1:8" s="52" customFormat="1" x14ac:dyDescent="0.3">
      <c r="A382" s="60"/>
      <c r="B382" s="60"/>
      <c r="C382" s="60"/>
      <c r="D382" s="60"/>
      <c r="E382" s="124"/>
      <c r="F382" s="61"/>
      <c r="G382" s="61"/>
      <c r="H382" s="61"/>
    </row>
    <row r="383" spans="1:8" s="52" customFormat="1" x14ac:dyDescent="0.3">
      <c r="A383" s="60"/>
      <c r="B383" s="60"/>
      <c r="C383" s="60"/>
      <c r="D383" s="60"/>
      <c r="E383" s="124"/>
      <c r="F383" s="61"/>
      <c r="G383" s="61"/>
      <c r="H383" s="61"/>
    </row>
    <row r="384" spans="1:8" s="52" customFormat="1" x14ac:dyDescent="0.3">
      <c r="A384" s="60"/>
      <c r="B384" s="60"/>
      <c r="C384" s="60"/>
      <c r="D384" s="60"/>
      <c r="E384" s="124"/>
      <c r="F384" s="61"/>
      <c r="G384" s="61"/>
      <c r="H384" s="61"/>
    </row>
    <row r="385" spans="1:8" s="59" customFormat="1" x14ac:dyDescent="0.3">
      <c r="A385" s="60"/>
      <c r="B385" s="60"/>
      <c r="C385" s="60"/>
      <c r="D385" s="60"/>
      <c r="E385" s="124"/>
      <c r="F385" s="61"/>
      <c r="G385" s="61"/>
      <c r="H385" s="61"/>
    </row>
    <row r="386" spans="1:8" s="47" customFormat="1" ht="30" customHeight="1" x14ac:dyDescent="0.3">
      <c r="A386" s="60"/>
      <c r="B386" s="60"/>
      <c r="C386" s="60"/>
      <c r="D386" s="60"/>
      <c r="E386" s="124"/>
      <c r="F386" s="61"/>
      <c r="G386" s="61"/>
      <c r="H386" s="61"/>
    </row>
    <row r="387" spans="1:8" s="47" customFormat="1" ht="30" customHeight="1" x14ac:dyDescent="0.3">
      <c r="A387" s="60"/>
      <c r="B387" s="60"/>
      <c r="C387" s="60"/>
      <c r="D387" s="60"/>
      <c r="E387" s="124"/>
      <c r="F387" s="61"/>
      <c r="G387" s="61"/>
      <c r="H387" s="61"/>
    </row>
    <row r="388" spans="1:8" s="52" customFormat="1" x14ac:dyDescent="0.3">
      <c r="A388" s="60"/>
      <c r="B388" s="60"/>
      <c r="C388" s="60"/>
      <c r="D388" s="60"/>
      <c r="E388" s="124"/>
      <c r="F388" s="61"/>
      <c r="G388" s="61"/>
      <c r="H388" s="61"/>
    </row>
    <row r="389" spans="1:8" s="52" customFormat="1" x14ac:dyDescent="0.3">
      <c r="A389" s="60"/>
      <c r="B389" s="60"/>
      <c r="C389" s="60"/>
      <c r="D389" s="60"/>
      <c r="E389" s="124"/>
      <c r="F389" s="61"/>
      <c r="G389" s="61"/>
      <c r="H389" s="61"/>
    </row>
    <row r="390" spans="1:8" s="52" customFormat="1" x14ac:dyDescent="0.3">
      <c r="A390" s="60"/>
      <c r="B390" s="60"/>
      <c r="C390" s="60"/>
      <c r="D390" s="60"/>
      <c r="E390" s="124"/>
      <c r="F390" s="61"/>
      <c r="G390" s="61"/>
      <c r="H390" s="61"/>
    </row>
    <row r="391" spans="1:8" s="52" customFormat="1" x14ac:dyDescent="0.3">
      <c r="A391" s="60"/>
      <c r="B391" s="60"/>
      <c r="C391" s="60"/>
      <c r="D391" s="60"/>
      <c r="E391" s="124"/>
      <c r="F391" s="61"/>
      <c r="G391" s="61"/>
      <c r="H391" s="61"/>
    </row>
    <row r="392" spans="1:8" s="52" customFormat="1" x14ac:dyDescent="0.3">
      <c r="A392" s="60"/>
      <c r="B392" s="60"/>
      <c r="C392" s="60"/>
      <c r="D392" s="60"/>
      <c r="E392" s="124"/>
      <c r="F392" s="61"/>
      <c r="G392" s="61"/>
      <c r="H392" s="61"/>
    </row>
    <row r="393" spans="1:8" s="52" customFormat="1" x14ac:dyDescent="0.3">
      <c r="A393" s="60"/>
      <c r="B393" s="60"/>
      <c r="C393" s="60"/>
      <c r="D393" s="60"/>
      <c r="E393" s="124"/>
      <c r="F393" s="61"/>
      <c r="G393" s="61"/>
      <c r="H393" s="61"/>
    </row>
    <row r="394" spans="1:8" s="52" customFormat="1" x14ac:dyDescent="0.3">
      <c r="A394" s="60"/>
      <c r="B394" s="60"/>
      <c r="C394" s="60"/>
      <c r="D394" s="60"/>
      <c r="E394" s="124"/>
      <c r="F394" s="61"/>
      <c r="G394" s="61"/>
      <c r="H394" s="61"/>
    </row>
    <row r="395" spans="1:8" s="52" customFormat="1" x14ac:dyDescent="0.3">
      <c r="A395" s="60"/>
      <c r="B395" s="60"/>
      <c r="C395" s="60"/>
      <c r="D395" s="60"/>
      <c r="E395" s="124"/>
      <c r="F395" s="61"/>
      <c r="G395" s="61"/>
      <c r="H395" s="61"/>
    </row>
    <row r="396" spans="1:8" s="52" customFormat="1" x14ac:dyDescent="0.3">
      <c r="A396" s="60"/>
      <c r="B396" s="60"/>
      <c r="C396" s="60"/>
      <c r="D396" s="60"/>
      <c r="E396" s="124"/>
      <c r="F396" s="61"/>
      <c r="G396" s="61"/>
      <c r="H396" s="61"/>
    </row>
    <row r="397" spans="1:8" s="59" customFormat="1" x14ac:dyDescent="0.3">
      <c r="A397" s="60"/>
      <c r="B397" s="60"/>
      <c r="C397" s="60"/>
      <c r="D397" s="60"/>
      <c r="E397" s="124"/>
      <c r="F397" s="61"/>
      <c r="G397" s="61"/>
      <c r="H397" s="61"/>
    </row>
    <row r="398" spans="1:8" s="47" customFormat="1" ht="30" customHeight="1" x14ac:dyDescent="0.3">
      <c r="A398" s="60"/>
      <c r="B398" s="60"/>
      <c r="C398" s="60"/>
      <c r="D398" s="60"/>
      <c r="E398" s="124"/>
      <c r="F398" s="61"/>
      <c r="G398" s="61"/>
      <c r="H398" s="61"/>
    </row>
    <row r="399" spans="1:8" s="47" customFormat="1" ht="30" customHeight="1" x14ac:dyDescent="0.3">
      <c r="A399" s="60"/>
      <c r="B399" s="60"/>
      <c r="C399" s="60"/>
      <c r="D399" s="60"/>
      <c r="E399" s="124"/>
      <c r="F399" s="61"/>
      <c r="G399" s="61"/>
      <c r="H399" s="61"/>
    </row>
    <row r="400" spans="1:8" s="52" customFormat="1" x14ac:dyDescent="0.3">
      <c r="A400" s="60"/>
      <c r="B400" s="60"/>
      <c r="C400" s="60"/>
      <c r="D400" s="60"/>
      <c r="E400" s="124"/>
      <c r="F400" s="61"/>
      <c r="G400" s="61"/>
      <c r="H400" s="61"/>
    </row>
    <row r="401" spans="1:8" s="52" customFormat="1" x14ac:dyDescent="0.3">
      <c r="A401" s="60"/>
      <c r="B401" s="60"/>
      <c r="C401" s="60"/>
      <c r="D401" s="60"/>
      <c r="E401" s="124"/>
      <c r="F401" s="61"/>
      <c r="G401" s="61"/>
      <c r="H401" s="61"/>
    </row>
    <row r="402" spans="1:8" s="52" customFormat="1" x14ac:dyDescent="0.3">
      <c r="A402" s="60"/>
      <c r="B402" s="60"/>
      <c r="C402" s="60"/>
      <c r="D402" s="60"/>
      <c r="E402" s="124"/>
      <c r="F402" s="61"/>
      <c r="G402" s="61"/>
      <c r="H402" s="61"/>
    </row>
    <row r="403" spans="1:8" s="52" customFormat="1" x14ac:dyDescent="0.3">
      <c r="A403" s="60"/>
      <c r="B403" s="60"/>
      <c r="C403" s="60"/>
      <c r="D403" s="60"/>
      <c r="E403" s="124"/>
      <c r="F403" s="61"/>
      <c r="G403" s="61"/>
      <c r="H403" s="61"/>
    </row>
    <row r="404" spans="1:8" s="52" customFormat="1" x14ac:dyDescent="0.3">
      <c r="A404" s="60"/>
      <c r="B404" s="60"/>
      <c r="C404" s="60"/>
      <c r="D404" s="60"/>
      <c r="E404" s="124"/>
      <c r="F404" s="61"/>
      <c r="G404" s="61"/>
      <c r="H404" s="61"/>
    </row>
    <row r="405" spans="1:8" s="52" customFormat="1" x14ac:dyDescent="0.3">
      <c r="A405" s="60"/>
      <c r="B405" s="60"/>
      <c r="C405" s="60"/>
      <c r="D405" s="60"/>
      <c r="E405" s="124"/>
      <c r="F405" s="61"/>
      <c r="G405" s="61"/>
      <c r="H405" s="61"/>
    </row>
    <row r="406" spans="1:8" s="52" customFormat="1" x14ac:dyDescent="0.3">
      <c r="A406" s="60"/>
      <c r="B406" s="60"/>
      <c r="C406" s="60"/>
      <c r="D406" s="60"/>
      <c r="E406" s="124"/>
      <c r="F406" s="61"/>
      <c r="G406" s="61"/>
      <c r="H406" s="61"/>
    </row>
    <row r="407" spans="1:8" s="52" customFormat="1" x14ac:dyDescent="0.3">
      <c r="A407" s="60"/>
      <c r="B407" s="60"/>
      <c r="C407" s="60"/>
      <c r="D407" s="60"/>
      <c r="E407" s="124"/>
      <c r="F407" s="61"/>
      <c r="G407" s="61"/>
      <c r="H407" s="61"/>
    </row>
    <row r="408" spans="1:8" s="52" customFormat="1" x14ac:dyDescent="0.3">
      <c r="A408" s="60"/>
      <c r="B408" s="60"/>
      <c r="C408" s="60"/>
      <c r="D408" s="60"/>
      <c r="E408" s="124"/>
      <c r="F408" s="61"/>
      <c r="G408" s="61"/>
      <c r="H408" s="61"/>
    </row>
    <row r="409" spans="1:8" s="59" customFormat="1" x14ac:dyDescent="0.3">
      <c r="A409" s="60"/>
      <c r="B409" s="60"/>
      <c r="C409" s="60"/>
      <c r="D409" s="60"/>
      <c r="E409" s="124"/>
      <c r="F409" s="61"/>
      <c r="G409" s="61"/>
      <c r="H409" s="61"/>
    </row>
    <row r="410" spans="1:8" s="47" customFormat="1" ht="30" customHeight="1" x14ac:dyDescent="0.3">
      <c r="A410" s="60"/>
      <c r="B410" s="60"/>
      <c r="C410" s="60"/>
      <c r="D410" s="60"/>
      <c r="E410" s="124"/>
      <c r="F410" s="61"/>
      <c r="G410" s="61"/>
      <c r="H410" s="61"/>
    </row>
    <row r="411" spans="1:8" s="47" customFormat="1" ht="30" customHeight="1" x14ac:dyDescent="0.3">
      <c r="A411" s="60"/>
      <c r="B411" s="60"/>
      <c r="C411" s="60"/>
      <c r="D411" s="60"/>
      <c r="E411" s="124"/>
      <c r="F411" s="61"/>
      <c r="G411" s="61"/>
      <c r="H411" s="61"/>
    </row>
    <row r="412" spans="1:8" s="52" customFormat="1" x14ac:dyDescent="0.3">
      <c r="A412" s="60"/>
      <c r="B412" s="60"/>
      <c r="C412" s="60"/>
      <c r="D412" s="60"/>
      <c r="E412" s="124"/>
      <c r="F412" s="61"/>
      <c r="G412" s="61"/>
      <c r="H412" s="61"/>
    </row>
    <row r="413" spans="1:8" s="52" customFormat="1" x14ac:dyDescent="0.3">
      <c r="A413" s="60"/>
      <c r="B413" s="60"/>
      <c r="C413" s="60"/>
      <c r="D413" s="60"/>
      <c r="E413" s="124"/>
      <c r="F413" s="61"/>
      <c r="G413" s="61"/>
      <c r="H413" s="61"/>
    </row>
    <row r="414" spans="1:8" s="52" customFormat="1" x14ac:dyDescent="0.3">
      <c r="A414" s="60"/>
      <c r="B414" s="60"/>
      <c r="C414" s="60"/>
      <c r="D414" s="60"/>
      <c r="E414" s="124"/>
      <c r="F414" s="61"/>
      <c r="G414" s="61"/>
      <c r="H414" s="61"/>
    </row>
    <row r="415" spans="1:8" s="52" customFormat="1" x14ac:dyDescent="0.3">
      <c r="A415" s="60"/>
      <c r="B415" s="60"/>
      <c r="C415" s="60"/>
      <c r="D415" s="60"/>
      <c r="E415" s="124"/>
      <c r="F415" s="61"/>
      <c r="G415" s="61"/>
      <c r="H415" s="61"/>
    </row>
    <row r="416" spans="1:8" s="52" customFormat="1" x14ac:dyDescent="0.3">
      <c r="A416" s="60"/>
      <c r="B416" s="60"/>
      <c r="C416" s="60"/>
      <c r="D416" s="60"/>
      <c r="E416" s="124"/>
      <c r="F416" s="61"/>
      <c r="G416" s="61"/>
      <c r="H416" s="61"/>
    </row>
    <row r="417" spans="1:8" s="52" customFormat="1" x14ac:dyDescent="0.3">
      <c r="A417" s="60"/>
      <c r="B417" s="60"/>
      <c r="C417" s="60"/>
      <c r="D417" s="60"/>
      <c r="E417" s="124"/>
      <c r="F417" s="61"/>
      <c r="G417" s="61"/>
      <c r="H417" s="61"/>
    </row>
    <row r="418" spans="1:8" s="52" customFormat="1" x14ac:dyDescent="0.3">
      <c r="A418" s="60"/>
      <c r="B418" s="60"/>
      <c r="C418" s="60"/>
      <c r="D418" s="60"/>
      <c r="E418" s="124"/>
      <c r="F418" s="61"/>
      <c r="G418" s="61"/>
      <c r="H418" s="61"/>
    </row>
    <row r="419" spans="1:8" s="52" customFormat="1" x14ac:dyDescent="0.3">
      <c r="A419" s="60"/>
      <c r="B419" s="60"/>
      <c r="C419" s="60"/>
      <c r="D419" s="60"/>
      <c r="E419" s="124"/>
      <c r="F419" s="61"/>
      <c r="G419" s="61"/>
      <c r="H419" s="61"/>
    </row>
    <row r="420" spans="1:8" s="52" customFormat="1" x14ac:dyDescent="0.3">
      <c r="A420" s="60"/>
      <c r="B420" s="60"/>
      <c r="C420" s="60"/>
      <c r="D420" s="60"/>
      <c r="E420" s="124"/>
      <c r="F420" s="61"/>
      <c r="G420" s="61"/>
      <c r="H420" s="61"/>
    </row>
    <row r="421" spans="1:8" s="59" customFormat="1" x14ac:dyDescent="0.3">
      <c r="A421" s="60"/>
      <c r="B421" s="60"/>
      <c r="C421" s="60"/>
      <c r="D421" s="60"/>
      <c r="E421" s="124"/>
      <c r="F421" s="61"/>
      <c r="G421" s="61"/>
      <c r="H421" s="61"/>
    </row>
    <row r="422" spans="1:8" s="47" customFormat="1" ht="30" customHeight="1" x14ac:dyDescent="0.3">
      <c r="A422" s="60"/>
      <c r="B422" s="60"/>
      <c r="C422" s="60"/>
      <c r="D422" s="60"/>
      <c r="E422" s="124"/>
      <c r="F422" s="61"/>
      <c r="G422" s="61"/>
      <c r="H422" s="61"/>
    </row>
    <row r="423" spans="1:8" s="47" customFormat="1" ht="30" customHeight="1" x14ac:dyDescent="0.3">
      <c r="A423" s="60"/>
      <c r="B423" s="60"/>
      <c r="C423" s="60"/>
      <c r="D423" s="60"/>
      <c r="E423" s="124"/>
      <c r="F423" s="61"/>
      <c r="G423" s="61"/>
      <c r="H423" s="61"/>
    </row>
    <row r="424" spans="1:8" s="52" customFormat="1" x14ac:dyDescent="0.3">
      <c r="A424" s="60"/>
      <c r="B424" s="60"/>
      <c r="C424" s="60"/>
      <c r="D424" s="60"/>
      <c r="E424" s="124"/>
      <c r="F424" s="61"/>
      <c r="G424" s="61"/>
      <c r="H424" s="61"/>
    </row>
    <row r="425" spans="1:8" s="52" customFormat="1" x14ac:dyDescent="0.3">
      <c r="A425" s="60"/>
      <c r="B425" s="60"/>
      <c r="C425" s="60"/>
      <c r="D425" s="60"/>
      <c r="E425" s="124"/>
      <c r="F425" s="61"/>
      <c r="G425" s="61"/>
      <c r="H425" s="61"/>
    </row>
    <row r="426" spans="1:8" s="52" customFormat="1" x14ac:dyDescent="0.3">
      <c r="A426" s="60"/>
      <c r="B426" s="60"/>
      <c r="C426" s="60"/>
      <c r="D426" s="60"/>
      <c r="E426" s="124"/>
      <c r="F426" s="61"/>
      <c r="G426" s="61"/>
      <c r="H426" s="61"/>
    </row>
    <row r="427" spans="1:8" s="52" customFormat="1" x14ac:dyDescent="0.3">
      <c r="A427" s="60"/>
      <c r="B427" s="60"/>
      <c r="C427" s="60"/>
      <c r="D427" s="60"/>
      <c r="E427" s="124"/>
      <c r="F427" s="61"/>
      <c r="G427" s="61"/>
      <c r="H427" s="61"/>
    </row>
    <row r="428" spans="1:8" s="52" customFormat="1" x14ac:dyDescent="0.3">
      <c r="A428" s="60"/>
      <c r="B428" s="60"/>
      <c r="C428" s="60"/>
      <c r="D428" s="60"/>
      <c r="E428" s="124"/>
      <c r="F428" s="61"/>
      <c r="G428" s="61"/>
      <c r="H428" s="61"/>
    </row>
    <row r="429" spans="1:8" s="52" customFormat="1" x14ac:dyDescent="0.3">
      <c r="A429" s="60"/>
      <c r="B429" s="60"/>
      <c r="C429" s="60"/>
      <c r="D429" s="60"/>
      <c r="E429" s="124"/>
      <c r="F429" s="61"/>
      <c r="G429" s="61"/>
      <c r="H429" s="61"/>
    </row>
    <row r="430" spans="1:8" s="52" customFormat="1" x14ac:dyDescent="0.3">
      <c r="A430" s="60"/>
      <c r="B430" s="60"/>
      <c r="C430" s="60"/>
      <c r="D430" s="60"/>
      <c r="E430" s="124"/>
      <c r="F430" s="61"/>
      <c r="G430" s="61"/>
      <c r="H430" s="61"/>
    </row>
    <row r="431" spans="1:8" s="52" customFormat="1" x14ac:dyDescent="0.3">
      <c r="A431" s="60"/>
      <c r="B431" s="60"/>
      <c r="C431" s="60"/>
      <c r="D431" s="60"/>
      <c r="E431" s="124"/>
      <c r="F431" s="61"/>
      <c r="G431" s="61"/>
      <c r="H431" s="61"/>
    </row>
    <row r="432" spans="1:8" s="52" customFormat="1" x14ac:dyDescent="0.3">
      <c r="A432" s="60"/>
      <c r="B432" s="60"/>
      <c r="C432" s="60"/>
      <c r="D432" s="60"/>
      <c r="E432" s="124"/>
      <c r="F432" s="61"/>
      <c r="G432" s="61"/>
      <c r="H432" s="61"/>
    </row>
    <row r="433" spans="1:8" s="59" customFormat="1" x14ac:dyDescent="0.3">
      <c r="A433" s="60"/>
      <c r="B433" s="60"/>
      <c r="C433" s="60"/>
      <c r="D433" s="60"/>
      <c r="E433" s="124"/>
      <c r="F433" s="61"/>
      <c r="G433" s="61"/>
      <c r="H433" s="61"/>
    </row>
    <row r="434" spans="1:8" s="47" customFormat="1" ht="30" customHeight="1" x14ac:dyDescent="0.3">
      <c r="A434" s="60"/>
      <c r="B434" s="60"/>
      <c r="C434" s="60"/>
      <c r="D434" s="60"/>
      <c r="E434" s="124"/>
      <c r="F434" s="61"/>
      <c r="G434" s="61"/>
      <c r="H434" s="61"/>
    </row>
    <row r="435" spans="1:8" s="47" customFormat="1" ht="30" customHeight="1" x14ac:dyDescent="0.3">
      <c r="A435" s="60"/>
      <c r="B435" s="60"/>
      <c r="C435" s="60"/>
      <c r="D435" s="60"/>
      <c r="E435" s="124"/>
      <c r="F435" s="61"/>
      <c r="G435" s="61"/>
      <c r="H435" s="61"/>
    </row>
    <row r="436" spans="1:8" s="52" customFormat="1" x14ac:dyDescent="0.3">
      <c r="A436" s="60"/>
      <c r="B436" s="60"/>
      <c r="C436" s="60"/>
      <c r="D436" s="60"/>
      <c r="E436" s="124"/>
      <c r="F436" s="61"/>
      <c r="G436" s="61"/>
      <c r="H436" s="61"/>
    </row>
    <row r="437" spans="1:8" s="52" customFormat="1" x14ac:dyDescent="0.3">
      <c r="A437" s="60"/>
      <c r="B437" s="60"/>
      <c r="C437" s="60"/>
      <c r="D437" s="60"/>
      <c r="E437" s="124"/>
      <c r="F437" s="61"/>
      <c r="G437" s="61"/>
      <c r="H437" s="61"/>
    </row>
    <row r="438" spans="1:8" s="52" customFormat="1" x14ac:dyDescent="0.3">
      <c r="A438" s="60"/>
      <c r="B438" s="60"/>
      <c r="C438" s="60"/>
      <c r="D438" s="60"/>
      <c r="E438" s="124"/>
      <c r="F438" s="61"/>
      <c r="G438" s="61"/>
      <c r="H438" s="61"/>
    </row>
    <row r="439" spans="1:8" s="52" customFormat="1" x14ac:dyDescent="0.3">
      <c r="A439" s="60"/>
      <c r="B439" s="60"/>
      <c r="C439" s="60"/>
      <c r="D439" s="60"/>
      <c r="E439" s="124"/>
      <c r="F439" s="61"/>
      <c r="G439" s="61"/>
      <c r="H439" s="61"/>
    </row>
    <row r="440" spans="1:8" s="52" customFormat="1" x14ac:dyDescent="0.3">
      <c r="A440" s="60"/>
      <c r="B440" s="60"/>
      <c r="C440" s="60"/>
      <c r="D440" s="60"/>
      <c r="E440" s="124"/>
      <c r="F440" s="61"/>
      <c r="G440" s="61"/>
      <c r="H440" s="61"/>
    </row>
    <row r="441" spans="1:8" s="52" customFormat="1" x14ac:dyDescent="0.3">
      <c r="A441" s="60"/>
      <c r="B441" s="60"/>
      <c r="C441" s="60"/>
      <c r="D441" s="60"/>
      <c r="E441" s="124"/>
      <c r="F441" s="61"/>
      <c r="G441" s="61"/>
      <c r="H441" s="61"/>
    </row>
    <row r="442" spans="1:8" s="52" customFormat="1" x14ac:dyDescent="0.3">
      <c r="A442" s="60"/>
      <c r="B442" s="60"/>
      <c r="C442" s="60"/>
      <c r="D442" s="60"/>
      <c r="E442" s="124"/>
      <c r="F442" s="61"/>
      <c r="G442" s="61"/>
      <c r="H442" s="61"/>
    </row>
    <row r="443" spans="1:8" s="52" customFormat="1" x14ac:dyDescent="0.3">
      <c r="A443" s="60"/>
      <c r="B443" s="60"/>
      <c r="C443" s="60"/>
      <c r="D443" s="60"/>
      <c r="E443" s="124"/>
      <c r="F443" s="61"/>
      <c r="G443" s="61"/>
      <c r="H443" s="61"/>
    </row>
    <row r="444" spans="1:8" s="52" customFormat="1" x14ac:dyDescent="0.3">
      <c r="A444" s="60"/>
      <c r="B444" s="60"/>
      <c r="C444" s="60"/>
      <c r="D444" s="60"/>
      <c r="E444" s="124"/>
      <c r="F444" s="61"/>
      <c r="G444" s="61"/>
      <c r="H444" s="61"/>
    </row>
    <row r="445" spans="1:8" s="59" customFormat="1" x14ac:dyDescent="0.3">
      <c r="A445" s="60"/>
      <c r="B445" s="60"/>
      <c r="C445" s="60"/>
      <c r="D445" s="60"/>
      <c r="E445" s="124"/>
      <c r="F445" s="61"/>
      <c r="G445" s="61"/>
      <c r="H445" s="61"/>
    </row>
    <row r="446" spans="1:8" s="47" customFormat="1" ht="30" customHeight="1" x14ac:dyDescent="0.3">
      <c r="A446" s="60"/>
      <c r="B446" s="60"/>
      <c r="C446" s="60"/>
      <c r="D446" s="60"/>
      <c r="E446" s="124"/>
      <c r="F446" s="61"/>
      <c r="G446" s="61"/>
      <c r="H446" s="61"/>
    </row>
    <row r="447" spans="1:8" s="47" customFormat="1" ht="30" customHeight="1" x14ac:dyDescent="0.3">
      <c r="A447" s="60"/>
      <c r="B447" s="60"/>
      <c r="C447" s="60"/>
      <c r="D447" s="60"/>
      <c r="E447" s="124"/>
      <c r="F447" s="61"/>
      <c r="G447" s="61"/>
      <c r="H447" s="61"/>
    </row>
    <row r="448" spans="1:8" s="52" customFormat="1" x14ac:dyDescent="0.3">
      <c r="A448" s="60"/>
      <c r="B448" s="60"/>
      <c r="C448" s="60"/>
      <c r="D448" s="60"/>
      <c r="E448" s="124"/>
      <c r="F448" s="61"/>
      <c r="G448" s="61"/>
      <c r="H448" s="61"/>
    </row>
    <row r="449" spans="1:8" s="52" customFormat="1" x14ac:dyDescent="0.3">
      <c r="A449" s="60"/>
      <c r="B449" s="60"/>
      <c r="C449" s="60"/>
      <c r="D449" s="60"/>
      <c r="E449" s="124"/>
      <c r="F449" s="61"/>
      <c r="G449" s="61"/>
      <c r="H449" s="61"/>
    </row>
    <row r="450" spans="1:8" s="52" customFormat="1" x14ac:dyDescent="0.3">
      <c r="A450" s="60"/>
      <c r="B450" s="60"/>
      <c r="C450" s="60"/>
      <c r="D450" s="60"/>
      <c r="E450" s="124"/>
      <c r="F450" s="61"/>
      <c r="G450" s="61"/>
      <c r="H450" s="61"/>
    </row>
    <row r="451" spans="1:8" s="52" customFormat="1" x14ac:dyDescent="0.3">
      <c r="A451" s="60"/>
      <c r="B451" s="60"/>
      <c r="C451" s="60"/>
      <c r="D451" s="60"/>
      <c r="E451" s="124"/>
      <c r="F451" s="61"/>
      <c r="G451" s="61"/>
      <c r="H451" s="61"/>
    </row>
    <row r="452" spans="1:8" s="52" customFormat="1" x14ac:dyDescent="0.3">
      <c r="A452" s="60"/>
      <c r="B452" s="60"/>
      <c r="C452" s="60"/>
      <c r="D452" s="60"/>
      <c r="E452" s="124"/>
      <c r="F452" s="61"/>
      <c r="G452" s="61"/>
      <c r="H452" s="61"/>
    </row>
    <row r="453" spans="1:8" s="52" customFormat="1" x14ac:dyDescent="0.3">
      <c r="A453" s="60"/>
      <c r="B453" s="60"/>
      <c r="C453" s="60"/>
      <c r="D453" s="60"/>
      <c r="E453" s="124"/>
      <c r="F453" s="61"/>
      <c r="G453" s="61"/>
      <c r="H453" s="61"/>
    </row>
    <row r="454" spans="1:8" s="52" customFormat="1" x14ac:dyDescent="0.3">
      <c r="A454" s="60"/>
      <c r="B454" s="60"/>
      <c r="C454" s="60"/>
      <c r="D454" s="60"/>
      <c r="E454" s="124"/>
      <c r="F454" s="61"/>
      <c r="G454" s="61"/>
      <c r="H454" s="61"/>
    </row>
    <row r="455" spans="1:8" s="52" customFormat="1" x14ac:dyDescent="0.3">
      <c r="A455" s="60"/>
      <c r="B455" s="60"/>
      <c r="C455" s="60"/>
      <c r="D455" s="60"/>
      <c r="E455" s="124"/>
      <c r="F455" s="61"/>
      <c r="G455" s="61"/>
      <c r="H455" s="61"/>
    </row>
    <row r="456" spans="1:8" s="52" customFormat="1" x14ac:dyDescent="0.3">
      <c r="A456" s="60"/>
      <c r="B456" s="60"/>
      <c r="C456" s="60"/>
      <c r="D456" s="60"/>
      <c r="E456" s="124"/>
      <c r="F456" s="61"/>
      <c r="G456" s="61"/>
      <c r="H456" s="61"/>
    </row>
    <row r="457" spans="1:8" s="59" customFormat="1" x14ac:dyDescent="0.3">
      <c r="A457" s="60"/>
      <c r="B457" s="60"/>
      <c r="C457" s="60"/>
      <c r="D457" s="60"/>
      <c r="E457" s="124"/>
      <c r="F457" s="61"/>
      <c r="G457" s="61"/>
      <c r="H457" s="61"/>
    </row>
    <row r="458" spans="1:8" s="47" customFormat="1" ht="30" customHeight="1" x14ac:dyDescent="0.3">
      <c r="A458" s="60"/>
      <c r="B458" s="60"/>
      <c r="C458" s="60"/>
      <c r="D458" s="60"/>
      <c r="E458" s="124"/>
      <c r="F458" s="61"/>
      <c r="G458" s="61"/>
      <c r="H458" s="61"/>
    </row>
    <row r="459" spans="1:8" s="47" customFormat="1" ht="30" customHeight="1" x14ac:dyDescent="0.3">
      <c r="A459" s="60"/>
      <c r="B459" s="60"/>
      <c r="C459" s="60"/>
      <c r="D459" s="60"/>
      <c r="E459" s="124"/>
      <c r="F459" s="61"/>
      <c r="G459" s="61"/>
      <c r="H459" s="61"/>
    </row>
    <row r="460" spans="1:8" s="52" customFormat="1" x14ac:dyDescent="0.3">
      <c r="A460" s="60"/>
      <c r="B460" s="60"/>
      <c r="C460" s="60"/>
      <c r="D460" s="60"/>
      <c r="E460" s="124"/>
      <c r="F460" s="61"/>
      <c r="G460" s="61"/>
      <c r="H460" s="61"/>
    </row>
    <row r="461" spans="1:8" s="52" customFormat="1" x14ac:dyDescent="0.3">
      <c r="A461" s="60"/>
      <c r="B461" s="60"/>
      <c r="C461" s="60"/>
      <c r="D461" s="60"/>
      <c r="E461" s="124"/>
      <c r="F461" s="61"/>
      <c r="G461" s="61"/>
      <c r="H461" s="61"/>
    </row>
    <row r="462" spans="1:8" s="52" customFormat="1" x14ac:dyDescent="0.3">
      <c r="A462" s="60"/>
      <c r="B462" s="60"/>
      <c r="C462" s="60"/>
      <c r="D462" s="60"/>
      <c r="E462" s="124"/>
      <c r="F462" s="61"/>
      <c r="G462" s="61"/>
      <c r="H462" s="61"/>
    </row>
    <row r="463" spans="1:8" s="52" customFormat="1" x14ac:dyDescent="0.3">
      <c r="A463" s="60"/>
      <c r="B463" s="60"/>
      <c r="C463" s="60"/>
      <c r="D463" s="60"/>
      <c r="E463" s="124"/>
      <c r="F463" s="61"/>
      <c r="G463" s="61"/>
      <c r="H463" s="61"/>
    </row>
    <row r="464" spans="1:8" s="52" customFormat="1" x14ac:dyDescent="0.3">
      <c r="A464" s="60"/>
      <c r="B464" s="60"/>
      <c r="C464" s="60"/>
      <c r="D464" s="60"/>
      <c r="E464" s="124"/>
      <c r="F464" s="61"/>
      <c r="G464" s="61"/>
      <c r="H464" s="61"/>
    </row>
    <row r="465" spans="1:8" s="52" customFormat="1" x14ac:dyDescent="0.3">
      <c r="A465" s="60"/>
      <c r="B465" s="60"/>
      <c r="C465" s="60"/>
      <c r="D465" s="60"/>
      <c r="E465" s="124"/>
      <c r="F465" s="61"/>
      <c r="G465" s="61"/>
      <c r="H465" s="61"/>
    </row>
    <row r="466" spans="1:8" s="52" customFormat="1" x14ac:dyDescent="0.3">
      <c r="A466" s="60"/>
      <c r="B466" s="60"/>
      <c r="C466" s="60"/>
      <c r="D466" s="60"/>
      <c r="E466" s="124"/>
      <c r="F466" s="61"/>
      <c r="G466" s="61"/>
      <c r="H466" s="61"/>
    </row>
    <row r="467" spans="1:8" s="52" customFormat="1" x14ac:dyDescent="0.3">
      <c r="A467" s="60"/>
      <c r="B467" s="60"/>
      <c r="C467" s="60"/>
      <c r="D467" s="60"/>
      <c r="E467" s="124"/>
      <c r="F467" s="61"/>
      <c r="G467" s="61"/>
      <c r="H467" s="61"/>
    </row>
    <row r="468" spans="1:8" s="52" customFormat="1" x14ac:dyDescent="0.3">
      <c r="A468" s="60"/>
      <c r="B468" s="60"/>
      <c r="C468" s="60"/>
      <c r="D468" s="60"/>
      <c r="E468" s="124"/>
      <c r="F468" s="61"/>
      <c r="G468" s="61"/>
      <c r="H468" s="61"/>
    </row>
    <row r="469" spans="1:8" s="59" customFormat="1" x14ac:dyDescent="0.3">
      <c r="A469" s="60"/>
      <c r="B469" s="60"/>
      <c r="C469" s="60"/>
      <c r="D469" s="60"/>
      <c r="E469" s="124"/>
      <c r="F469" s="61"/>
      <c r="G469" s="61"/>
      <c r="H469" s="61"/>
    </row>
    <row r="470" spans="1:8" s="47" customFormat="1" ht="30" customHeight="1" x14ac:dyDescent="0.3">
      <c r="A470" s="60"/>
      <c r="B470" s="60"/>
      <c r="C470" s="60"/>
      <c r="D470" s="60"/>
      <c r="E470" s="124"/>
      <c r="F470" s="61"/>
      <c r="G470" s="61"/>
      <c r="H470" s="61"/>
    </row>
    <row r="471" spans="1:8" s="47" customFormat="1" ht="30" customHeight="1" x14ac:dyDescent="0.3">
      <c r="A471" s="60"/>
      <c r="B471" s="60"/>
      <c r="C471" s="60"/>
      <c r="D471" s="60"/>
      <c r="E471" s="124"/>
      <c r="F471" s="61"/>
      <c r="G471" s="61"/>
      <c r="H471" s="61"/>
    </row>
    <row r="472" spans="1:8" s="52" customFormat="1" x14ac:dyDescent="0.3">
      <c r="A472" s="60"/>
      <c r="B472" s="60"/>
      <c r="C472" s="60"/>
      <c r="D472" s="60"/>
      <c r="E472" s="124"/>
      <c r="F472" s="61"/>
      <c r="G472" s="61"/>
      <c r="H472" s="61"/>
    </row>
    <row r="473" spans="1:8" s="52" customFormat="1" x14ac:dyDescent="0.3">
      <c r="A473" s="60"/>
      <c r="B473" s="60"/>
      <c r="C473" s="60"/>
      <c r="D473" s="60"/>
      <c r="E473" s="124"/>
      <c r="F473" s="61"/>
      <c r="G473" s="61"/>
      <c r="H473" s="61"/>
    </row>
    <row r="474" spans="1:8" s="52" customFormat="1" x14ac:dyDescent="0.3">
      <c r="A474" s="60"/>
      <c r="B474" s="60"/>
      <c r="C474" s="60"/>
      <c r="D474" s="60"/>
      <c r="E474" s="124"/>
      <c r="F474" s="61"/>
      <c r="G474" s="61"/>
      <c r="H474" s="61"/>
    </row>
    <row r="475" spans="1:8" s="52" customFormat="1" x14ac:dyDescent="0.3">
      <c r="A475" s="60"/>
      <c r="B475" s="60"/>
      <c r="C475" s="60"/>
      <c r="D475" s="60"/>
      <c r="E475" s="124"/>
      <c r="F475" s="61"/>
      <c r="G475" s="61"/>
      <c r="H475" s="61"/>
    </row>
    <row r="476" spans="1:8" s="52" customFormat="1" x14ac:dyDescent="0.3">
      <c r="A476" s="60"/>
      <c r="B476" s="60"/>
      <c r="C476" s="60"/>
      <c r="D476" s="60"/>
      <c r="E476" s="124"/>
      <c r="F476" s="61"/>
      <c r="G476" s="61"/>
      <c r="H476" s="61"/>
    </row>
    <row r="477" spans="1:8" s="52" customFormat="1" x14ac:dyDescent="0.3">
      <c r="A477" s="60"/>
      <c r="B477" s="60"/>
      <c r="C477" s="60"/>
      <c r="D477" s="60"/>
      <c r="E477" s="124"/>
      <c r="F477" s="61"/>
      <c r="G477" s="61"/>
      <c r="H477" s="61"/>
    </row>
    <row r="478" spans="1:8" s="52" customFormat="1" x14ac:dyDescent="0.3">
      <c r="A478" s="60"/>
      <c r="B478" s="60"/>
      <c r="C478" s="60"/>
      <c r="D478" s="60"/>
      <c r="E478" s="124"/>
      <c r="F478" s="61"/>
      <c r="G478" s="61"/>
      <c r="H478" s="61"/>
    </row>
    <row r="479" spans="1:8" s="52" customFormat="1" x14ac:dyDescent="0.3">
      <c r="A479" s="60"/>
      <c r="B479" s="60"/>
      <c r="C479" s="60"/>
      <c r="D479" s="60"/>
      <c r="E479" s="124"/>
      <c r="F479" s="61"/>
      <c r="G479" s="61"/>
      <c r="H479" s="61"/>
    </row>
    <row r="480" spans="1:8" s="52" customFormat="1" x14ac:dyDescent="0.3">
      <c r="A480" s="60"/>
      <c r="B480" s="60"/>
      <c r="C480" s="60"/>
      <c r="D480" s="60"/>
      <c r="E480" s="124"/>
      <c r="F480" s="61"/>
      <c r="G480" s="61"/>
      <c r="H480" s="61"/>
    </row>
    <row r="481" spans="1:8" s="59" customFormat="1" x14ac:dyDescent="0.3">
      <c r="A481" s="60"/>
      <c r="B481" s="60"/>
      <c r="C481" s="60"/>
      <c r="D481" s="60"/>
      <c r="E481" s="124"/>
      <c r="F481" s="61"/>
      <c r="G481" s="61"/>
      <c r="H481" s="61"/>
    </row>
    <row r="482" spans="1:8" s="47" customFormat="1" ht="30" customHeight="1" x14ac:dyDescent="0.3">
      <c r="A482" s="60"/>
      <c r="B482" s="60"/>
      <c r="C482" s="60"/>
      <c r="D482" s="60"/>
      <c r="E482" s="124"/>
      <c r="F482" s="61"/>
      <c r="G482" s="61"/>
      <c r="H482" s="61"/>
    </row>
    <row r="483" spans="1:8" s="47" customFormat="1" ht="30" customHeight="1" x14ac:dyDescent="0.3">
      <c r="A483" s="60"/>
      <c r="B483" s="60"/>
      <c r="C483" s="60"/>
      <c r="D483" s="60"/>
      <c r="E483" s="124"/>
      <c r="F483" s="61"/>
      <c r="G483" s="61"/>
      <c r="H483" s="61"/>
    </row>
    <row r="484" spans="1:8" s="52" customFormat="1" x14ac:dyDescent="0.3">
      <c r="A484" s="60"/>
      <c r="B484" s="60"/>
      <c r="C484" s="60"/>
      <c r="D484" s="60"/>
      <c r="E484" s="124"/>
      <c r="F484" s="61"/>
      <c r="G484" s="61"/>
      <c r="H484" s="61"/>
    </row>
    <row r="485" spans="1:8" s="52" customFormat="1" x14ac:dyDescent="0.3">
      <c r="A485" s="60"/>
      <c r="B485" s="60"/>
      <c r="C485" s="60"/>
      <c r="D485" s="60"/>
      <c r="E485" s="124"/>
      <c r="F485" s="61"/>
      <c r="G485" s="61"/>
      <c r="H485" s="61"/>
    </row>
    <row r="486" spans="1:8" s="52" customFormat="1" x14ac:dyDescent="0.3">
      <c r="A486" s="60"/>
      <c r="B486" s="60"/>
      <c r="C486" s="60"/>
      <c r="D486" s="60"/>
      <c r="E486" s="124"/>
      <c r="F486" s="61"/>
      <c r="G486" s="61"/>
      <c r="H486" s="61"/>
    </row>
    <row r="487" spans="1:8" s="52" customFormat="1" x14ac:dyDescent="0.3">
      <c r="A487" s="60"/>
      <c r="B487" s="60"/>
      <c r="C487" s="60"/>
      <c r="D487" s="60"/>
      <c r="E487" s="124"/>
      <c r="F487" s="61"/>
      <c r="G487" s="61"/>
      <c r="H487" s="61"/>
    </row>
    <row r="488" spans="1:8" s="52" customFormat="1" x14ac:dyDescent="0.3">
      <c r="A488" s="60"/>
      <c r="B488" s="60"/>
      <c r="C488" s="60"/>
      <c r="D488" s="60"/>
      <c r="E488" s="124"/>
      <c r="F488" s="61"/>
      <c r="G488" s="61"/>
      <c r="H488" s="61"/>
    </row>
    <row r="489" spans="1:8" s="52" customFormat="1" x14ac:dyDescent="0.3">
      <c r="A489" s="60"/>
      <c r="B489" s="60"/>
      <c r="C489" s="60"/>
      <c r="D489" s="60"/>
      <c r="E489" s="124"/>
      <c r="F489" s="61"/>
      <c r="G489" s="61"/>
      <c r="H489" s="61"/>
    </row>
    <row r="490" spans="1:8" s="52" customFormat="1" x14ac:dyDescent="0.3">
      <c r="A490" s="60"/>
      <c r="B490" s="60"/>
      <c r="C490" s="60"/>
      <c r="D490" s="60"/>
      <c r="E490" s="124"/>
      <c r="F490" s="61"/>
      <c r="G490" s="61"/>
      <c r="H490" s="61"/>
    </row>
    <row r="491" spans="1:8" s="52" customFormat="1" x14ac:dyDescent="0.3">
      <c r="A491" s="60"/>
      <c r="B491" s="60"/>
      <c r="C491" s="60"/>
      <c r="D491" s="60"/>
      <c r="E491" s="124"/>
      <c r="F491" s="61"/>
      <c r="G491" s="61"/>
      <c r="H491" s="61"/>
    </row>
    <row r="492" spans="1:8" s="52" customFormat="1" x14ac:dyDescent="0.3">
      <c r="A492" s="60"/>
      <c r="B492" s="60"/>
      <c r="C492" s="60"/>
      <c r="D492" s="60"/>
      <c r="E492" s="124"/>
      <c r="F492" s="61"/>
      <c r="G492" s="61"/>
      <c r="H492" s="61"/>
    </row>
    <row r="493" spans="1:8" s="59" customFormat="1" x14ac:dyDescent="0.3">
      <c r="A493" s="60"/>
      <c r="B493" s="60"/>
      <c r="C493" s="60"/>
      <c r="D493" s="60"/>
      <c r="E493" s="124"/>
      <c r="F493" s="61"/>
      <c r="G493" s="61"/>
      <c r="H493" s="61"/>
    </row>
    <row r="494" spans="1:8" s="47" customFormat="1" ht="30" customHeight="1" x14ac:dyDescent="0.3">
      <c r="A494" s="60"/>
      <c r="B494" s="60"/>
      <c r="C494" s="60"/>
      <c r="D494" s="60"/>
      <c r="E494" s="124"/>
      <c r="F494" s="61"/>
      <c r="G494" s="61"/>
      <c r="H494" s="61"/>
    </row>
    <row r="495" spans="1:8" s="47" customFormat="1" ht="30" customHeight="1" x14ac:dyDescent="0.3">
      <c r="A495" s="60"/>
      <c r="B495" s="60"/>
      <c r="C495" s="60"/>
      <c r="D495" s="60"/>
      <c r="E495" s="124"/>
      <c r="F495" s="61"/>
      <c r="G495" s="61"/>
      <c r="H495" s="61"/>
    </row>
    <row r="496" spans="1:8" s="52" customFormat="1" x14ac:dyDescent="0.3">
      <c r="A496" s="60"/>
      <c r="B496" s="60"/>
      <c r="C496" s="60"/>
      <c r="D496" s="60"/>
      <c r="E496" s="124"/>
      <c r="F496" s="61"/>
      <c r="G496" s="61"/>
      <c r="H496" s="61"/>
    </row>
    <row r="497" spans="1:8" s="52" customFormat="1" x14ac:dyDescent="0.3">
      <c r="A497" s="60"/>
      <c r="B497" s="60"/>
      <c r="C497" s="60"/>
      <c r="D497" s="60"/>
      <c r="E497" s="124"/>
      <c r="F497" s="61"/>
      <c r="G497" s="61"/>
      <c r="H497" s="61"/>
    </row>
    <row r="498" spans="1:8" s="52" customFormat="1" x14ac:dyDescent="0.3">
      <c r="A498" s="60"/>
      <c r="B498" s="60"/>
      <c r="C498" s="60"/>
      <c r="D498" s="60"/>
      <c r="E498" s="124"/>
      <c r="F498" s="61"/>
      <c r="G498" s="61"/>
      <c r="H498" s="61"/>
    </row>
    <row r="499" spans="1:8" s="52" customFormat="1" x14ac:dyDescent="0.3">
      <c r="A499" s="60"/>
      <c r="B499" s="60"/>
      <c r="C499" s="60"/>
      <c r="D499" s="60"/>
      <c r="E499" s="124"/>
      <c r="F499" s="61"/>
      <c r="G499" s="61"/>
      <c r="H499" s="61"/>
    </row>
    <row r="500" spans="1:8" s="52" customFormat="1" x14ac:dyDescent="0.3">
      <c r="A500" s="60"/>
      <c r="B500" s="60"/>
      <c r="C500" s="60"/>
      <c r="D500" s="60"/>
      <c r="E500" s="124"/>
      <c r="F500" s="61"/>
      <c r="G500" s="61"/>
      <c r="H500" s="61"/>
    </row>
    <row r="501" spans="1:8" s="52" customFormat="1" x14ac:dyDescent="0.3">
      <c r="A501" s="60"/>
      <c r="B501" s="60"/>
      <c r="C501" s="60"/>
      <c r="D501" s="60"/>
      <c r="E501" s="124"/>
      <c r="F501" s="61"/>
      <c r="G501" s="61"/>
      <c r="H501" s="61"/>
    </row>
    <row r="502" spans="1:8" s="52" customFormat="1" x14ac:dyDescent="0.3">
      <c r="A502" s="60"/>
      <c r="B502" s="60"/>
      <c r="C502" s="60"/>
      <c r="D502" s="60"/>
      <c r="E502" s="124"/>
      <c r="F502" s="61"/>
      <c r="G502" s="61"/>
      <c r="H502" s="61"/>
    </row>
    <row r="503" spans="1:8" s="52" customFormat="1" x14ac:dyDescent="0.3">
      <c r="A503" s="60"/>
      <c r="B503" s="60"/>
      <c r="C503" s="60"/>
      <c r="D503" s="60"/>
      <c r="E503" s="124"/>
      <c r="F503" s="61"/>
      <c r="G503" s="61"/>
      <c r="H503" s="61"/>
    </row>
    <row r="504" spans="1:8" s="52" customFormat="1" x14ac:dyDescent="0.3">
      <c r="A504" s="60"/>
      <c r="B504" s="60"/>
      <c r="C504" s="60"/>
      <c r="D504" s="60"/>
      <c r="E504" s="124"/>
      <c r="F504" s="61"/>
      <c r="G504" s="61"/>
      <c r="H504" s="61"/>
    </row>
    <row r="505" spans="1:8" s="59" customFormat="1" x14ac:dyDescent="0.3">
      <c r="A505" s="60"/>
      <c r="B505" s="60"/>
      <c r="C505" s="60"/>
      <c r="D505" s="60"/>
      <c r="E505" s="124"/>
      <c r="F505" s="61"/>
      <c r="G505" s="61"/>
      <c r="H505" s="61"/>
    </row>
    <row r="506" spans="1:8" s="47" customFormat="1" ht="30" customHeight="1" x14ac:dyDescent="0.3">
      <c r="A506" s="60"/>
      <c r="B506" s="60"/>
      <c r="C506" s="60"/>
      <c r="D506" s="60"/>
      <c r="E506" s="124"/>
      <c r="F506" s="61"/>
      <c r="G506" s="61"/>
      <c r="H506" s="61"/>
    </row>
    <row r="507" spans="1:8" s="47" customFormat="1" ht="30" customHeight="1" x14ac:dyDescent="0.3">
      <c r="A507" s="60"/>
      <c r="B507" s="60"/>
      <c r="C507" s="60"/>
      <c r="D507" s="60"/>
      <c r="E507" s="124"/>
      <c r="F507" s="61"/>
      <c r="G507" s="61"/>
      <c r="H507" s="61"/>
    </row>
    <row r="508" spans="1:8" s="52" customFormat="1" x14ac:dyDescent="0.3">
      <c r="A508" s="60"/>
      <c r="B508" s="60"/>
      <c r="C508" s="60"/>
      <c r="D508" s="60"/>
      <c r="E508" s="124"/>
      <c r="F508" s="61"/>
      <c r="G508" s="61"/>
      <c r="H508" s="61"/>
    </row>
    <row r="509" spans="1:8" s="52" customFormat="1" x14ac:dyDescent="0.3">
      <c r="A509" s="60"/>
      <c r="B509" s="60"/>
      <c r="C509" s="60"/>
      <c r="D509" s="60"/>
      <c r="E509" s="124"/>
      <c r="F509" s="61"/>
      <c r="G509" s="61"/>
      <c r="H509" s="61"/>
    </row>
    <row r="510" spans="1:8" s="52" customFormat="1" x14ac:dyDescent="0.3">
      <c r="A510" s="60"/>
      <c r="B510" s="60"/>
      <c r="C510" s="60"/>
      <c r="D510" s="60"/>
      <c r="E510" s="124"/>
      <c r="F510" s="61"/>
      <c r="G510" s="61"/>
      <c r="H510" s="61"/>
    </row>
    <row r="511" spans="1:8" s="52" customFormat="1" x14ac:dyDescent="0.3">
      <c r="A511" s="60"/>
      <c r="B511" s="60"/>
      <c r="C511" s="60"/>
      <c r="D511" s="60"/>
      <c r="E511" s="124"/>
      <c r="F511" s="61"/>
      <c r="G511" s="61"/>
      <c r="H511" s="61"/>
    </row>
    <row r="512" spans="1:8" s="52" customFormat="1" x14ac:dyDescent="0.3">
      <c r="A512" s="60"/>
      <c r="B512" s="60"/>
      <c r="C512" s="60"/>
      <c r="D512" s="60"/>
      <c r="E512" s="124"/>
      <c r="F512" s="61"/>
      <c r="G512" s="61"/>
      <c r="H512" s="61"/>
    </row>
    <row r="513" spans="1:8" s="52" customFormat="1" x14ac:dyDescent="0.3">
      <c r="A513" s="60"/>
      <c r="B513" s="60"/>
      <c r="C513" s="60"/>
      <c r="D513" s="60"/>
      <c r="E513" s="124"/>
      <c r="F513" s="61"/>
      <c r="G513" s="61"/>
      <c r="H513" s="61"/>
    </row>
    <row r="514" spans="1:8" s="52" customFormat="1" x14ac:dyDescent="0.3">
      <c r="A514" s="60"/>
      <c r="B514" s="60"/>
      <c r="C514" s="60"/>
      <c r="D514" s="60"/>
      <c r="E514" s="124"/>
      <c r="F514" s="61"/>
      <c r="G514" s="61"/>
      <c r="H514" s="61"/>
    </row>
    <row r="515" spans="1:8" s="52" customFormat="1" x14ac:dyDescent="0.3">
      <c r="A515" s="60"/>
      <c r="B515" s="60"/>
      <c r="C515" s="60"/>
      <c r="D515" s="60"/>
      <c r="E515" s="124"/>
      <c r="F515" s="61"/>
      <c r="G515" s="61"/>
      <c r="H515" s="61"/>
    </row>
    <row r="516" spans="1:8" s="52" customFormat="1" x14ac:dyDescent="0.3">
      <c r="A516" s="60"/>
      <c r="B516" s="60"/>
      <c r="C516" s="60"/>
      <c r="D516" s="60"/>
      <c r="E516" s="124"/>
      <c r="F516" s="61"/>
      <c r="G516" s="61"/>
      <c r="H516" s="61"/>
    </row>
    <row r="517" spans="1:8" s="59" customFormat="1" x14ac:dyDescent="0.3">
      <c r="A517" s="60"/>
      <c r="B517" s="60"/>
      <c r="C517" s="60"/>
      <c r="D517" s="60"/>
      <c r="E517" s="124"/>
      <c r="F517" s="61"/>
      <c r="G517" s="61"/>
      <c r="H517" s="61"/>
    </row>
  </sheetData>
  <sheetProtection formatRows="0" insertRows="0" insertHyperlinks="0" deleteRows="0" selectLockedCells="1"/>
  <mergeCells count="157">
    <mergeCell ref="E8:F8"/>
    <mergeCell ref="G26:G30"/>
    <mergeCell ref="G20:G24"/>
    <mergeCell ref="G4:G8"/>
    <mergeCell ref="E3:F3"/>
    <mergeCell ref="E4:F4"/>
    <mergeCell ref="E5:F5"/>
    <mergeCell ref="E6:F6"/>
    <mergeCell ref="E7:F7"/>
    <mergeCell ref="E40:F40"/>
    <mergeCell ref="E26:F26"/>
    <mergeCell ref="E27:F27"/>
    <mergeCell ref="E28:F28"/>
    <mergeCell ref="E29:F29"/>
    <mergeCell ref="E30:F30"/>
    <mergeCell ref="E31:F31"/>
    <mergeCell ref="E32:F32"/>
    <mergeCell ref="E35:F35"/>
    <mergeCell ref="E36:F36"/>
    <mergeCell ref="E37:F37"/>
    <mergeCell ref="E38:F38"/>
    <mergeCell ref="E39:F39"/>
    <mergeCell ref="D66:D69"/>
    <mergeCell ref="A67:C69"/>
    <mergeCell ref="E67:F69"/>
    <mergeCell ref="G51:G56"/>
    <mergeCell ref="E62:F62"/>
    <mergeCell ref="G162:G165"/>
    <mergeCell ref="E43:F43"/>
    <mergeCell ref="E44:F44"/>
    <mergeCell ref="E45:F45"/>
    <mergeCell ref="E46:F46"/>
    <mergeCell ref="E47:F47"/>
    <mergeCell ref="E48:F48"/>
    <mergeCell ref="E49:F49"/>
    <mergeCell ref="E50:F50"/>
    <mergeCell ref="E51:F51"/>
    <mergeCell ref="E52:F52"/>
    <mergeCell ref="E55:F55"/>
    <mergeCell ref="E56:F56"/>
    <mergeCell ref="E57:F57"/>
    <mergeCell ref="E58:F58"/>
    <mergeCell ref="E59:F59"/>
    <mergeCell ref="E60:F60"/>
    <mergeCell ref="E61:F61"/>
    <mergeCell ref="E104:F104"/>
    <mergeCell ref="E95:F95"/>
    <mergeCell ref="E86:F86"/>
    <mergeCell ref="E87:F87"/>
    <mergeCell ref="E88:F88"/>
    <mergeCell ref="E89:F89"/>
    <mergeCell ref="E90:F90"/>
    <mergeCell ref="E91:F91"/>
    <mergeCell ref="E92:F92"/>
    <mergeCell ref="E93:F93"/>
    <mergeCell ref="E94:F94"/>
    <mergeCell ref="E98:F98"/>
    <mergeCell ref="E99:F99"/>
    <mergeCell ref="E100:F100"/>
    <mergeCell ref="E101:F101"/>
    <mergeCell ref="E102:F102"/>
    <mergeCell ref="E103:F103"/>
    <mergeCell ref="E107:F107"/>
    <mergeCell ref="E108:F108"/>
    <mergeCell ref="E109:F109"/>
    <mergeCell ref="E110:F110"/>
    <mergeCell ref="E111:F111"/>
    <mergeCell ref="E112:F112"/>
    <mergeCell ref="E113:F113"/>
    <mergeCell ref="E120:F120"/>
    <mergeCell ref="E116:F116"/>
    <mergeCell ref="E117:F117"/>
    <mergeCell ref="E118:F118"/>
    <mergeCell ref="E119:F119"/>
    <mergeCell ref="E130:F130"/>
    <mergeCell ref="E123:F123"/>
    <mergeCell ref="E124:F124"/>
    <mergeCell ref="E125:F125"/>
    <mergeCell ref="E126:F126"/>
    <mergeCell ref="E127:F127"/>
    <mergeCell ref="E140:F140"/>
    <mergeCell ref="E133:F133"/>
    <mergeCell ref="E134:F134"/>
    <mergeCell ref="E135:F135"/>
    <mergeCell ref="E136:F136"/>
    <mergeCell ref="E137:F137"/>
    <mergeCell ref="E138:F138"/>
    <mergeCell ref="E139:F139"/>
    <mergeCell ref="E128:F128"/>
    <mergeCell ref="E129:F129"/>
    <mergeCell ref="E187:F187"/>
    <mergeCell ref="E188:F188"/>
    <mergeCell ref="E159:F159"/>
    <mergeCell ref="E175:F175"/>
    <mergeCell ref="E178:F178"/>
    <mergeCell ref="E180:F180"/>
    <mergeCell ref="E168:F168"/>
    <mergeCell ref="E169:F169"/>
    <mergeCell ref="E170:F170"/>
    <mergeCell ref="E171:F171"/>
    <mergeCell ref="E176:F176"/>
    <mergeCell ref="E177:F177"/>
    <mergeCell ref="E181:F181"/>
    <mergeCell ref="E162:F162"/>
    <mergeCell ref="E163:F163"/>
    <mergeCell ref="E164:F164"/>
    <mergeCell ref="E165:F165"/>
    <mergeCell ref="E166:F166"/>
    <mergeCell ref="E167:F167"/>
    <mergeCell ref="E174:F174"/>
    <mergeCell ref="E71:F71"/>
    <mergeCell ref="E72:F72"/>
    <mergeCell ref="E73:F73"/>
    <mergeCell ref="E74:F74"/>
    <mergeCell ref="E75:F75"/>
    <mergeCell ref="G184:G187"/>
    <mergeCell ref="E143:F143"/>
    <mergeCell ref="E144:F144"/>
    <mergeCell ref="E145:F145"/>
    <mergeCell ref="E146:F146"/>
    <mergeCell ref="E151:F151"/>
    <mergeCell ref="E147:F147"/>
    <mergeCell ref="E148:F148"/>
    <mergeCell ref="E149:F149"/>
    <mergeCell ref="E150:F150"/>
    <mergeCell ref="E154:F154"/>
    <mergeCell ref="E155:F155"/>
    <mergeCell ref="E156:F156"/>
    <mergeCell ref="E157:F157"/>
    <mergeCell ref="E158:F158"/>
    <mergeCell ref="E189:F189"/>
    <mergeCell ref="E184:F184"/>
    <mergeCell ref="E185:F185"/>
    <mergeCell ref="E186:F186"/>
    <mergeCell ref="G69:G78"/>
    <mergeCell ref="G90:G98"/>
    <mergeCell ref="G121:G128"/>
    <mergeCell ref="E19:F19"/>
    <mergeCell ref="E20:F20"/>
    <mergeCell ref="E21:F21"/>
    <mergeCell ref="E22:F22"/>
    <mergeCell ref="E23:F23"/>
    <mergeCell ref="E65:F65"/>
    <mergeCell ref="E66:F66"/>
    <mergeCell ref="E70:F70"/>
    <mergeCell ref="E83:F83"/>
    <mergeCell ref="E78:F78"/>
    <mergeCell ref="E79:F79"/>
    <mergeCell ref="E80:F80"/>
    <mergeCell ref="E81:F81"/>
    <mergeCell ref="E82:F82"/>
    <mergeCell ref="E16:F16"/>
    <mergeCell ref="E11:F11"/>
    <mergeCell ref="E12:F12"/>
    <mergeCell ref="E13:F13"/>
    <mergeCell ref="E14:F14"/>
    <mergeCell ref="E15:F15"/>
  </mergeCells>
  <phoneticPr fontId="0" type="noConversion"/>
  <conditionalFormatting sqref="B189">
    <cfRule type="cellIs" dxfId="21" priority="43" operator="greaterThan">
      <formula>60</formula>
    </cfRule>
  </conditionalFormatting>
  <conditionalFormatting sqref="B181">
    <cfRule type="cellIs" dxfId="20" priority="42" operator="greaterThan">
      <formula>60</formula>
    </cfRule>
  </conditionalFormatting>
  <conditionalFormatting sqref="B171">
    <cfRule type="cellIs" dxfId="19" priority="41" operator="greaterThan">
      <formula>60</formula>
    </cfRule>
  </conditionalFormatting>
  <conditionalFormatting sqref="B159">
    <cfRule type="cellIs" dxfId="18" priority="17" operator="greaterThan">
      <formula>60</formula>
    </cfRule>
  </conditionalFormatting>
  <conditionalFormatting sqref="B151">
    <cfRule type="cellIs" dxfId="17" priority="16" operator="greaterThan">
      <formula>60</formula>
    </cfRule>
  </conditionalFormatting>
  <conditionalFormatting sqref="B140">
    <cfRule type="cellIs" dxfId="16" priority="15" operator="greaterThan">
      <formula>60</formula>
    </cfRule>
  </conditionalFormatting>
  <conditionalFormatting sqref="B130">
    <cfRule type="cellIs" dxfId="15" priority="14" operator="greaterThan">
      <formula>60</formula>
    </cfRule>
  </conditionalFormatting>
  <conditionalFormatting sqref="B120">
    <cfRule type="cellIs" dxfId="14" priority="13" operator="greaterThan">
      <formula>60</formula>
    </cfRule>
  </conditionalFormatting>
  <conditionalFormatting sqref="B113">
    <cfRule type="cellIs" dxfId="13" priority="12" operator="greaterThan">
      <formula>60</formula>
    </cfRule>
  </conditionalFormatting>
  <conditionalFormatting sqref="B104">
    <cfRule type="cellIs" dxfId="12" priority="11" operator="greaterThan">
      <formula>60</formula>
    </cfRule>
  </conditionalFormatting>
  <conditionalFormatting sqref="B95">
    <cfRule type="cellIs" dxfId="11" priority="10" operator="greaterThan">
      <formula>60</formula>
    </cfRule>
  </conditionalFormatting>
  <conditionalFormatting sqref="B83">
    <cfRule type="cellIs" dxfId="10" priority="9" operator="greaterThan">
      <formula>60</formula>
    </cfRule>
  </conditionalFormatting>
  <conditionalFormatting sqref="B75">
    <cfRule type="cellIs" dxfId="9" priority="8" operator="greaterThan">
      <formula>60</formula>
    </cfRule>
  </conditionalFormatting>
  <conditionalFormatting sqref="B62">
    <cfRule type="cellIs" dxfId="8" priority="7" operator="greaterThan">
      <formula>60</formula>
    </cfRule>
  </conditionalFormatting>
  <conditionalFormatting sqref="B52">
    <cfRule type="cellIs" dxfId="7" priority="6" operator="greaterThan">
      <formula>60</formula>
    </cfRule>
  </conditionalFormatting>
  <conditionalFormatting sqref="B40">
    <cfRule type="cellIs" dxfId="6" priority="5" operator="greaterThan">
      <formula>60</formula>
    </cfRule>
  </conditionalFormatting>
  <conditionalFormatting sqref="B32">
    <cfRule type="cellIs" dxfId="5" priority="4" operator="greaterThan">
      <formula>60</formula>
    </cfRule>
  </conditionalFormatting>
  <conditionalFormatting sqref="B23">
    <cfRule type="cellIs" dxfId="4" priority="3" operator="greaterThan">
      <formula>60</formula>
    </cfRule>
  </conditionalFormatting>
  <conditionalFormatting sqref="B16">
    <cfRule type="cellIs" dxfId="3" priority="2" operator="greaterThan">
      <formula>60</formula>
    </cfRule>
  </conditionalFormatting>
  <conditionalFormatting sqref="B8">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85:B188 B163:B170 B155:B158 B144:B150 B175:B180 B134:B139 B124:B129 B117:B119 B108:B112 B99:B103 B87:B94 B79:B82 B56:B61 B44:B51 B66 B70:B74 B36:B39 B27:B31 B20:B22 B12:B15 B4:B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89 B181 B171 B159 B151 B140 B130 B120 B113 B104 B95 B83 B75 B62 B52 B40 B32 B23 B16 B8">
      <formula1>0</formula1>
      <formula2>60</formula2>
    </dataValidation>
    <dataValidation type="list" allowBlank="1" showInputMessage="1" showErrorMessage="1" sqref="A185:A188 A163:A170 A155:A158 A175:A180 A144:A150 A134:A139 A124:A129 A117:A119 A108:A112 A99:A103 A87:A94 A79:A82 A56:A61 A44:A51 A66:A67 A70:A74 A36:A39 A27:A31 A20:A22 A12:A15 A4:A7">
      <formula1>ListeTaches</formula1>
    </dataValidation>
  </dataValidations>
  <hyperlinks>
    <hyperlink ref="E188" r:id="rId1" display="https://www.youtube.com/watch?v=0Icla6TVNNo&amp;ab_channel=AutomationStepbyStep-RaghavPal"/>
    <hyperlink ref="E155" r:id="rId2" display="https://app.moqups.com/"/>
    <hyperlink ref="E157" r:id="rId3" display="https://dev.to/apentsov/ios-database-comparison-what-are-the-differences-4h1b"/>
    <hyperlink ref="E163" r:id="rId4" display="https://app.moqups.com/"/>
    <hyperlink ref="E156" r:id="rId5" display="https://lucid.app/ - Réalisation du MCD"/>
    <hyperlink ref="E146" r:id="rId6" display="https://www.lucidchart.com/pages/ - Tableau des besoins de l'utilisateur "/>
    <hyperlink ref="E146:F146" r:id="rId7" display="https://www.lucidchart.com -  Outil pour la création du MCD"/>
    <hyperlink ref="E156:F156" r:id="rId8" display="https://www.lucidchart.com - Outil pour la création du MCD"/>
    <hyperlink ref="E148" r:id="rId9" display="https://lucid.app/ - Réalisation du MCD"/>
    <hyperlink ref="E148:F148" r:id="rId10" display="https://www.lucidchart.com -  Outil pour la création du tableau des besoins utilisateurs."/>
    <hyperlink ref="E137" r:id="rId11" display="https://firebase.google.com/docs/ios/setup"/>
    <hyperlink ref="E137:F137" r:id="rId12" display="Ajoutez Firebase à un projet IOS"/>
    <hyperlink ref="E128" r:id="rId13" display="https://www.youtube.com/watch?v=cTM8kX9jOLs&amp;ab_channel=LetCreateAnApp"/>
    <hyperlink ref="E128:F128" r:id="rId14" display="What is model view Controller with Example - Swift "/>
    <hyperlink ref="E117" r:id="rId15" display="https://www.youtube.com/watch?v=tpsffoRh9u0&amp;ab_channel=iOSAcademy"/>
    <hyperlink ref="E117:F117" r:id="rId16" display="Swift 5: Firebase Database in App - Setup/Read/Write Data (Xcode 11) - Beginners"/>
    <hyperlink ref="E108" r:id="rId17" display="https://swiftludus.org/how-to-navigate-between-view-controllers-in-ios/"/>
    <hyperlink ref="E108:F108" r:id="rId18" display="swiftludus.org - How to navigate between view controllers in IOS"/>
    <hyperlink ref="E110" r:id="rId19" display="https://firebase.google.com/docs/auth/ios/start"/>
    <hyperlink ref="E110:F110" r:id="rId20" display="Premiers pas avec l'authentification Firebase sur iOS"/>
    <hyperlink ref="E99" r:id="rId21"/>
    <hyperlink ref="E100" r:id="rId22"/>
    <hyperlink ref="E101" r:id="rId23"/>
    <hyperlink ref="E102" r:id="rId24" location=":~:text=Interface%20Builder%20provides%20four%20Auto,make%20multiple%20constraints%20at%20once."/>
    <hyperlink ref="E87" r:id="rId25"/>
    <hyperlink ref="E80" r:id="rId26"/>
    <hyperlink ref="E66" r:id="rId27"/>
    <hyperlink ref="E59" r:id="rId28"/>
    <hyperlink ref="E60" r:id="rId29"/>
    <hyperlink ref="E61" r:id="rId30"/>
    <hyperlink ref="E44" r:id="rId31"/>
    <hyperlink ref="E45" r:id="rId32"/>
    <hyperlink ref="E46" r:id="rId33"/>
    <hyperlink ref="E36" r:id="rId34"/>
    <hyperlink ref="E29" r:id="rId35"/>
    <hyperlink ref="E13" r:id="rId36"/>
    <hyperlink ref="E4" r:id="rId3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8"/>
  <headerFooter alignWithMargins="0">
    <oddHeader>&amp;L&amp;"ETML,Normal"&amp;14ETML&amp;R&amp;14&amp;USection Informatique</oddHeader>
    <oddFooter>&amp;L&amp;14&amp;D - GGZ&amp;C&amp;14&amp;F - &amp;A&amp;R&amp;14&amp;P/&amp;N</oddFooter>
  </headerFooter>
  <drawing r:id="rId39"/>
  <legacyDrawing r:id="rId40"/>
  <controls>
    <mc:AlternateContent xmlns:mc="http://schemas.openxmlformats.org/markup-compatibility/2006">
      <mc:Choice Requires="x14">
        <control shapeId="9220" r:id="rId41" name="btnAjoutSeqJournal">
          <controlPr defaultSize="0" autoLine="0" r:id="rId42">
            <anchor moveWithCells="1">
              <from>
                <xdr:col>2</xdr:col>
                <xdr:colOff>85725</xdr:colOff>
                <xdr:row>0</xdr:row>
                <xdr:rowOff>85725</xdr:rowOff>
              </from>
              <to>
                <xdr:col>3</xdr:col>
                <xdr:colOff>447675</xdr:colOff>
                <xdr:row>0</xdr:row>
                <xdr:rowOff>561975</xdr:rowOff>
              </to>
            </anchor>
          </controlPr>
        </control>
      </mc:Choice>
      <mc:Fallback>
        <control shapeId="9220" r:id="rId41" name="btnAjoutSeqJournal"/>
      </mc:Fallback>
    </mc:AlternateContent>
    <mc:AlternateContent xmlns:mc="http://schemas.openxmlformats.org/markup-compatibility/2006">
      <mc:Choice Requires="x14">
        <control shapeId="9224" r:id="rId43" name="btnRapatriementJournal">
          <controlPr defaultSize="0" autoLine="0" r:id="rId44">
            <anchor moveWithCells="1">
              <from>
                <xdr:col>0</xdr:col>
                <xdr:colOff>104775</xdr:colOff>
                <xdr:row>0</xdr:row>
                <xdr:rowOff>85725</xdr:rowOff>
              </from>
              <to>
                <xdr:col>1</xdr:col>
                <xdr:colOff>457200</xdr:colOff>
                <xdr:row>0</xdr:row>
                <xdr:rowOff>552450</xdr:rowOff>
              </to>
            </anchor>
          </controlPr>
        </control>
      </mc:Choice>
      <mc:Fallback>
        <control shapeId="9224" r:id="rId4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A15" sqref="A15:J50"/>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3" t="s">
        <v>170</v>
      </c>
      <c r="B1" s="207"/>
      <c r="C1" s="205" t="s">
        <v>171</v>
      </c>
      <c r="D1" s="206" t="s">
        <v>172</v>
      </c>
      <c r="E1" s="196" t="s">
        <v>173</v>
      </c>
      <c r="F1" s="208" t="s">
        <v>174</v>
      </c>
      <c r="G1" s="239"/>
      <c r="H1" s="239"/>
      <c r="I1" s="239"/>
      <c r="J1" s="239"/>
    </row>
    <row r="2" spans="1:10" ht="14.25" thickBot="1" x14ac:dyDescent="0.3">
      <c r="A2" s="194"/>
      <c r="B2" s="207"/>
      <c r="C2" s="200"/>
      <c r="D2" s="202"/>
      <c r="E2" s="197"/>
      <c r="G2" s="239"/>
      <c r="H2" s="239"/>
      <c r="I2" s="239"/>
      <c r="J2" s="239"/>
    </row>
    <row r="3" spans="1:10" ht="15.75" thickBot="1" x14ac:dyDescent="0.3">
      <c r="A3" s="195" t="s">
        <v>93</v>
      </c>
      <c r="B3" s="207"/>
      <c r="C3" s="204" t="s">
        <v>94</v>
      </c>
      <c r="D3" s="203" t="s">
        <v>93</v>
      </c>
      <c r="E3" s="197"/>
      <c r="G3" s="239"/>
      <c r="H3" s="239"/>
      <c r="I3" s="239"/>
      <c r="J3" s="239"/>
    </row>
    <row r="4" spans="1:10" ht="30.75" thickBot="1" x14ac:dyDescent="0.3">
      <c r="A4" s="195" t="s">
        <v>94</v>
      </c>
      <c r="B4" s="207"/>
      <c r="C4" s="204" t="s">
        <v>16</v>
      </c>
      <c r="D4" s="204" t="s">
        <v>91</v>
      </c>
      <c r="E4" s="197"/>
      <c r="G4" s="239"/>
      <c r="H4" s="239"/>
      <c r="I4" s="239"/>
      <c r="J4" s="239"/>
    </row>
    <row r="5" spans="1:10" ht="15.75" thickBot="1" x14ac:dyDescent="0.3">
      <c r="A5" s="195" t="s">
        <v>95</v>
      </c>
      <c r="B5" s="207"/>
      <c r="C5" s="204" t="s">
        <v>96</v>
      </c>
      <c r="D5" s="204" t="s">
        <v>92</v>
      </c>
      <c r="E5" s="197"/>
      <c r="G5" s="239"/>
      <c r="H5" s="239"/>
      <c r="I5" s="239"/>
      <c r="J5" s="239"/>
    </row>
    <row r="6" spans="1:10" ht="15.75" thickBot="1" x14ac:dyDescent="0.3">
      <c r="A6" s="195" t="s">
        <v>96</v>
      </c>
      <c r="B6" s="207"/>
      <c r="C6" s="204" t="s">
        <v>97</v>
      </c>
      <c r="D6" s="204" t="s">
        <v>100</v>
      </c>
      <c r="E6" s="197"/>
      <c r="G6" s="239"/>
      <c r="H6" s="239"/>
      <c r="I6" s="239"/>
      <c r="J6" s="239"/>
    </row>
    <row r="7" spans="1:10" ht="15.75" thickBot="1" x14ac:dyDescent="0.3">
      <c r="A7" s="195" t="s">
        <v>97</v>
      </c>
      <c r="B7" s="207"/>
      <c r="C7" s="204" t="s">
        <v>90</v>
      </c>
      <c r="D7" s="202"/>
      <c r="E7" s="197"/>
      <c r="G7" s="239"/>
      <c r="H7" s="239"/>
      <c r="I7" s="239"/>
      <c r="J7" s="239"/>
    </row>
    <row r="8" spans="1:10" ht="15.75" thickBot="1" x14ac:dyDescent="0.3">
      <c r="A8" s="195" t="s">
        <v>98</v>
      </c>
      <c r="B8" s="207"/>
      <c r="C8" s="204" t="s">
        <v>95</v>
      </c>
      <c r="D8" s="202"/>
      <c r="E8" s="197"/>
      <c r="G8" s="239"/>
      <c r="H8" s="239"/>
      <c r="I8" s="239"/>
      <c r="J8" s="239"/>
    </row>
    <row r="9" spans="1:10" ht="14.25" thickBot="1" x14ac:dyDescent="0.3">
      <c r="A9" s="198" t="s">
        <v>100</v>
      </c>
      <c r="B9" s="207"/>
      <c r="C9" s="201"/>
      <c r="D9" s="199"/>
      <c r="G9" s="239"/>
      <c r="H9" s="239"/>
      <c r="I9" s="239"/>
      <c r="J9" s="239"/>
    </row>
    <row r="10" spans="1:10" ht="14.25" thickBot="1" x14ac:dyDescent="0.3">
      <c r="A10" s="195" t="s">
        <v>92</v>
      </c>
      <c r="B10" s="207"/>
      <c r="C10" s="201"/>
      <c r="D10" s="199"/>
      <c r="G10" s="239"/>
      <c r="H10" s="239"/>
      <c r="I10" s="239"/>
      <c r="J10" s="239"/>
    </row>
    <row r="11" spans="1:10" ht="14.25" thickBot="1" x14ac:dyDescent="0.3">
      <c r="A11" s="195" t="s">
        <v>98</v>
      </c>
      <c r="B11" s="207"/>
      <c r="C11" s="201"/>
      <c r="D11" s="199"/>
      <c r="G11" s="239"/>
      <c r="H11" s="239"/>
      <c r="I11" s="239"/>
      <c r="J11" s="239"/>
    </row>
    <row r="12" spans="1:10" ht="27" x14ac:dyDescent="0.25">
      <c r="A12" s="195" t="s">
        <v>91</v>
      </c>
      <c r="B12" s="207"/>
      <c r="C12" s="201"/>
      <c r="D12" s="199"/>
      <c r="G12" s="239"/>
      <c r="H12" s="239"/>
      <c r="I12" s="239"/>
      <c r="J12" s="239"/>
    </row>
    <row r="13" spans="1:10" x14ac:dyDescent="0.25">
      <c r="A13" s="207"/>
      <c r="B13" s="207"/>
      <c r="G13" s="239"/>
      <c r="H13" s="239"/>
      <c r="I13" s="239"/>
      <c r="J13" s="239"/>
    </row>
    <row r="14" spans="1:10" x14ac:dyDescent="0.25">
      <c r="A14" s="207"/>
      <c r="B14" s="207"/>
      <c r="G14" s="239"/>
      <c r="H14" s="239"/>
      <c r="I14" s="239"/>
      <c r="J14" s="239"/>
    </row>
    <row r="15" spans="1:10" x14ac:dyDescent="0.25">
      <c r="A15" s="294"/>
      <c r="B15" s="294"/>
      <c r="C15" s="294"/>
      <c r="D15" s="294"/>
      <c r="E15" s="294"/>
      <c r="F15" s="294"/>
      <c r="G15" s="294"/>
      <c r="H15" s="294"/>
      <c r="I15" s="294"/>
      <c r="J15" s="294"/>
    </row>
    <row r="16" spans="1:10" x14ac:dyDescent="0.25">
      <c r="A16" s="294"/>
      <c r="B16" s="294"/>
      <c r="C16" s="294"/>
      <c r="D16" s="294"/>
      <c r="E16" s="294"/>
      <c r="F16" s="294"/>
      <c r="G16" s="294"/>
      <c r="H16" s="294"/>
      <c r="I16" s="294"/>
      <c r="J16" s="294"/>
    </row>
    <row r="17" spans="1:10" x14ac:dyDescent="0.25">
      <c r="A17" s="294"/>
      <c r="B17" s="294"/>
      <c r="C17" s="294"/>
      <c r="D17" s="294"/>
      <c r="E17" s="294"/>
      <c r="F17" s="294"/>
      <c r="G17" s="294"/>
      <c r="H17" s="294"/>
      <c r="I17" s="294"/>
      <c r="J17" s="294"/>
    </row>
    <row r="18" spans="1:10" x14ac:dyDescent="0.25">
      <c r="A18" s="294"/>
      <c r="B18" s="294"/>
      <c r="C18" s="294"/>
      <c r="D18" s="294"/>
      <c r="E18" s="294"/>
      <c r="F18" s="294"/>
      <c r="G18" s="294"/>
      <c r="H18" s="294"/>
      <c r="I18" s="294"/>
      <c r="J18" s="294"/>
    </row>
    <row r="19" spans="1:10" x14ac:dyDescent="0.25">
      <c r="A19" s="294"/>
      <c r="B19" s="294"/>
      <c r="C19" s="294"/>
      <c r="D19" s="294"/>
      <c r="E19" s="294"/>
      <c r="F19" s="294"/>
      <c r="G19" s="294"/>
      <c r="H19" s="294"/>
      <c r="I19" s="294"/>
      <c r="J19" s="294"/>
    </row>
    <row r="20" spans="1:10" x14ac:dyDescent="0.25">
      <c r="A20" s="294"/>
      <c r="B20" s="294"/>
      <c r="C20" s="294"/>
      <c r="D20" s="294"/>
      <c r="E20" s="294"/>
      <c r="F20" s="294"/>
      <c r="G20" s="294"/>
      <c r="H20" s="294"/>
      <c r="I20" s="294"/>
      <c r="J20" s="294"/>
    </row>
    <row r="21" spans="1:10" x14ac:dyDescent="0.25">
      <c r="A21" s="294"/>
      <c r="B21" s="294"/>
      <c r="C21" s="294"/>
      <c r="D21" s="294"/>
      <c r="E21" s="294"/>
      <c r="F21" s="294"/>
      <c r="G21" s="294"/>
      <c r="H21" s="294"/>
      <c r="I21" s="294"/>
      <c r="J21" s="294"/>
    </row>
    <row r="22" spans="1:10" x14ac:dyDescent="0.25">
      <c r="A22" s="294"/>
      <c r="B22" s="294"/>
      <c r="C22" s="294"/>
      <c r="D22" s="294"/>
      <c r="E22" s="294"/>
      <c r="F22" s="294"/>
      <c r="G22" s="294"/>
      <c r="H22" s="294"/>
      <c r="I22" s="294"/>
      <c r="J22" s="294"/>
    </row>
    <row r="23" spans="1:10" x14ac:dyDescent="0.25">
      <c r="A23" s="294"/>
      <c r="B23" s="294"/>
      <c r="C23" s="294"/>
      <c r="D23" s="294"/>
      <c r="E23" s="294"/>
      <c r="F23" s="294"/>
      <c r="G23" s="294"/>
      <c r="H23" s="294"/>
      <c r="I23" s="294"/>
      <c r="J23" s="294"/>
    </row>
    <row r="24" spans="1:10" x14ac:dyDescent="0.25">
      <c r="A24" s="294"/>
      <c r="B24" s="294"/>
      <c r="C24" s="294"/>
      <c r="D24" s="294"/>
      <c r="E24" s="294"/>
      <c r="F24" s="294"/>
      <c r="G24" s="294"/>
      <c r="H24" s="294"/>
      <c r="I24" s="294"/>
      <c r="J24" s="294"/>
    </row>
    <row r="25" spans="1:10" x14ac:dyDescent="0.25">
      <c r="A25" s="294"/>
      <c r="B25" s="294"/>
      <c r="C25" s="294"/>
      <c r="D25" s="294"/>
      <c r="E25" s="294"/>
      <c r="F25" s="294"/>
      <c r="G25" s="294"/>
      <c r="H25" s="294"/>
      <c r="I25" s="294"/>
      <c r="J25" s="294"/>
    </row>
    <row r="26" spans="1:10" x14ac:dyDescent="0.25">
      <c r="A26" s="294"/>
      <c r="B26" s="294"/>
      <c r="C26" s="294"/>
      <c r="D26" s="294"/>
      <c r="E26" s="294"/>
      <c r="F26" s="294"/>
      <c r="G26" s="294"/>
      <c r="H26" s="294"/>
      <c r="I26" s="294"/>
      <c r="J26" s="294"/>
    </row>
    <row r="27" spans="1:10" x14ac:dyDescent="0.25">
      <c r="A27" s="294"/>
      <c r="B27" s="294"/>
      <c r="C27" s="294"/>
      <c r="D27" s="294"/>
      <c r="E27" s="294"/>
      <c r="F27" s="294"/>
      <c r="G27" s="294"/>
      <c r="H27" s="294"/>
      <c r="I27" s="294"/>
      <c r="J27" s="294"/>
    </row>
    <row r="28" spans="1:10" x14ac:dyDescent="0.25">
      <c r="A28" s="294"/>
      <c r="B28" s="294"/>
      <c r="C28" s="294"/>
      <c r="D28" s="294"/>
      <c r="E28" s="294"/>
      <c r="F28" s="294"/>
      <c r="G28" s="294"/>
      <c r="H28" s="294"/>
      <c r="I28" s="294"/>
      <c r="J28" s="294"/>
    </row>
    <row r="29" spans="1:10" x14ac:dyDescent="0.25">
      <c r="A29" s="294"/>
      <c r="B29" s="294"/>
      <c r="C29" s="294"/>
      <c r="D29" s="294"/>
      <c r="E29" s="294"/>
      <c r="F29" s="294"/>
      <c r="G29" s="294"/>
      <c r="H29" s="294"/>
      <c r="I29" s="294"/>
      <c r="J29" s="294"/>
    </row>
    <row r="30" spans="1:10" x14ac:dyDescent="0.25">
      <c r="A30" s="294"/>
      <c r="B30" s="294"/>
      <c r="C30" s="294"/>
      <c r="D30" s="294"/>
      <c r="E30" s="294"/>
      <c r="F30" s="294"/>
      <c r="G30" s="294"/>
      <c r="H30" s="294"/>
      <c r="I30" s="294"/>
      <c r="J30" s="294"/>
    </row>
    <row r="31" spans="1:10" x14ac:dyDescent="0.25">
      <c r="A31" s="294"/>
      <c r="B31" s="294"/>
      <c r="C31" s="294"/>
      <c r="D31" s="294"/>
      <c r="E31" s="294"/>
      <c r="F31" s="294"/>
      <c r="G31" s="294"/>
      <c r="H31" s="294"/>
      <c r="I31" s="294"/>
      <c r="J31" s="294"/>
    </row>
    <row r="32" spans="1:10" x14ac:dyDescent="0.25">
      <c r="A32" s="294"/>
      <c r="B32" s="294"/>
      <c r="C32" s="294"/>
      <c r="D32" s="294"/>
      <c r="E32" s="294"/>
      <c r="F32" s="294"/>
      <c r="G32" s="294"/>
      <c r="H32" s="294"/>
      <c r="I32" s="294"/>
      <c r="J32" s="294"/>
    </row>
    <row r="33" spans="1:10" x14ac:dyDescent="0.25">
      <c r="A33" s="294"/>
      <c r="B33" s="294"/>
      <c r="C33" s="294"/>
      <c r="D33" s="294"/>
      <c r="E33" s="294"/>
      <c r="F33" s="294"/>
      <c r="G33" s="294"/>
      <c r="H33" s="294"/>
      <c r="I33" s="294"/>
      <c r="J33" s="294"/>
    </row>
    <row r="34" spans="1:10" x14ac:dyDescent="0.25">
      <c r="A34" s="294"/>
      <c r="B34" s="294"/>
      <c r="C34" s="294"/>
      <c r="D34" s="294"/>
      <c r="E34" s="294"/>
      <c r="F34" s="294"/>
      <c r="G34" s="294"/>
      <c r="H34" s="294"/>
      <c r="I34" s="294"/>
      <c r="J34" s="294"/>
    </row>
    <row r="35" spans="1:10" x14ac:dyDescent="0.25">
      <c r="A35" s="294"/>
      <c r="B35" s="294"/>
      <c r="C35" s="294"/>
      <c r="D35" s="294"/>
      <c r="E35" s="294"/>
      <c r="F35" s="294"/>
      <c r="G35" s="294"/>
      <c r="H35" s="294"/>
      <c r="I35" s="294"/>
      <c r="J35" s="294"/>
    </row>
    <row r="36" spans="1:10" x14ac:dyDescent="0.25">
      <c r="A36" s="294"/>
      <c r="B36" s="294"/>
      <c r="C36" s="294"/>
      <c r="D36" s="294"/>
      <c r="E36" s="294"/>
      <c r="F36" s="294"/>
      <c r="G36" s="294"/>
      <c r="H36" s="294"/>
      <c r="I36" s="294"/>
      <c r="J36" s="294"/>
    </row>
    <row r="37" spans="1:10" x14ac:dyDescent="0.25">
      <c r="A37" s="294"/>
      <c r="B37" s="294"/>
      <c r="C37" s="294"/>
      <c r="D37" s="294"/>
      <c r="E37" s="294"/>
      <c r="F37" s="294"/>
      <c r="G37" s="294"/>
      <c r="H37" s="294"/>
      <c r="I37" s="294"/>
      <c r="J37" s="294"/>
    </row>
    <row r="38" spans="1:10" x14ac:dyDescent="0.25">
      <c r="A38" s="294"/>
      <c r="B38" s="294"/>
      <c r="C38" s="294"/>
      <c r="D38" s="294"/>
      <c r="E38" s="294"/>
      <c r="F38" s="294"/>
      <c r="G38" s="294"/>
      <c r="H38" s="294"/>
      <c r="I38" s="294"/>
      <c r="J38" s="294"/>
    </row>
    <row r="39" spans="1:10" x14ac:dyDescent="0.25">
      <c r="A39" s="294"/>
      <c r="B39" s="294"/>
      <c r="C39" s="294"/>
      <c r="D39" s="294"/>
      <c r="E39" s="294"/>
      <c r="F39" s="294"/>
      <c r="G39" s="294"/>
      <c r="H39" s="294"/>
      <c r="I39" s="294"/>
      <c r="J39" s="294"/>
    </row>
    <row r="40" spans="1:10" x14ac:dyDescent="0.25">
      <c r="A40" s="294"/>
      <c r="B40" s="294"/>
      <c r="C40" s="294"/>
      <c r="D40" s="294"/>
      <c r="E40" s="294"/>
      <c r="F40" s="294"/>
      <c r="G40" s="294"/>
      <c r="H40" s="294"/>
      <c r="I40" s="294"/>
      <c r="J40" s="294"/>
    </row>
    <row r="41" spans="1:10" x14ac:dyDescent="0.25">
      <c r="A41" s="294"/>
      <c r="B41" s="294"/>
      <c r="C41" s="294"/>
      <c r="D41" s="294"/>
      <c r="E41" s="294"/>
      <c r="F41" s="294"/>
      <c r="G41" s="294"/>
      <c r="H41" s="294"/>
      <c r="I41" s="294"/>
      <c r="J41" s="294"/>
    </row>
    <row r="42" spans="1:10" x14ac:dyDescent="0.25">
      <c r="A42" s="294"/>
      <c r="B42" s="294"/>
      <c r="C42" s="294"/>
      <c r="D42" s="294"/>
      <c r="E42" s="294"/>
      <c r="F42" s="294"/>
      <c r="G42" s="294"/>
      <c r="H42" s="294"/>
      <c r="I42" s="294"/>
      <c r="J42" s="294"/>
    </row>
    <row r="43" spans="1:10" x14ac:dyDescent="0.25">
      <c r="A43" s="294"/>
      <c r="B43" s="294"/>
      <c r="C43" s="294"/>
      <c r="D43" s="294"/>
      <c r="E43" s="294"/>
      <c r="F43" s="294"/>
      <c r="G43" s="294"/>
      <c r="H43" s="294"/>
      <c r="I43" s="294"/>
      <c r="J43" s="294"/>
    </row>
    <row r="44" spans="1:10" x14ac:dyDescent="0.25">
      <c r="A44" s="294"/>
      <c r="B44" s="294"/>
      <c r="C44" s="294"/>
      <c r="D44" s="294"/>
      <c r="E44" s="294"/>
      <c r="F44" s="294"/>
      <c r="G44" s="294"/>
      <c r="H44" s="294"/>
      <c r="I44" s="294"/>
      <c r="J44" s="294"/>
    </row>
    <row r="45" spans="1:10" x14ac:dyDescent="0.25">
      <c r="A45" s="294"/>
      <c r="B45" s="294"/>
      <c r="C45" s="294"/>
      <c r="D45" s="294"/>
      <c r="E45" s="294"/>
      <c r="F45" s="294"/>
      <c r="G45" s="294"/>
      <c r="H45" s="294"/>
      <c r="I45" s="294"/>
      <c r="J45" s="294"/>
    </row>
    <row r="46" spans="1:10" x14ac:dyDescent="0.25">
      <c r="A46" s="294"/>
      <c r="B46" s="294"/>
      <c r="C46" s="294"/>
      <c r="D46" s="294"/>
      <c r="E46" s="294"/>
      <c r="F46" s="294"/>
      <c r="G46" s="294"/>
      <c r="H46" s="294"/>
      <c r="I46" s="294"/>
      <c r="J46" s="294"/>
    </row>
    <row r="47" spans="1:10" x14ac:dyDescent="0.25">
      <c r="A47" s="294"/>
      <c r="B47" s="294"/>
      <c r="C47" s="294"/>
      <c r="D47" s="294"/>
      <c r="E47" s="294"/>
      <c r="F47" s="294"/>
      <c r="G47" s="294"/>
      <c r="H47" s="294"/>
      <c r="I47" s="294"/>
      <c r="J47" s="294"/>
    </row>
    <row r="48" spans="1:10" x14ac:dyDescent="0.25">
      <c r="A48" s="294"/>
      <c r="B48" s="294"/>
      <c r="C48" s="294"/>
      <c r="D48" s="294"/>
      <c r="E48" s="294"/>
      <c r="F48" s="294"/>
      <c r="G48" s="294"/>
      <c r="H48" s="294"/>
      <c r="I48" s="294"/>
      <c r="J48" s="294"/>
    </row>
    <row r="49" spans="1:10" x14ac:dyDescent="0.25">
      <c r="A49" s="294"/>
      <c r="B49" s="294"/>
      <c r="C49" s="294"/>
      <c r="D49" s="294"/>
      <c r="E49" s="294"/>
      <c r="F49" s="294"/>
      <c r="G49" s="294"/>
      <c r="H49" s="294"/>
      <c r="I49" s="294"/>
      <c r="J49" s="294"/>
    </row>
    <row r="50" spans="1:10" x14ac:dyDescent="0.25">
      <c r="A50" s="294"/>
      <c r="B50" s="294"/>
      <c r="C50" s="294"/>
      <c r="D50" s="294"/>
      <c r="E50" s="294"/>
      <c r="F50" s="294"/>
      <c r="G50" s="294"/>
      <c r="H50" s="294"/>
      <c r="I50" s="294"/>
      <c r="J50" s="294"/>
    </row>
  </sheetData>
  <mergeCells count="2">
    <mergeCell ref="A15:J50"/>
    <mergeCell ref="G1:J14"/>
  </mergeCells>
  <dataValidations count="1">
    <dataValidation type="list" allowBlank="1" showInputMessage="1" showErrorMessage="1" sqref="A3:A12 C3:C8 D3:D6">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6"/>
      <c r="B10" s="236"/>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6"/>
      <c r="BF10" s="236"/>
      <c r="BG10" s="236"/>
      <c r="BH10" s="236"/>
      <c r="BI10" s="90"/>
    </row>
    <row r="11" spans="1:61" ht="18" x14ac:dyDescent="0.25">
      <c r="A11" s="237"/>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90"/>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90"/>
    </row>
    <row r="13" spans="1:61" ht="18.75" thickBot="1" x14ac:dyDescent="0.3">
      <c r="A13" s="233" t="s">
        <v>12</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5"/>
      <c r="BI13" s="90"/>
    </row>
    <row r="14" spans="1:61" ht="15.75" thickBot="1" x14ac:dyDescent="0.35">
      <c r="A14" s="102"/>
      <c r="B14" s="103"/>
      <c r="C14" s="103"/>
      <c r="D14" s="103"/>
      <c r="E14" s="232" t="s">
        <v>34</v>
      </c>
      <c r="F14" s="232"/>
      <c r="G14" s="232"/>
      <c r="H14" s="232"/>
      <c r="I14" s="103"/>
      <c r="J14" s="103"/>
      <c r="K14" s="231" t="s">
        <v>24</v>
      </c>
      <c r="L14" s="231"/>
      <c r="M14" s="231"/>
      <c r="N14" s="231"/>
      <c r="O14" s="128"/>
      <c r="P14" s="128"/>
      <c r="Q14" s="232" t="s">
        <v>35</v>
      </c>
      <c r="R14" s="232"/>
      <c r="S14" s="232"/>
      <c r="T14" s="232"/>
      <c r="U14" s="103"/>
      <c r="V14" s="103"/>
      <c r="W14" s="231" t="s">
        <v>25</v>
      </c>
      <c r="X14" s="231"/>
      <c r="Y14" s="231"/>
      <c r="Z14" s="231"/>
      <c r="AA14" s="128"/>
      <c r="AB14" s="128"/>
      <c r="AC14" s="232" t="s">
        <v>36</v>
      </c>
      <c r="AD14" s="232"/>
      <c r="AE14" s="232"/>
      <c r="AF14" s="232"/>
      <c r="AG14" s="103"/>
      <c r="AH14" s="103"/>
      <c r="AI14" s="231" t="s">
        <v>26</v>
      </c>
      <c r="AJ14" s="231"/>
      <c r="AK14" s="231"/>
      <c r="AL14" s="231"/>
      <c r="AM14" s="128"/>
      <c r="AN14" s="128"/>
      <c r="AO14" s="232" t="s">
        <v>37</v>
      </c>
      <c r="AP14" s="232"/>
      <c r="AQ14" s="232"/>
      <c r="AR14" s="232"/>
      <c r="AS14" s="103"/>
      <c r="AT14" s="103"/>
      <c r="AU14" s="231" t="s">
        <v>27</v>
      </c>
      <c r="AV14" s="231"/>
      <c r="AW14" s="231"/>
      <c r="AX14" s="231"/>
      <c r="AY14" s="128"/>
      <c r="AZ14" s="128"/>
      <c r="BA14" s="232" t="s">
        <v>38</v>
      </c>
      <c r="BB14" s="232"/>
      <c r="BC14" s="232"/>
      <c r="BD14" s="232"/>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58" t="s">
        <v>14</v>
      </c>
      <c r="F2" s="259"/>
      <c r="G2" s="46"/>
    </row>
    <row r="3" spans="1:7" s="52" customFormat="1" x14ac:dyDescent="0.3">
      <c r="A3" s="48"/>
      <c r="B3" s="49"/>
      <c r="C3" s="151" t="str">
        <f xml:space="preserve"> IF(B3="","",setValueToTime(B3))</f>
        <v/>
      </c>
      <c r="D3" s="50"/>
      <c r="E3" s="260"/>
      <c r="F3" s="261"/>
      <c r="G3" s="51"/>
    </row>
    <row r="4" spans="1:7" s="52" customFormat="1" x14ac:dyDescent="0.3">
      <c r="A4" s="53"/>
      <c r="B4" s="54"/>
      <c r="C4" s="152" t="str">
        <f t="shared" ref="C4:C10" si="0" xml:space="preserve"> IF(B4="","",setValueToTime(B4))</f>
        <v/>
      </c>
      <c r="D4" s="55"/>
      <c r="E4" s="252"/>
      <c r="F4" s="253"/>
      <c r="G4" s="51"/>
    </row>
    <row r="5" spans="1:7" s="52" customFormat="1" x14ac:dyDescent="0.3">
      <c r="A5" s="53"/>
      <c r="B5" s="54"/>
      <c r="C5" s="152" t="str">
        <f t="shared" si="0"/>
        <v/>
      </c>
      <c r="D5" s="55"/>
      <c r="E5" s="252"/>
      <c r="F5" s="253"/>
      <c r="G5" s="51"/>
    </row>
    <row r="6" spans="1:7" s="52" customFormat="1" x14ac:dyDescent="0.3">
      <c r="A6" s="53"/>
      <c r="B6" s="54"/>
      <c r="C6" s="152" t="str">
        <f t="shared" si="0"/>
        <v/>
      </c>
      <c r="D6" s="55"/>
      <c r="E6" s="252"/>
      <c r="F6" s="253"/>
      <c r="G6" s="51"/>
    </row>
    <row r="7" spans="1:7" s="52" customFormat="1" x14ac:dyDescent="0.3">
      <c r="A7" s="54"/>
      <c r="B7" s="54"/>
      <c r="C7" s="153" t="str">
        <f t="shared" si="0"/>
        <v/>
      </c>
      <c r="D7" s="55"/>
      <c r="E7" s="252"/>
      <c r="F7" s="253"/>
      <c r="G7" s="51"/>
    </row>
    <row r="8" spans="1:7" s="52" customFormat="1" x14ac:dyDescent="0.3">
      <c r="A8" s="54"/>
      <c r="B8" s="54"/>
      <c r="C8" s="153" t="str">
        <f t="shared" si="0"/>
        <v/>
      </c>
      <c r="D8" s="55"/>
      <c r="E8" s="252"/>
      <c r="F8" s="253"/>
      <c r="G8" s="51"/>
    </row>
    <row r="9" spans="1:7" s="52" customFormat="1" x14ac:dyDescent="0.3">
      <c r="A9" s="54"/>
      <c r="B9" s="54"/>
      <c r="C9" s="153" t="str">
        <f t="shared" si="0"/>
        <v/>
      </c>
      <c r="D9" s="55"/>
      <c r="E9" s="252"/>
      <c r="F9" s="253"/>
      <c r="G9" s="51"/>
    </row>
    <row r="10" spans="1:7" s="52" customFormat="1" ht="15" thickBot="1" x14ac:dyDescent="0.35">
      <c r="A10" s="56"/>
      <c r="B10" s="56"/>
      <c r="C10" s="154" t="str">
        <f t="shared" si="0"/>
        <v/>
      </c>
      <c r="D10" s="57"/>
      <c r="E10" s="254"/>
      <c r="F10" s="255"/>
      <c r="G10" s="51"/>
    </row>
    <row r="11" spans="1:7" s="52" customFormat="1" ht="15" thickBot="1" x14ac:dyDescent="0.35">
      <c r="A11" s="110" t="s">
        <v>29</v>
      </c>
      <c r="B11" s="84">
        <f>SUM(B3:B10)</f>
        <v>0</v>
      </c>
      <c r="C11" s="110" t="str">
        <f xml:space="preserve"> setValueToTime(B11)</f>
        <v>0h</v>
      </c>
      <c r="D11" s="119"/>
      <c r="E11" s="256"/>
      <c r="F11" s="25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264" t="s">
        <v>14</v>
      </c>
      <c r="F2" s="265"/>
      <c r="G2" s="46"/>
    </row>
    <row r="3" spans="1:7" s="52" customFormat="1" x14ac:dyDescent="0.3">
      <c r="A3" s="48"/>
      <c r="B3" s="49"/>
      <c r="C3" s="151" t="str">
        <f xml:space="preserve"> IF(B3="","",setValueToTime(B3))</f>
        <v/>
      </c>
      <c r="D3" s="50"/>
      <c r="E3" s="260"/>
      <c r="F3" s="261"/>
      <c r="G3" s="51"/>
    </row>
    <row r="4" spans="1:7" s="52" customFormat="1" x14ac:dyDescent="0.3">
      <c r="A4" s="53"/>
      <c r="B4" s="54"/>
      <c r="C4" s="152" t="str">
        <f t="shared" ref="C4:C10" si="0" xml:space="preserve"> IF(B4="","",setValueToTime(B4))</f>
        <v/>
      </c>
      <c r="D4" s="55"/>
      <c r="E4" s="252"/>
      <c r="F4" s="253"/>
      <c r="G4" s="51"/>
    </row>
    <row r="5" spans="1:7" s="52" customFormat="1" x14ac:dyDescent="0.3">
      <c r="A5" s="53"/>
      <c r="B5" s="54"/>
      <c r="C5" s="152" t="str">
        <f t="shared" si="0"/>
        <v/>
      </c>
      <c r="D5" s="55"/>
      <c r="E5" s="252"/>
      <c r="F5" s="253"/>
      <c r="G5" s="51"/>
    </row>
    <row r="6" spans="1:7" s="52" customFormat="1" x14ac:dyDescent="0.3">
      <c r="A6" s="53"/>
      <c r="B6" s="54"/>
      <c r="C6" s="152" t="str">
        <f t="shared" si="0"/>
        <v/>
      </c>
      <c r="D6" s="55"/>
      <c r="E6" s="252"/>
      <c r="F6" s="253"/>
      <c r="G6" s="51"/>
    </row>
    <row r="7" spans="1:7" s="52" customFormat="1" x14ac:dyDescent="0.3">
      <c r="A7" s="54"/>
      <c r="B7" s="54"/>
      <c r="C7" s="153" t="str">
        <f t="shared" si="0"/>
        <v/>
      </c>
      <c r="D7" s="55"/>
      <c r="E7" s="252"/>
      <c r="F7" s="253"/>
      <c r="G7" s="51"/>
    </row>
    <row r="8" spans="1:7" s="52" customFormat="1" x14ac:dyDescent="0.3">
      <c r="A8" s="54"/>
      <c r="B8" s="54"/>
      <c r="C8" s="153" t="str">
        <f t="shared" si="0"/>
        <v/>
      </c>
      <c r="D8" s="55"/>
      <c r="E8" s="252"/>
      <c r="F8" s="253"/>
      <c r="G8" s="51"/>
    </row>
    <row r="9" spans="1:7" s="52" customFormat="1" x14ac:dyDescent="0.3">
      <c r="A9" s="54"/>
      <c r="B9" s="54"/>
      <c r="C9" s="153" t="str">
        <f t="shared" si="0"/>
        <v/>
      </c>
      <c r="D9" s="55"/>
      <c r="E9" s="252"/>
      <c r="F9" s="253"/>
      <c r="G9" s="51"/>
    </row>
    <row r="10" spans="1:7" s="52" customFormat="1" ht="15" thickBot="1" x14ac:dyDescent="0.35">
      <c r="A10" s="56"/>
      <c r="B10" s="56"/>
      <c r="C10" s="154" t="str">
        <f t="shared" si="0"/>
        <v/>
      </c>
      <c r="D10" s="57"/>
      <c r="E10" s="254"/>
      <c r="F10" s="255"/>
      <c r="G10" s="51"/>
    </row>
    <row r="11" spans="1:7" s="52" customFormat="1" ht="15" thickBot="1" x14ac:dyDescent="0.35">
      <c r="A11" s="161" t="s">
        <v>29</v>
      </c>
      <c r="B11" s="83">
        <f>SUM(B3:B10)</f>
        <v>0</v>
      </c>
      <c r="C11" s="161" t="str">
        <f xml:space="preserve"> setValueToTime(B11)</f>
        <v>0h</v>
      </c>
      <c r="D11" s="120"/>
      <c r="E11" s="262"/>
      <c r="F11" s="26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http://schemas.openxmlformats.org/package/2006/metadata/core-properties"/>
    <ds:schemaRef ds:uri="15a2adb2-9a92-45bc-9379-5d8dde16dc3c"/>
    <ds:schemaRef ds:uri="http://schemas.microsoft.com/office/infopath/2007/PartnerControls"/>
    <ds:schemaRef ds:uri="http://purl.org/dc/terms/"/>
    <ds:schemaRef ds:uri="http://purl.org/dc/dcmitype/"/>
    <ds:schemaRef ds:uri="http://schemas.microsoft.com/office/2006/documentManagement/types"/>
    <ds:schemaRef ds:uri="http://purl.org/dc/elements/1.1/"/>
    <ds:schemaRef ds:uri="67738394-1d8a-43c4-9891-d7e1fdf7c6ea"/>
    <ds:schemaRef ds:uri="http://www.w3.org/XML/1998/namespac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2021-05-28T14:09:35Z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