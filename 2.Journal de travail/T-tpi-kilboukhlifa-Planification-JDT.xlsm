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3"/>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Bilan!$C$15:$C$56</definedName>
    <definedName name="LstTaches2">OFFSET(TRAVAUX,0,0,COUNTA(TRAVAUX),1)</definedName>
    <definedName name="NBLecons">Bilan!$E$15:$E$56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B12" i="12" l="1"/>
  <c r="C11" i="12"/>
  <c r="C10" i="12"/>
  <c r="C9" i="12"/>
  <c r="B20" i="12"/>
  <c r="C19" i="12"/>
  <c r="C8" i="12"/>
  <c r="C7" i="12"/>
  <c r="C6" i="12"/>
  <c r="C5" i="12"/>
  <c r="C4" i="12"/>
  <c r="C12" i="12"/>
  <c r="C17" i="12"/>
  <c r="C16" i="12"/>
  <c r="C18" i="12"/>
  <c r="C20" i="12"/>
  <c r="C24" i="12" l="1"/>
  <c r="B32" i="12"/>
  <c r="C31" i="12"/>
  <c r="C30" i="12"/>
  <c r="C73" i="12"/>
  <c r="C74" i="12"/>
  <c r="B42" i="12"/>
  <c r="C41" i="12"/>
  <c r="C40" i="12"/>
  <c r="C25" i="12"/>
  <c r="C42" i="12"/>
  <c r="C29" i="12"/>
  <c r="C32" i="12"/>
  <c r="C36" i="12"/>
  <c r="C28" i="12"/>
  <c r="C39" i="12"/>
  <c r="C37" i="12"/>
  <c r="C27" i="12"/>
  <c r="C38" i="12"/>
  <c r="C26" i="12"/>
  <c r="B55" i="12" l="1"/>
  <c r="C54" i="12"/>
  <c r="C53" i="12"/>
  <c r="B63" i="12"/>
  <c r="C55" i="12"/>
  <c r="C62" i="12"/>
  <c r="C50" i="12"/>
  <c r="C46" i="12"/>
  <c r="C60" i="12"/>
  <c r="C59" i="12"/>
  <c r="C63" i="12"/>
  <c r="C52" i="12"/>
  <c r="C61" i="12"/>
  <c r="C51" i="12"/>
  <c r="B75" i="12" l="1"/>
  <c r="C70" i="12"/>
  <c r="B84" i="12"/>
  <c r="C82" i="12"/>
  <c r="C67" i="12"/>
  <c r="C79" i="12"/>
  <c r="C80" i="12"/>
  <c r="C84" i="12"/>
  <c r="C75" i="12"/>
  <c r="C72" i="12"/>
  <c r="C83" i="12"/>
  <c r="C69" i="12"/>
  <c r="C71" i="12"/>
  <c r="C68" i="12"/>
  <c r="B93" i="12" l="1"/>
  <c r="C90" i="12"/>
  <c r="C91" i="12"/>
  <c r="C93" i="12"/>
  <c r="C88" i="12"/>
  <c r="C89" i="12"/>
  <c r="C92" i="12"/>
  <c r="B100" i="12" l="1"/>
  <c r="B110" i="12"/>
  <c r="C97" i="12"/>
  <c r="C105" i="12"/>
  <c r="C104" i="12"/>
  <c r="C100" i="12"/>
  <c r="C108" i="12"/>
  <c r="C98" i="12"/>
  <c r="C99" i="12"/>
  <c r="C106" i="12"/>
  <c r="C109" i="12"/>
  <c r="C110" i="12"/>
  <c r="C107" i="12"/>
  <c r="B120" i="12" l="1"/>
  <c r="C114" i="12"/>
  <c r="C119" i="12"/>
  <c r="C120" i="12"/>
  <c r="C118" i="12"/>
  <c r="C117" i="12"/>
  <c r="C115" i="12"/>
  <c r="C116" i="12"/>
  <c r="E59" i="1" l="1"/>
  <c r="E57" i="1"/>
  <c r="B131" i="12"/>
  <c r="C129" i="12"/>
  <c r="C130" i="12"/>
  <c r="C128" i="12"/>
  <c r="C159" i="12"/>
  <c r="C160" i="12"/>
  <c r="C125" i="12"/>
  <c r="C124" i="12"/>
  <c r="C131" i="12"/>
  <c r="C127" i="12"/>
  <c r="C126" i="12"/>
  <c r="B139" i="12" l="1"/>
  <c r="C137" i="12"/>
  <c r="C138" i="12"/>
  <c r="C136" i="12"/>
  <c r="C139" i="12"/>
  <c r="C135"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147" i="12"/>
  <c r="C168" i="12"/>
  <c r="C148" i="12"/>
  <c r="C165" i="12"/>
  <c r="C167" i="12"/>
  <c r="C166" i="12"/>
  <c r="C143" i="12"/>
  <c r="B151" i="12" l="1"/>
  <c r="C150" i="12"/>
  <c r="C149" i="12"/>
  <c r="B161" i="12"/>
  <c r="B169"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146" i="12"/>
  <c r="C158" i="12"/>
  <c r="C144" i="12"/>
  <c r="C169" i="12"/>
  <c r="C155" i="12"/>
  <c r="C156" i="12"/>
  <c r="C161" i="12"/>
  <c r="C145" i="12"/>
  <c r="C151" i="12"/>
  <c r="C157" i="12"/>
  <c r="C10" i="15" l="1"/>
  <c r="C9" i="15"/>
  <c r="C8" i="15"/>
  <c r="C7" i="15"/>
  <c r="C6" i="15"/>
  <c r="C5" i="15"/>
  <c r="C4" i="15"/>
  <c r="C3" i="15"/>
  <c r="B11" i="15"/>
  <c r="C10" i="16"/>
  <c r="C9" i="16"/>
  <c r="C8" i="16"/>
  <c r="C7" i="16"/>
  <c r="C6" i="16"/>
  <c r="C5" i="16"/>
  <c r="C4" i="16"/>
  <c r="C3" i="16"/>
  <c r="B11" i="16"/>
  <c r="C11" i="15"/>
  <c r="C11" i="16"/>
  <c r="D55" i="1"/>
  <c r="D53" i="1"/>
  <c r="D51" i="1"/>
  <c r="D49" i="1"/>
  <c r="D47" i="1"/>
  <c r="D45" i="1"/>
  <c r="D43" i="1"/>
  <c r="D41" i="1"/>
  <c r="D39" i="1"/>
  <c r="D37" i="1"/>
  <c r="D35" i="1"/>
  <c r="D33" i="1"/>
  <c r="D31" i="1"/>
  <c r="D29" i="1"/>
  <c r="D27" i="1"/>
  <c r="D25" i="1"/>
  <c r="D23" i="1"/>
  <c r="D21" i="1"/>
  <c r="D19" i="1"/>
  <c r="D17" i="1"/>
  <c r="D15" i="1"/>
  <c r="D56" i="1"/>
  <c r="D54" i="1"/>
  <c r="D52" i="1"/>
  <c r="D50" i="1"/>
  <c r="D48" i="1"/>
  <c r="D46" i="1"/>
  <c r="D44" i="1"/>
  <c r="D42" i="1"/>
  <c r="D40" i="1"/>
  <c r="D38" i="1"/>
  <c r="D36" i="1"/>
  <c r="D34" i="1"/>
  <c r="D32" i="1"/>
  <c r="D30" i="1"/>
  <c r="D28" i="1"/>
  <c r="D26" i="1"/>
  <c r="D24" i="1"/>
  <c r="D22" i="1"/>
  <c r="D20" i="1"/>
  <c r="D18" i="1"/>
  <c r="D16" i="1"/>
  <c r="B38" i="1" l="1"/>
  <c r="E58" i="1"/>
  <c r="G9" i="1" l="1"/>
  <c r="E60"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<sst xmlns="http://schemas.openxmlformats.org/spreadsheetml/2006/main" count="1282" uniqueCount="271">
  <si>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</si>
  <si>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</si>
  <si>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</si>
  <si>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</si>
  <si>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</si>
  <si>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</si>
  <si>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</si>
  <si>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</si>
  <si>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</si>
  <si>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</si>
  <si>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</si>
  <si>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</si>
  <si>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</si>
  <si>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</si>
  <si>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</si>
  <si>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</si>
  <si>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</si>
  <si>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</si>
  <si>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</si>
  <si>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</si>
  <si>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</si>
  <si>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</si>
  <si>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</si>
  <si>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</si>
  <si>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</si>
  <si>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</si>
  <si>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</si>
  <si>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</si>
  <si>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</si>
  <si>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</si>
  <si>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</si>
  <si>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</si>
  <si>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</si>
  <si>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</si>
  <si>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</si>
  <si>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</si>
  <si>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</si>
  <si>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</si>
  <si>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</si>
  <si>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</si>
  <si>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</si>
  <si>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</si>
  <si>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</si>
  <si>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</si>
  <si>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</si>
  <si>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</si>
  <si>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</si>
  <si>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</si>
  <si>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</si>
  <si>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</si>
  <si>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</si>
  <si>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</si>
  <si>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</si>
  <si>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</si>
  <si>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</si>
  <si>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</si>
  <si>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</si>
  <si>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</si>
  <si>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</si>
  <si>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</si>
  <si>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</si>
  <si>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</si>
  <si>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</si>
  <si>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</si>
  <si>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</si>
  <si>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</si>
  <si>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</si>
  <si>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</si>
  <si>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</si>
  <si>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</si>
  <si>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</si>
  <si>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</si>
  <si>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</si>
  <si>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</si>
  <si>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</si>
  <si>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</si>
  <si>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</si>
  <si>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</si>
  <si>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</si>
  <si>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</si>
  <si>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</si>
  <si>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</si>
  <si>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</si>
  <si>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</si>
  <si>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</si>
  <si>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</si>
  <si>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</si>
  <si>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</si>
  <si>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</si>
  <si>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</si>
  <si>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</si>
  <si>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</si>
  <si>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</si>
  <si>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</si>
  <si>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</si>
  <si>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</si>
  <si>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</si>
  <si>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</si>
  <si>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</si>
  <si>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</si>
  <si>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</si>
  <si>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</si>
  <si>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</si>
  <si>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</si>
  <si>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</si>
  <si>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</si>
  <si>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</si>
  <si>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</si>
  <si>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</si>
  <si>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</si>
  <si>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</si>
  <si>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</si>
  <si>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</si>
  <si>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</si>
  <si>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</si>
  <si>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</si>
  <si>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</si>
  <si>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</si>
  <si>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</si>
  <si>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</si>
  <si>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</si>
  <si>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</si>
  <si>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</si>
  <si>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</si>
  <si>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</si>
  <si>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</si>
  <si>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</si>
  <si>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</si>
  <si>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</si>
  <si>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</si>
  <si>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</si>
  <si>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</si>
  <si>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</si>
  <si>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</si>
  <si>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</si>
  <si>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</si>
  <si>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</si>
  <si>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</si>
  <si>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</si>
  <si>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</si>
  <si>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</si>
  <si>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</si>
  <si>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</si>
  <si>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</si>
  <si>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</si>
  <si>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</si>
  <si>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</si>
  <si>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</si>
  <si>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</si>
  <si>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</si>
  <si>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</si>
  <si>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</si>
  <si>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</si>
  <si>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</si>
  <si>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</si>
  <si>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</si>
  <si>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</si>
  <si>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</si>
  <si>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</si>
  <si>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</si>
  <si>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</si>
  <si>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</si>
  <si>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</si>
  <si>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</si>
  <si>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</si>
  <si>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</si>
  <si>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</si>
  <si>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</si>
  <si>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</si>
  <si>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</si>
  <si>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</si>
  <si>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</si>
  <si>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</si>
  <si>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</si>
  <si>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</si>
  <si>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Rédaction du journal de travail de la matinée</t>
  </si>
  <si>
    <r>
      <t xml:space="preserve">Cette journée m'as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</si>
  <si>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</si>
  <si>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</si>
  <si>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</si>
  <si>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</si>
  <si>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</si>
  <si>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</si>
  <si>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
J'ai éffectuer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</si>
  <si>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</si>
  <si>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</si>
  <si>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</si>
  <si>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</si>
  <si>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</si>
  <si>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</si>
  <si>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</si>
  <si>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</si>
  <si>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</si>
  <si>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</si>
  <si>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</si>
  <si>
    <t>J'ai finalisé les différentes maquettes graphiques, et je les ai implémentées dans le rapport.</t>
  </si>
  <si>
    <t>J'ai commencé la partie réalisation du rapport.</t>
  </si>
  <si>
    <t>Ajoutez Firebase à un projet IOS</t>
  </si>
  <si>
    <t>Implémentation du POD FireBase sur Xcode afin de lié ma base de donnée et le service firebase.
Puis j'ai commencé à regarder des tutoriels pour gérer la lecture et l'écriture dans une DB à travers Xcode.</t>
  </si>
  <si>
    <t>J'ai commencé la création de la base de donnée sur FireBase, 
J'ai créé les différentes tables avec les différents éléments : User, Size, Color, Condition, Price, Product name etc.</t>
  </si>
  <si>
    <r>
      <rPr>
        <b/>
        <sz val="10"/>
        <rFont val="Century Gothic"/>
        <family val="2"/>
        <scheme val="minor"/>
      </rPr>
      <t xml:space="preserve">Lors de cette journée, j'ai pu terminer la mise en place du projet, les différentes maquettes etc..
</t>
    </r>
    <r>
      <rPr>
        <b/>
        <sz val="10"/>
        <color rgb="FF00B050"/>
        <rFont val="Century Gothic"/>
        <family val="2"/>
        <scheme val="minor"/>
      </rPr>
      <t xml:space="preserve">Journée positive 
</t>
    </r>
  </si>
  <si>
    <r>
      <rPr>
        <b/>
        <sz val="10"/>
        <rFont val="Century Gothic"/>
        <family val="2"/>
        <scheme val="minor"/>
      </rPr>
      <t xml:space="preserve">J'ai commencé la mise en place de Xcode lié avec le service Firebase, j'ai regardé un tutoriel concernant l'écriture et la lecture d'une base de données sous FireBase, et j'ai compris comment faire.
</t>
    </r>
    <r>
      <rPr>
        <b/>
        <sz val="10"/>
        <color rgb="FF00B050"/>
        <rFont val="Century Gothic"/>
        <family val="2"/>
        <scheme val="minor"/>
      </rPr>
      <t xml:space="preserve">Journée positive 
</t>
    </r>
  </si>
  <si>
    <t xml:space="preserve">
Push du Git.</t>
  </si>
  <si>
    <t>Rédaction du journal de travail de la matinée.</t>
  </si>
  <si>
    <t>Rédaction de la conception de mon TPI : 
- Maquettes Graphiques, MCD et MLD ajouter au rapport
- Dossier de conception complété</t>
  </si>
  <si>
    <t>J'ai passé en revue la base de données que j'avais créée lundi matin.
Je l'ai comparé avec le MLD afin de vérifier que je n'avais oublié aucun champ lors de sa création.</t>
  </si>
  <si>
    <t>Installation du POD "CocoaPods" qui permet la gestion des dépendances pour Swift et permet de gérer des librairies externes</t>
  </si>
  <si>
    <t>Implémentation du tableau des besoins utilisateurs dans le rapport.</t>
  </si>
  <si>
    <t xml:space="preserve">What is model view Controller with Example - Swift </t>
  </si>
  <si>
    <t>Envoie du mail de fin du mercredi aux experts ainsi qu'à M.Gruaz.
Push du Git.</t>
  </si>
  <si>
    <t>Rédaction du journal de travail de la matinée et de l'après-Midi</t>
  </si>
  <si>
    <t xml:space="preserve">Finalisation du MVC de l'application.
Ajout des fichiers de configuration permettant la lecture de la base de données, tel que la récupération des différents champs de la table t_users dans le fichier User.Swift
J'ai également ajouté tous les éléments qui seront présents sur la page principale ainsi que sur la page profil de l'utilisateur.
J'ai initialisé le POD de firebase permettant l'accès à FireStore et j'ai ensuite configuré l'écran de chargement de l'application.
</t>
  </si>
  <si>
    <r>
      <t xml:space="preserve">
Aujourd'hui pour la première fois, j'ai commencé à réelement développer l'application pour le moment, j'ai pu mettre en place correctement l'infrastructure MVC.
J'ai également pu commencer à réaliser l'interface de mon application en y implémentant les différents boutons/label etc. 
Cependant, j'ai mis plus de temps que ce que j'avais prévu à mettre en place les fondations de l'application, il faudra que je me rattrape lundi.
</t>
    </r>
    <r>
      <rPr>
        <b/>
        <sz val="10"/>
        <color rgb="FFFFFF00"/>
        <rFont val="Century Gothic"/>
        <family val="2"/>
        <scheme val="minor"/>
      </rPr>
      <t>Journée moyennement positive</t>
    </r>
  </si>
  <si>
    <t>Swift 5: Firebase Database in App - Setup/Read/Write Data (Xcode 11) - Beginners</t>
  </si>
  <si>
    <t xml:space="preserve">
</t>
  </si>
  <si>
    <t>swiftludus.org - How to navigate between view controllers in IOS</t>
  </si>
  <si>
    <t>J'ai commenté la page connexion de mon application.</t>
  </si>
  <si>
    <t>J'ai lié ma base de données sur Firebase avec les ID des comptes créés à l'aide du service d'authentification de Firebase</t>
  </si>
  <si>
    <t>Premiers pas avec l'authentification Firebase sur iOS</t>
  </si>
  <si>
    <t>J'ai ajouté la page de création d'un compte mais pour le moment, les boutons sont inutilisables et elle est liée à aucune autre page de l'application.</t>
  </si>
  <si>
    <t>J'ai créé les différentes vues concernant l'authentification étant donné que pour simplifier le stockage de mes données, j'ai décidé d'utiliser également le service d'authentification de FireBase, ayant travaillé sur son implémentation lors de mon pré-TPI, cela ne devrait pas me prendre trop de temps à réimplémenter sur cette application. 
Lors de la planification du projet, je n'avais pas prévu de devoir refaire le système d'authentification pour mon application mais pour la suite du projet, le rajouter me permettra de gagner du temps, voilà pourquoi je m'éloigne de ma planification.
J'ai créé la page de connexion, avec les différentes redirections disponibles sur la page, l'authentification n'est pas encore fonctionnelle.</t>
  </si>
  <si>
    <t xml:space="preserve">Rédaction du journal de travail de la matinée </t>
  </si>
  <si>
    <t>https://firebase.google.com/docs/auth/ios/manage-users</t>
  </si>
  <si>
    <t>https://medium.com/firebase-developers/ios-firebase-authentication-sdk-email-and-password-login-6a3bb27e0536</t>
  </si>
  <si>
    <t>https://firebase.google.com/docs/ios/setup</t>
  </si>
  <si>
    <t>J'ai mis en place le système d'authentification de mon application, j'ai configuré la création des différents utilisateurs via l'adresse mail et un mot de passe stocker via firebase. J'ai géré les erreurs lors de la saisie des informations, la création d'un nouvel utilisateur et la récupération des informations d'un utilisateur précédemment créer.
Pour réaliser cela, j'ai dû installer les PODS d'authentification de firebase et également modifier le fichier de configuration concernant mon application, contenant désormais la gestion de l'authentification.</t>
  </si>
  <si>
    <t>J'ai terminé la liaison de la page "Connexion" avec la page "Création d'un compte", j'ai mis en place correctement les différents bouton (Bouton retour, bouton "création d'un compte, textbox pour l'email et le mot de passe), je me suis basé sur mes maquettes graphiques, mais j'ai éffectuer quelques modifications dû à certaines contraintes imposée par l'interface builder mis à disposition sur xCode qui ne me permettait pas répliquer à l'identique mes maquettes.</t>
  </si>
  <si>
    <t>j'ai rencontré un problème d'affichage lors du lancement de l'application suite à des zones de contraintes "AutoLayout" qui empêche de placer certains éléments à certains endroits de l'écran pour permettre la responsivité et l'utilisation de l'application sur d'autres modèles d'iphones.
Pour ce projet, j'ai mis de côté la compatibilité d'affichage avec d'autres appareils IOS étant donné que cette application est développée dans l'objectif de fonctionner sur un Iphone 11.</t>
  </si>
  <si>
    <t>https://developer.apple.com/library/archive/documentation/UserExperience/Conceptual/AutolayoutPG/WorkingwithConstraintsinInterfaceBuidler.html#:~:text=Interface%20Builder%20provides%20four%20Auto,make%20multiple%20constraints%20at%20once.</t>
  </si>
  <si>
    <t>Rédaction du journal de travail de la journée.</t>
  </si>
  <si>
    <t xml:space="preserve">J'ai eu une conversation avec mon camarade Luca Böhlen afin de lui expliquer pourquoi il devrait plutôt utiliser firebase à la place de Core Data, en lui montrant l'exemple avec mon application.
Je lui ai expliqué brièvement comment  mettre en place firebase. </t>
  </si>
  <si>
    <t>Rédaction du journal de travail de l'après midi.</t>
  </si>
  <si>
    <t>J'ai mis en place la récupération d'un compte précédemment créé et la lecture des différents comptes.J'ai lié les différents comptes avec la base de données, lorsqu'un utilisateur créé son compte, il est directement connecté et s'il ferme l'application, il reste connecté.</t>
  </si>
  <si>
    <t>Désormais lorsque l'utilisateur créé son compte, il est redirigé sur la page principale et également lorsqu'il se connecte.</t>
  </si>
  <si>
    <t>Push des modifications de la journée sur le Git.</t>
  </si>
  <si>
    <r>
      <t xml:space="preserve">
J'ai commencé aujourd'hui l'implémentation de l'authentification d'un utilisateur.Ce n'était pas prévu au commencement de mon projet, mais j'ai préféré l'implémenter afin de simplifier la gestion des données par la suite.Cela ne mettra pas pour autant en retard mon projet étant donné qu'il avance correctement.
</t>
    </r>
    <r>
      <rPr>
        <b/>
        <sz val="10"/>
        <color rgb="FF66FF33"/>
        <rFont val="Century Gothic"/>
        <family val="2"/>
        <scheme val="minor"/>
      </rPr>
      <t>Journée positive</t>
    </r>
  </si>
  <si>
    <r>
      <t xml:space="preserve">
J'ai terminé aujourd'hui l'implémentation de l'authentification d'un utilisateur et la création d'un compte. Je vais pouvoir me concentrer sur les fonctionnalités de base de mon application.
</t>
    </r>
    <r>
      <rPr>
        <b/>
        <sz val="10"/>
        <color rgb="FF66FF33"/>
        <rFont val="Century Gothic"/>
        <family val="2"/>
        <scheme val="minor"/>
      </rPr>
      <t>Journée positive</t>
    </r>
  </si>
  <si>
    <t xml:space="preserve">J'ai continué la  conversation avec mon camarade Luca Böhlen, pour lui expliquer de manière approfondie l'utilisation de Firebase ainsi que son fonctionnement, implémentation, et l'utilité qu'aura ce service dans son projet.
</t>
  </si>
  <si>
    <t>https://github.com/IdleHandsApps/DesignableButton</t>
  </si>
  <si>
    <t>J'ai commenté mon code concernant l'authentification "LoginController/CreateAccountController" et j'ai commencé à commenter le code concernant 
la page d'ajout d'un article et la page principale sur laquelle, je n'ai pas encore pu travaillé.</t>
  </si>
  <si>
    <t>Je me suis renseigné et j'ai implémenté dans mon projet différents pods que je vais utiliser lors de ce projet :
- un pods permettant de modifier un bouton pour lui appliquer différentes formes etc. Couleurs de fond directement dans l'interface builder, je vais utiliser ces boutons pour les implémenter sur mes pages de connexion 
- Un pods pour pouvoir ajouter des menus déroulant lorsque l'utilisateur cliquera sur un bouton, j'ai commencé à essayer de l'implémenter sur la page ajout d'un produit pour sélectionner la taille du produit ainsi que sa catégorie.
- Un pods pour afficher à l'utilisateur un état de progression lorsque l'application le connectera avec Firebase authentification ou lorsque l'utilisateur ajoutera un produit.</t>
  </si>
  <si>
    <t>Rendez-vous avec Monsieur Perez pour la seconde visite du TPI, pris de connaissance de différentes informations concernant la suite du déroulement du TPI, pour le moment suite au bilan, je n'ai rien eu à signaler de particulier à Monsieur Perez, le TPI suit son cours.
Monsieur Perez veut une version papier du projet.</t>
  </si>
  <si>
    <t>https://www.youtube.com/watch?v=OQYqGM5_wVY&amp;ab_channel=iOSAcademy</t>
  </si>
  <si>
    <t>Je suis arrivé en retard suite à un problème avec mon train, je vais faire en sorte de rattraper cet imprévu sur mon temps libre.</t>
  </si>
  <si>
    <t>J'ai commencé à rédiger les commentaires des pages que j'ai implémenté hier dans l'application.</t>
  </si>
  <si>
    <t>J'ai continué à travailler sur la conception des cases pour afficher les articles de l'utilisateur, je me heurte à un problème de conception, je ne sais pas encore comment je peux disposer les éléments en forme de liste.
J'ai pris le temps de regarder différents tutoriels où guident afin de comprendre plus clairement les différentes possibilités d'affichages qui s'offraient à moi afin que mon application soit le plus proche possible des maquettes graphiques que j'ai réalisées.</t>
  </si>
  <si>
    <t>J'ai dû retravailler mon dossier de conception sur mon rapport après une lecture approfondie des 
critêres d'évaluation, il semblait me manquer certaines informations sur mon projet.</t>
  </si>
  <si>
    <t>https://www.youtube.com/watch?v=WK5vrOD1zCQ&amp;ab_channel=iOSAcademyiOSAcademy</t>
  </si>
  <si>
    <t>https://www.youtube.com/watch?v=FtO5QT2D_H8&amp;ab_channel=SeanAllenSeanAllen</t>
  </si>
  <si>
    <t>https://www.youtube.com/watch?v=C36sb5sc6lE&amp;ab_channel=SeanAllenSeanAllen</t>
  </si>
  <si>
    <t>46h50min</t>
  </si>
  <si>
    <t>- 43h</t>
  </si>
  <si>
    <r>
      <t xml:space="preserve">
J'ai commencé réellement les fonctionnalités de mon cahier des charges, pour le moment j'ai pu mettre en place la moitié des pages de l'application et j'ai eu le temps de me pencher brièvement sur la possibilité de partager les futurs articles, et également sur le fonctionnement de la trie des articles.
</t>
    </r>
    <r>
      <rPr>
        <b/>
        <sz val="10"/>
        <color rgb="FF66FF33"/>
        <rFont val="Century Gothic"/>
        <family val="2"/>
        <scheme val="minor"/>
      </rPr>
      <t>Journée positive</t>
    </r>
  </si>
  <si>
    <t>Rédaction du journal de travail de la matinée et de l'après-midi.</t>
  </si>
  <si>
    <t>Envoie du mail de fin de semaines aux experts M.Carrel et M.Perez ainsi qu'à M.Gruaz.
Push du Git.</t>
  </si>
  <si>
    <t>J'ai commencé à structurer la page d'ajout d'un article avec les différents éléments qui seront sélectionnable pour un article (catégorie, taille, prix, date d'achat etc..) 
J'ai suivi ma maquette graphique.</t>
  </si>
  <si>
    <t xml:space="preserve">J'ai commencé à développer la page principale de l'application : 
- j'ai ajouté les différents liens entre les différentes pages, j'ai ajouté le bouton profil, j'ai 
commencé le développement du bouton de sélection ainsi que le bouton qui permettra de trier par catégorie les articles de l'utilisateur.
-J'ai ajouté le bouton pour accéder à la page d'ajout d'un produit, et j'ai commencé à structure le modèle des cases qui permettra de visionner les produits sur la première page.
</t>
  </si>
  <si>
    <t>J'ai continué à travailler sur la conception des cases pour afficher les articles de l'utilisateur, j'ai mis en place les différents éléments et j'ai réussi à mettre en place la possibilité de créer des cases en appuyant sur le bouton ajouté, pour le moment, je n'ai pas reussi à récupérer des informations depuis la base de données pour les afficher dans les cases.
Cependant, j'ai eu le temps de me renseigner sur le moyen de réaliser ça, et je pense pouvoir mettre en place la récupération des éléments de la base de données depuis les cases d'ici mercredi prochain.</t>
  </si>
  <si>
    <t>https://stackoverflow.com/questions/66279978/swift-how-to-save-data-to-firebase-from-multiply-selected-cells-in-tableview</t>
  </si>
  <si>
    <t>https://firebase.google.com/docs/database/ios/lists-of-data</t>
  </si>
  <si>
    <t>https://www.youtube.com/watch?v=4RUeW5rUcww&amp;ab_channel=Firebase</t>
  </si>
  <si>
    <t>J'ai rédigé la stratégie des tests de mon projet, que je n'ai pas encore retranscrit sur mon rapport.</t>
  </si>
  <si>
    <r>
      <t xml:space="preserve">J'ai pu approfondir la mise en places des cases d'articles, j'ai mis en place certaines choses, cette fonctionnalié avance correctement.
</t>
    </r>
    <r>
      <rPr>
        <b/>
        <sz val="10"/>
        <color rgb="FF66FF33"/>
        <rFont val="Century Gothic"/>
        <family val="2"/>
        <scheme val="minor"/>
      </rPr>
      <t>Journée positive</t>
    </r>
  </si>
  <si>
    <t>Mise en place de l'interface de l'application, mise en place de certains boutons sur la page principale.
Gestion du changement de page entre la page profil et la page principale.
J'ai également arrangé les dossiers et les différents fichiers de mon application selon l'architecture logicielle MVC.</t>
  </si>
  <si>
    <t>https://www.youtube.com/watch?v=TQOhsyWUhwg&amp;ab_channel=CodePro</t>
  </si>
  <si>
    <t>J'ai rédiger les commentaires de la page HomeViewController et ceux de la page ProductDetailViewController.</t>
  </si>
  <si>
    <t xml:space="preserve">J'ai ajouté le chapitre glossaire et une table des illustrations dans mon rapport technique. </t>
  </si>
  <si>
    <t>Envoie du mail du mercredi aux experts M.Carrel et M.Perez ainsi qu'à M.Gruaz.
Push du Git.</t>
  </si>
  <si>
    <t>J'ai ajusté l'emplacement de certains éléments de l'application, le bouton d'ajout d'un objet, l'icône pour accéder à la page profil, le futur emplacement des catégories des articles. 
J'ai ajouter un logo à l'application et modifier le design des boutons de l'application via le framework "DesignableButton"</t>
  </si>
  <si>
    <t xml:space="preserve">Réalisation de la page HomeViewController, j'ai mis en place la récupération des données à afficher depuis la base de données.
J'ai effectué des tests avec des données fictives créer directement dans la base de données, pour afficher une image, un nom d'article ainsi que son prix, j'ai également géré la disposition des cases qui s'ajoutent à la suite de manière ordonnée dans la vue principale.
J'ai ajusté la mise en place des cases pour que l'affichage des informations se positionne correctement dans les cases. 
J'ai également permis à l'utilisateur d'appuyer sur une case ce qui le redirige sur la page détail d'un article, pour le moment les informations ne sont pas récupérées et afficher sur la page détail.
Récupération des données d'un article sur la page principale, OK
Dispositions des cases de la vue, OK </t>
  </si>
  <si>
    <t xml:space="preserve">J'ai travaillé sur la page ProductDetailViewController, j'ai mis en place les différentes informations contenues pour un article, via la fonction "setup" qui initialise les différents champs d'un article.
J'ai effectué la récupération des données d'un article depuis la base de données lorsqu'il est sélectionné.
Récupération des données d'un article sur la page détaillé, OK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</si>
</sst>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2"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
      <b/>
      <sz val="10"/>
      <color rgb="FFFFFF00"/>
      <name val="Century Gothic"/>
      <family val="2"/>
      <scheme val="minor"/>
    </font>
    <font>
      <b/>
      <sz val="10"/>
      <color rgb="FF66FF33"/>
      <name val="Century Gothic"/>
      <family val="2"/>
      <scheme val="minor"/>
    </font>
  </fonts>
  <fills count="24">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s>
  <borders count="10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style="medium">
        <color indexed="64"/>
      </right>
      <top/>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26" fillId="20" borderId="84" applyNumberFormat="0" applyAlignment="0" applyProtection="0"/>
    <xf numFmtId="0" fontId="1" fillId="0" borderId="0"/>
  </cellStyleXfs>
  <cellXfs count="308">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3" xfId="0" applyFont="1" applyFill="1" applyBorder="1" applyProtection="1"/>
    <xf numFmtId="0" fontId="3" fillId="6" borderId="0" xfId="0" applyFont="1" applyFill="1" applyBorder="1" applyProtection="1"/>
    <xf numFmtId="0" fontId="3" fillId="6" borderId="64" xfId="0" applyFont="1" applyFill="1" applyBorder="1" applyProtection="1"/>
    <xf numFmtId="0" fontId="3" fillId="6" borderId="4" xfId="0" applyFont="1" applyFill="1" applyBorder="1" applyProtection="1"/>
    <xf numFmtId="0" fontId="3" fillId="6" borderId="66" xfId="0" applyFont="1" applyFill="1" applyBorder="1" applyProtection="1"/>
    <xf numFmtId="1" fontId="8" fillId="0" borderId="39" xfId="0" applyNumberFormat="1" applyFont="1" applyFill="1" applyBorder="1" applyAlignment="1" applyProtection="1">
      <alignment horizontal="center" vertical="center"/>
    </xf>
    <xf numFmtId="1" fontId="8" fillId="0" borderId="66"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8" xfId="0" applyNumberFormat="1" applyFont="1" applyFill="1" applyBorder="1" applyAlignment="1" applyProtection="1">
      <alignment horizontal="center" vertical="center"/>
    </xf>
    <xf numFmtId="0" fontId="20" fillId="5" borderId="67" xfId="0" applyNumberFormat="1" applyFont="1" applyFill="1" applyBorder="1" applyAlignment="1" applyProtection="1">
      <alignment horizontal="center" vertical="center"/>
    </xf>
    <xf numFmtId="0" fontId="0" fillId="9" borderId="69"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3" fillId="0" borderId="79"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5"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lignment horizontal="center"/>
    </xf>
    <xf numFmtId="0" fontId="25" fillId="5" borderId="80"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2" xfId="0" applyFont="1" applyFill="1" applyBorder="1"/>
    <xf numFmtId="0" fontId="3" fillId="17" borderId="77"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9" xfId="0" applyFont="1" applyFill="1" applyBorder="1"/>
    <xf numFmtId="0" fontId="3" fillId="17" borderId="57" xfId="0" applyFont="1" applyFill="1" applyBorder="1"/>
    <xf numFmtId="0" fontId="3" fillId="17" borderId="21" xfId="0" applyFont="1" applyFill="1" applyBorder="1" applyProtection="1"/>
    <xf numFmtId="0" fontId="3" fillId="17" borderId="74"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1" xfId="0" applyFont="1" applyFill="1" applyBorder="1"/>
    <xf numFmtId="0" fontId="3" fillId="18" borderId="28" xfId="0" applyFont="1" applyFill="1" applyBorder="1"/>
    <xf numFmtId="0" fontId="3" fillId="18" borderId="78" xfId="0" applyFont="1" applyFill="1" applyBorder="1"/>
    <xf numFmtId="0" fontId="3" fillId="18" borderId="56" xfId="0" applyFont="1" applyFill="1" applyBorder="1"/>
    <xf numFmtId="0" fontId="3" fillId="18" borderId="28" xfId="0" applyFont="1" applyFill="1" applyBorder="1" applyProtection="1"/>
    <xf numFmtId="0" fontId="3" fillId="18" borderId="73" xfId="0" applyFont="1" applyFill="1" applyBorder="1"/>
    <xf numFmtId="2" fontId="13" fillId="19" borderId="62" xfId="0" applyNumberFormat="1" applyFont="1" applyFill="1" applyBorder="1" applyAlignment="1">
      <alignment horizontal="center" vertical="center"/>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7" fillId="20" borderId="85" xfId="2" applyFont="1" applyBorder="1" applyAlignment="1">
      <alignment horizontal="center"/>
    </xf>
    <xf numFmtId="0" fontId="0" fillId="0" borderId="86" xfId="0" applyBorder="1"/>
    <xf numFmtId="0" fontId="3" fillId="0" borderId="87" xfId="1" applyFont="1" applyFill="1" applyBorder="1" applyAlignment="1" applyProtection="1">
      <alignment horizontal="center" vertical="center" wrapText="1"/>
      <protection locked="0"/>
    </xf>
    <xf numFmtId="0" fontId="27" fillId="20" borderId="90" xfId="2" applyFont="1" applyBorder="1" applyAlignment="1">
      <alignment horizontal="center"/>
    </xf>
    <xf numFmtId="0" fontId="0" fillId="0" borderId="91" xfId="0" applyBorder="1"/>
    <xf numFmtId="0" fontId="0" fillId="0" borderId="87" xfId="1" applyFont="1" applyFill="1" applyBorder="1" applyAlignment="1" applyProtection="1">
      <alignment horizontal="center" vertical="center" wrapText="1"/>
      <protection locked="0"/>
    </xf>
    <xf numFmtId="0" fontId="0" fillId="21" borderId="0" xfId="0" applyFill="1"/>
    <xf numFmtId="0" fontId="0" fillId="22" borderId="88" xfId="0" applyFill="1" applyBorder="1"/>
    <xf numFmtId="0" fontId="0" fillId="22" borderId="86" xfId="0" applyFill="1" applyBorder="1"/>
    <xf numFmtId="0" fontId="0" fillId="21" borderId="86" xfId="0" applyFill="1" applyBorder="1"/>
    <xf numFmtId="0" fontId="11" fillId="21" borderId="92" xfId="1" applyFont="1" applyFill="1" applyBorder="1" applyAlignment="1" applyProtection="1">
      <alignment horizontal="center" vertical="center" wrapText="1"/>
      <protection locked="0"/>
    </xf>
    <xf numFmtId="0" fontId="11" fillId="22" borderId="92" xfId="1" applyFont="1" applyFill="1" applyBorder="1" applyAlignment="1" applyProtection="1">
      <alignment horizontal="center" vertical="center" wrapText="1"/>
      <protection locked="0"/>
    </xf>
    <xf numFmtId="0" fontId="28" fillId="22" borderId="89" xfId="2" applyFont="1" applyFill="1" applyBorder="1" applyAlignment="1">
      <alignment horizontal="center"/>
    </xf>
    <xf numFmtId="0" fontId="28" fillId="21" borderId="89" xfId="2" applyFont="1" applyFill="1" applyBorder="1" applyAlignment="1">
      <alignment horizontal="center"/>
    </xf>
    <xf numFmtId="0" fontId="0" fillId="23" borderId="0" xfId="0" applyFill="1"/>
    <xf numFmtId="0" fontId="27" fillId="20" borderId="93" xfId="2" applyFont="1" applyBorder="1" applyAlignment="1">
      <alignment horizontal="center"/>
    </xf>
    <xf numFmtId="0" fontId="5" fillId="9" borderId="0" xfId="0" applyFont="1" applyFill="1" applyAlignment="1">
      <alignment vertical="center"/>
    </xf>
    <xf numFmtId="0" fontId="5" fillId="9" borderId="0" xfId="0" applyFont="1" applyFill="1"/>
    <xf numFmtId="0" fontId="9" fillId="9" borderId="83" xfId="0" applyNumberFormat="1" applyFont="1" applyFill="1" applyBorder="1" applyAlignment="1" applyProtection="1">
      <alignment vertical="top" wrapText="1"/>
    </xf>
    <xf numFmtId="0" fontId="9" fillId="9" borderId="10" xfId="0" applyNumberFormat="1" applyFont="1" applyFill="1" applyBorder="1" applyAlignment="1" applyProtection="1">
      <alignment vertical="top" wrapText="1"/>
    </xf>
    <xf numFmtId="0" fontId="9" fillId="9" borderId="11" xfId="0" applyNumberFormat="1" applyFont="1" applyFill="1" applyBorder="1" applyAlignment="1" applyProtection="1">
      <alignment vertical="top" wrapText="1"/>
    </xf>
    <xf numFmtId="0" fontId="9" fillId="9" borderId="13" xfId="0" applyNumberFormat="1" applyFont="1" applyFill="1" applyBorder="1" applyAlignment="1" applyProtection="1">
      <alignment vertical="top" wrapText="1"/>
    </xf>
    <xf numFmtId="0" fontId="5" fillId="2" borderId="0" xfId="0" applyFont="1" applyFill="1" applyBorder="1" applyAlignment="1">
      <alignment vertical="center"/>
    </xf>
    <xf numFmtId="0" fontId="25" fillId="9" borderId="10" xfId="0" applyFont="1" applyFill="1" applyBorder="1" applyAlignment="1" applyProtection="1">
      <alignment horizontal="center" vertical="center"/>
    </xf>
    <xf numFmtId="0" fontId="5" fillId="15" borderId="0" xfId="0" applyFont="1" applyFill="1" applyProtection="1"/>
    <xf numFmtId="0" fontId="3" fillId="18" borderId="76"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9" fillId="4" borderId="9" xfId="0" applyNumberFormat="1" applyFont="1" applyFill="1" applyBorder="1" applyAlignment="1" applyProtection="1">
      <alignment horizontal="center" vertical="top" wrapText="1"/>
    </xf>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0" fontId="10" fillId="5" borderId="51" xfId="0" applyFont="1" applyFill="1" applyBorder="1" applyAlignment="1" applyProtection="1">
      <alignment horizontal="left" vertical="center" wrapText="1" indent="1"/>
      <protection locked="0"/>
    </xf>
    <xf numFmtId="0" fontId="10" fillId="5" borderId="52" xfId="0" applyFont="1" applyFill="1" applyBorder="1" applyAlignment="1" applyProtection="1">
      <alignment horizontal="left" vertical="center" wrapText="1" indent="1"/>
      <protection locked="0"/>
    </xf>
    <xf numFmtId="14" fontId="22" fillId="0" borderId="5" xfId="0" applyNumberFormat="1" applyFont="1" applyFill="1" applyBorder="1" applyAlignment="1">
      <alignment horizontal="center" vertical="center"/>
    </xf>
    <xf numFmtId="14" fontId="15" fillId="0" borderId="0" xfId="0" applyNumberFormat="1" applyFont="1" applyFill="1" applyBorder="1" applyAlignment="1">
      <alignment horizontal="center" vertical="center"/>
    </xf>
    <xf numFmtId="0" fontId="7" fillId="8" borderId="46" xfId="0" applyFont="1" applyFill="1" applyBorder="1" applyAlignment="1">
      <alignment horizontal="center" vertical="center"/>
    </xf>
    <xf numFmtId="165" fontId="8" fillId="8" borderId="46" xfId="0" applyNumberFormat="1" applyFont="1" applyFill="1" applyBorder="1" applyAlignment="1">
      <alignment horizontal="left" vertical="center"/>
    </xf>
    <xf numFmtId="0" fontId="8" fillId="5" borderId="66"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0" fontId="0" fillId="5" borderId="52" xfId="0" applyFont="1" applyFill="1" applyBorder="1"/>
    <xf numFmtId="0" fontId="24" fillId="0" borderId="15" xfId="0" applyFont="1" applyFill="1" applyBorder="1" applyAlignment="1" applyProtection="1">
      <alignment horizontal="center" vertical="center"/>
    </xf>
    <xf numFmtId="0" fontId="23" fillId="0" borderId="15" xfId="0" applyFont="1" applyFill="1" applyBorder="1" applyAlignment="1" applyProtection="1">
      <alignment horizont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0" fillId="9" borderId="0" xfId="0" applyFill="1" applyBorder="1" applyAlignment="1">
      <alignment horizont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0" fillId="0" borderId="0" xfId="0" applyBorder="1" applyAlignment="1">
      <alignment horizont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2"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2" fillId="0" borderId="32" xfId="1" applyFill="1" applyBorder="1" applyAlignment="1" applyProtection="1">
      <alignment horizontal="center" vertical="top" wrapText="1"/>
      <protection locked="0"/>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2" fillId="0" borderId="33" xfId="1" applyFill="1" applyBorder="1" applyAlignment="1" applyProtection="1">
      <alignment horizontal="center" vertical="top" wrapText="1"/>
      <protection locked="0"/>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2" fillId="0" borderId="47"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4" borderId="4"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xf numFmtId="0" fontId="2" fillId="0" borderId="44" xfId="1" applyFill="1" applyBorder="1" applyAlignment="1" applyProtection="1">
      <alignment horizontal="center" vertical="top" wrapText="1"/>
      <protection locked="0"/>
    </xf>
    <xf numFmtId="0" fontId="5" fillId="0" borderId="60" xfId="0" applyFont="1" applyFill="1" applyBorder="1" applyAlignment="1" applyProtection="1">
      <alignment horizontal="left" vertical="top" wrapText="1"/>
      <protection locked="0"/>
    </xf>
    <xf numFmtId="0" fontId="5" fillId="0" borderId="97" xfId="0" applyFont="1" applyFill="1" applyBorder="1" applyAlignment="1" applyProtection="1">
      <alignment horizontal="left" vertical="top" wrapText="1"/>
      <protection locked="0"/>
    </xf>
    <xf numFmtId="0" fontId="5" fillId="0" borderId="94" xfId="0" applyFont="1" applyFill="1" applyBorder="1" applyAlignment="1" applyProtection="1">
      <alignment horizontal="left" vertical="top" wrapText="1"/>
      <protection locked="0"/>
    </xf>
    <xf numFmtId="0" fontId="3" fillId="0" borderId="98" xfId="1" applyFont="1" applyFill="1" applyBorder="1" applyAlignment="1" applyProtection="1">
      <alignment horizontal="center" vertical="center" wrapText="1"/>
      <protection locked="0"/>
    </xf>
    <xf numFmtId="0" fontId="3" fillId="0" borderId="99" xfId="1" applyFont="1" applyFill="1" applyBorder="1" applyAlignment="1" applyProtection="1">
      <alignment horizontal="center" vertical="center" wrapText="1"/>
      <protection locked="0"/>
    </xf>
    <xf numFmtId="0" fontId="3" fillId="0" borderId="100" xfId="1" applyFont="1" applyFill="1" applyBorder="1" applyAlignment="1" applyProtection="1">
      <alignment horizontal="center" vertical="center" wrapText="1"/>
      <protection locked="0"/>
    </xf>
    <xf numFmtId="0" fontId="3" fillId="0" borderId="10" xfId="1" applyFont="1" applyFill="1" applyBorder="1" applyAlignment="1" applyProtection="1">
      <alignment horizontal="center" vertical="center" wrapText="1"/>
      <protection locked="0"/>
    </xf>
    <xf numFmtId="0" fontId="3" fillId="0" borderId="0" xfId="1" applyFont="1" applyFill="1" applyBorder="1" applyAlignment="1" applyProtection="1">
      <alignment horizontal="center" vertical="center" wrapText="1"/>
      <protection locked="0"/>
    </xf>
    <xf numFmtId="0" fontId="3" fillId="0" borderId="11" xfId="1" applyFont="1" applyFill="1" applyBorder="1" applyAlignment="1" applyProtection="1">
      <alignment horizontal="center" vertical="center" wrapText="1"/>
      <protection locked="0"/>
    </xf>
    <xf numFmtId="0" fontId="3" fillId="0" borderId="95" xfId="1" applyFont="1" applyFill="1" applyBorder="1" applyAlignment="1" applyProtection="1">
      <alignment horizontal="center" vertical="center" wrapText="1"/>
      <protection locked="0"/>
    </xf>
    <xf numFmtId="0" fontId="3" fillId="0" borderId="101" xfId="1" applyFont="1" applyFill="1" applyBorder="1" applyAlignment="1" applyProtection="1">
      <alignment horizontal="center" vertical="center" wrapText="1"/>
      <protection locked="0"/>
    </xf>
    <xf numFmtId="0" fontId="3" fillId="0" borderId="96" xfId="1" applyFont="1" applyFill="1" applyBorder="1" applyAlignment="1" applyProtection="1">
      <alignment horizontal="center" vertical="center" wrapText="1"/>
      <protection locked="0"/>
    </xf>
    <xf numFmtId="0" fontId="2" fillId="0" borderId="98" xfId="1" applyFill="1" applyBorder="1" applyAlignment="1" applyProtection="1">
      <alignment horizontal="center" vertical="top" wrapText="1"/>
      <protection locked="0"/>
    </xf>
    <xf numFmtId="0" fontId="2" fillId="0" borderId="100" xfId="1" applyFill="1" applyBorder="1" applyAlignment="1" applyProtection="1">
      <alignment horizontal="center" vertical="top" wrapText="1"/>
      <protection locked="0"/>
    </xf>
    <xf numFmtId="0" fontId="2" fillId="0" borderId="10" xfId="1" applyFill="1" applyBorder="1" applyAlignment="1" applyProtection="1">
      <alignment horizontal="center" vertical="top" wrapText="1"/>
      <protection locked="0"/>
    </xf>
    <xf numFmtId="0" fontId="2" fillId="0" borderId="11" xfId="1" applyFill="1" applyBorder="1" applyAlignment="1" applyProtection="1">
      <alignment horizontal="center" vertical="top" wrapText="1"/>
      <protection locked="0"/>
    </xf>
    <xf numFmtId="0" fontId="2" fillId="0" borderId="95" xfId="1" applyFill="1" applyBorder="1" applyAlignment="1" applyProtection="1">
      <alignment horizontal="center" vertical="top" wrapText="1"/>
      <protection locked="0"/>
    </xf>
    <xf numFmtId="0" fontId="2" fillId="0" borderId="96" xfId="1" applyFill="1" applyBorder="1" applyAlignment="1" applyProtection="1">
      <alignment horizontal="center" vertical="top" wrapText="1"/>
      <protection locked="0"/>
    </xf>
    <xf numFmtId="0" fontId="0" fillId="0" borderId="0" xfId="0" applyAlignment="1">
      <alignment horizontal="center"/>
    </xf>
  </cellXfs>
  <cellStyles count="4">
    <cellStyle name="Entrée" xfId="2" builtinId="20"/>
    <cellStyle name="Lien hypertexte" xfId="1" builtinId="8"/>
    <cellStyle name="Normal" xfId="0" builtinId="0" customBuiltin="1"/>
    <cellStyle name="Normal 2" xfId="3"/>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color rgb="FFA8E2D4"/>
      <color rgb="FF89D7C4"/>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2.0799999237060547</c:v>
              </c:pt>
              <c:pt idx="1">
                <c:v>3.25</c:v>
              </c:pt>
              <c:pt idx="2">
                <c:v>0.5</c:v>
              </c:pt>
              <c:pt idx="3">
                <c:v>0.57999998331069946</c:v>
              </c:pt>
              <c:pt idx="4">
                <c:v>2</c:v>
              </c:pt>
              <c:pt idx="5">
                <c:v>3.8299999237060547</c:v>
              </c:pt>
              <c:pt idx="6">
                <c:v>2.0799999237060547</c:v>
              </c:pt>
              <c:pt idx="7">
                <c:v>1.25</c:v>
              </c:pt>
              <c:pt idx="8">
                <c:v>4.25</c:v>
              </c:pt>
              <c:pt idx="9">
                <c:v>1.4199999570846558</c:v>
              </c:pt>
              <c:pt idx="10">
                <c:v>8.6700000762939453</c:v>
              </c:pt>
              <c:pt idx="11">
                <c:v>1.5800000429153442</c:v>
              </c:pt>
              <c:pt idx="12">
                <c:v>9.6700000762939453</c:v>
              </c:pt>
              <c:pt idx="13">
                <c:v>3.75</c:v>
              </c:pt>
              <c:pt idx="14">
                <c:v>0</c:v>
              </c:pt>
              <c:pt idx="15">
                <c:v>0</c:v>
              </c:pt>
              <c:pt idx="16">
                <c:v>0.5</c:v>
              </c:pt>
              <c:pt idx="17">
                <c:v>1.4199999570846558</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watch?v=oNKVVBN2JN0&amp;ab_channel=CodeWithChris" TargetMode="External"/><Relationship Id="rId2" Type="http://schemas.openxmlformats.org/officeDocument/2006/relationships/hyperlink" Target="https://www.youtube.com/watch?v=tpsffoRh9u0&amp;ab_channel=iOSAcademy" TargetMode="External"/><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134</xdr:row>
      <xdr:rowOff>257176</xdr:rowOff>
    </xdr:from>
    <xdr:to>
      <xdr:col>3</xdr:col>
      <xdr:colOff>6057900</xdr:colOff>
      <xdr:row>134</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135</xdr:row>
      <xdr:rowOff>257176</xdr:rowOff>
    </xdr:from>
    <xdr:to>
      <xdr:col>3</xdr:col>
      <xdr:colOff>6057900</xdr:colOff>
      <xdr:row>135</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125</xdr:row>
      <xdr:rowOff>257175</xdr:rowOff>
    </xdr:from>
    <xdr:to>
      <xdr:col>3</xdr:col>
      <xdr:colOff>6038850</xdr:colOff>
      <xdr:row>125</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3371849</xdr:colOff>
      <xdr:row>116</xdr:row>
      <xdr:rowOff>409575</xdr:rowOff>
    </xdr:from>
    <xdr:to>
      <xdr:col>3</xdr:col>
      <xdr:colOff>6010274</xdr:colOff>
      <xdr:row>116</xdr:row>
      <xdr:rowOff>657225</xdr:rowOff>
    </xdr:to>
    <xdr:sp macro="" textlink="">
      <xdr:nvSpPr>
        <xdr:cNvPr id="14" name="ZoneTexte 13">
          <a:hlinkClick xmlns:r="http://schemas.openxmlformats.org/officeDocument/2006/relationships" r:id="rId2"/>
        </xdr:cNvPr>
        <xdr:cNvSpPr txBox="1"/>
      </xdr:nvSpPr>
      <xdr:spPr>
        <a:xfrm>
          <a:off x="6410324" y="2847975"/>
          <a:ext cx="263842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u="sng">
              <a:solidFill>
                <a:srgbClr val="002060"/>
              </a:solidFill>
            </a:rPr>
            <a:t>Tutoriel FireBase </a:t>
          </a:r>
          <a:r>
            <a:rPr lang="fr-CH" sz="1000" u="sng" baseline="0">
              <a:solidFill>
                <a:srgbClr val="002060"/>
              </a:solidFill>
            </a:rPr>
            <a:t>- Lecture, écriture etc..</a:t>
          </a:r>
          <a:endParaRPr lang="fr-CH" sz="1000" u="sng">
            <a:solidFill>
              <a:srgbClr val="002060"/>
            </a:solidFill>
          </a:endParaRPr>
        </a:p>
      </xdr:txBody>
    </xdr:sp>
    <xdr:clientData/>
  </xdr:twoCellAnchor>
  <xdr:twoCellAnchor>
    <xdr:from>
      <xdr:col>3</xdr:col>
      <xdr:colOff>3276600</xdr:colOff>
      <xdr:row>105</xdr:row>
      <xdr:rowOff>171450</xdr:rowOff>
    </xdr:from>
    <xdr:to>
      <xdr:col>3</xdr:col>
      <xdr:colOff>6048375</xdr:colOff>
      <xdr:row>106</xdr:row>
      <xdr:rowOff>0</xdr:rowOff>
    </xdr:to>
    <xdr:sp macro="" textlink="">
      <xdr:nvSpPr>
        <xdr:cNvPr id="9229" name="Text Box 13">
          <a:hlinkClick xmlns:r="http://schemas.openxmlformats.org/officeDocument/2006/relationships" r:id="rId3"/>
        </xdr:cNvPr>
        <xdr:cNvSpPr txBox="1">
          <a:spLocks noChangeArrowheads="1"/>
        </xdr:cNvSpPr>
      </xdr:nvSpPr>
      <xdr:spPr bwMode="auto">
        <a:xfrm>
          <a:off x="6315075" y="2590800"/>
          <a:ext cx="2771775" cy="17145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fr-CH" sz="1000" b="0" i="0" u="sng" strike="noStrike" baseline="0">
              <a:solidFill>
                <a:srgbClr val="002060"/>
              </a:solidFill>
              <a:latin typeface="Century Gothic"/>
            </a:rPr>
            <a:t>Tutoriel CocoaPods - Installation pour Xcode</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lucidchart.com/" TargetMode="External"/><Relationship Id="rId13" Type="http://schemas.openxmlformats.org/officeDocument/2006/relationships/hyperlink" Target="https://www.youtube.com/watch?v=cTM8kX9jOLs&amp;ab_channel=LetCreateAnApp" TargetMode="External"/><Relationship Id="rId18" Type="http://schemas.openxmlformats.org/officeDocument/2006/relationships/hyperlink" Target="https://swiftludus.org/how-to-navigate-between-view-controllers-in-ios/" TargetMode="External"/><Relationship Id="rId26" Type="http://schemas.openxmlformats.org/officeDocument/2006/relationships/hyperlink" Target="https://github.com/IdleHandsApps/DesignableButton" TargetMode="External"/><Relationship Id="rId39" Type="http://schemas.openxmlformats.org/officeDocument/2006/relationships/control" Target="../activeX/activeX4.xml"/><Relationship Id="rId3" Type="http://schemas.openxmlformats.org/officeDocument/2006/relationships/hyperlink" Target="https://dev.to/apentsov/ios-database-comparison-what-are-the-differences-4h1b" TargetMode="External"/><Relationship Id="rId21" Type="http://schemas.openxmlformats.org/officeDocument/2006/relationships/hyperlink" Target="https://firebase.google.com/docs/auth/ios/manage-users" TargetMode="External"/><Relationship Id="rId34" Type="http://schemas.openxmlformats.org/officeDocument/2006/relationships/hyperlink" Target="https://www.youtube.com/watch?v=TQOhsyWUhwg&amp;ab_channel=CodePro" TargetMode="External"/><Relationship Id="rId42" Type="http://schemas.openxmlformats.org/officeDocument/2006/relationships/image" Target="../media/image6.emf"/><Relationship Id="rId7" Type="http://schemas.openxmlformats.org/officeDocument/2006/relationships/hyperlink" Target="https://www.lucidchart.com/pages/" TargetMode="External"/><Relationship Id="rId12" Type="http://schemas.openxmlformats.org/officeDocument/2006/relationships/hyperlink" Target="https://firebase.google.com/docs/ios/setup" TargetMode="External"/><Relationship Id="rId17" Type="http://schemas.openxmlformats.org/officeDocument/2006/relationships/hyperlink" Target="https://swiftludus.org/how-to-navigate-between-view-controllers-in-ios/" TargetMode="External"/><Relationship Id="rId25" Type="http://schemas.openxmlformats.org/officeDocument/2006/relationships/hyperlink" Target="https://firebase.google.com/docs/auth/ios/manage-users" TargetMode="External"/><Relationship Id="rId33" Type="http://schemas.openxmlformats.org/officeDocument/2006/relationships/hyperlink" Target="https://www.youtube.com/watch?v=4RUeW5rUcww&amp;ab_channel=Firebase" TargetMode="External"/><Relationship Id="rId38" Type="http://schemas.openxmlformats.org/officeDocument/2006/relationships/vmlDrawing" Target="../drawings/vmlDrawing3.vml"/><Relationship Id="rId2" Type="http://schemas.openxmlformats.org/officeDocument/2006/relationships/hyperlink" Target="https://app.moqups.com/" TargetMode="External"/><Relationship Id="rId16" Type="http://schemas.openxmlformats.org/officeDocument/2006/relationships/hyperlink" Target="https://www.youtube.com/watch?v=tpsffoRh9u0&amp;ab_channel=iOSAcademy" TargetMode="External"/><Relationship Id="rId20" Type="http://schemas.openxmlformats.org/officeDocument/2006/relationships/hyperlink" Target="https://firebase.google.com/docs/auth/ios/start" TargetMode="External"/><Relationship Id="rId29" Type="http://schemas.openxmlformats.org/officeDocument/2006/relationships/hyperlink" Target="https://www.youtube.com/watch?v=FtO5QT2D_H8&amp;ab_channel=SeanAllenSeanAllen" TargetMode="External"/><Relationship Id="rId41" Type="http://schemas.openxmlformats.org/officeDocument/2006/relationships/control" Target="../activeX/activeX5.xm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pages/%20-%20Tableau%20des%20besoins%20de%20l'utilisateur" TargetMode="External"/><Relationship Id="rId11" Type="http://schemas.openxmlformats.org/officeDocument/2006/relationships/hyperlink" Target="https://firebase.google.com/docs/ios/setup" TargetMode="External"/><Relationship Id="rId24" Type="http://schemas.openxmlformats.org/officeDocument/2006/relationships/hyperlink" Target="https://developer.apple.com/library/archive/documentation/UserExperience/Conceptual/AutolayoutPG/WorkingwithConstraintsinInterfaceBuidler.html" TargetMode="External"/><Relationship Id="rId32" Type="http://schemas.openxmlformats.org/officeDocument/2006/relationships/hyperlink" Target="https://firebase.google.com/docs/database/ios/lists-of-data" TargetMode="External"/><Relationship Id="rId37" Type="http://schemas.openxmlformats.org/officeDocument/2006/relationships/drawing" Target="../drawings/drawing4.xml"/><Relationship Id="rId40" Type="http://schemas.openxmlformats.org/officeDocument/2006/relationships/image" Target="../media/image5.emf"/><Relationship Id="rId5" Type="http://schemas.openxmlformats.org/officeDocument/2006/relationships/hyperlink" Target="https://lucid.app/%20-%20R&#233;alisation%20du%20MCD" TargetMode="External"/><Relationship Id="rId15" Type="http://schemas.openxmlformats.org/officeDocument/2006/relationships/hyperlink" Target="https://www.youtube.com/watch?v=tpsffoRh9u0&amp;ab_channel=iOSAcademy" TargetMode="External"/><Relationship Id="rId23" Type="http://schemas.openxmlformats.org/officeDocument/2006/relationships/hyperlink" Target="https://firebase.google.com/docs/ios/setup" TargetMode="External"/><Relationship Id="rId28" Type="http://schemas.openxmlformats.org/officeDocument/2006/relationships/hyperlink" Target="https://www.youtube.com/watch?v=WK5vrOD1zCQ&amp;ab_channel=iOSAcademyiOSAcademy" TargetMode="External"/><Relationship Id="rId36" Type="http://schemas.openxmlformats.org/officeDocument/2006/relationships/printerSettings" Target="../printerSettings/printerSettings4.bin"/><Relationship Id="rId10" Type="http://schemas.openxmlformats.org/officeDocument/2006/relationships/hyperlink" Target="https://www.lucidchart.com/" TargetMode="External"/><Relationship Id="rId19" Type="http://schemas.openxmlformats.org/officeDocument/2006/relationships/hyperlink" Target="https://firebase.google.com/docs/auth/ios/start" TargetMode="External"/><Relationship Id="rId31" Type="http://schemas.openxmlformats.org/officeDocument/2006/relationships/hyperlink" Target="https://stackoverflow.com/questions/66279978/swift-how-to-save-data-to-firebase-from-multiply-selected-cells-in-tableview" TargetMode="External"/><Relationship Id="rId4" Type="http://schemas.openxmlformats.org/officeDocument/2006/relationships/hyperlink" Target="https://app.moqups.com/" TargetMode="External"/><Relationship Id="rId9" Type="http://schemas.openxmlformats.org/officeDocument/2006/relationships/hyperlink" Target="https://lucid.app/%20-%20R&#233;alisation%20du%20MCD" TargetMode="External"/><Relationship Id="rId14" Type="http://schemas.openxmlformats.org/officeDocument/2006/relationships/hyperlink" Target="https://www.youtube.com/watch?v=cTM8kX9jOLs&amp;ab_channel=LetCreateAnApp" TargetMode="External"/><Relationship Id="rId22" Type="http://schemas.openxmlformats.org/officeDocument/2006/relationships/hyperlink" Target="https://medium.com/firebase-developers/ios-firebase-authentication-sdk-email-and-password-login-6a3bb27e0536" TargetMode="External"/><Relationship Id="rId27" Type="http://schemas.openxmlformats.org/officeDocument/2006/relationships/hyperlink" Target="https://www.youtube.com/watch?v=OQYqGM5_wVY&amp;ab_channel=iOSAcademy" TargetMode="External"/><Relationship Id="rId30" Type="http://schemas.openxmlformats.org/officeDocument/2006/relationships/hyperlink" Target="https://www.youtube.com/watch?v=C36sb5sc6lE&amp;ab_channel=SeanAllenSeanAllen" TargetMode="External"/><Relationship Id="rId35" Type="http://schemas.openxmlformats.org/officeDocument/2006/relationships/hyperlink" Target="https://github.com/IdleHandsApps/DesignableButton"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31" t="s">
        <v>32</v>
      </c>
      <c r="C35" s="231"/>
      <c r="D35" s="231"/>
      <c r="E35" s="106" t="s">
        <v>162</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32" t="s">
        <v>33</v>
      </c>
      <c r="C37" s="232"/>
      <c r="D37" s="232"/>
      <c r="E37" s="108" t="s">
        <v>250</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92" t="s">
        <v>251</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0" zoomScale="55" zoomScaleNormal="55" zoomScaleSheetLayoutView="43" workbookViewId="0">
      <selection activeCell="F56" sqref="F56:BSS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3" t="s">
        <v>31</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40" t="str">
        <f>E58</f>
        <v>89h50min</v>
      </c>
      <c r="H9" s="240"/>
      <c r="I9" s="240"/>
      <c r="J9" s="240"/>
      <c r="K9" s="240"/>
      <c r="L9" s="240"/>
      <c r="M9" s="240"/>
      <c r="N9" s="240"/>
      <c r="O9" s="240"/>
      <c r="P9" s="240"/>
      <c r="Q9" s="240"/>
      <c r="R9" s="240"/>
      <c r="S9" s="240"/>
      <c r="T9" s="240"/>
      <c r="U9" s="240"/>
      <c r="V9" s="118"/>
      <c r="W9" s="239" t="s">
        <v>23</v>
      </c>
      <c r="X9" s="239"/>
      <c r="Y9" s="239"/>
      <c r="Z9" s="239"/>
      <c r="AA9" s="239"/>
      <c r="AB9" s="239"/>
      <c r="AC9" s="239"/>
      <c r="AD9" s="239"/>
      <c r="AE9" s="239"/>
      <c r="AF9" s="239"/>
      <c r="AG9" s="239"/>
      <c r="AH9" s="240" t="str">
        <f>E60</f>
        <v>54h10min</v>
      </c>
      <c r="AI9" s="240"/>
      <c r="AJ9" s="240"/>
      <c r="AK9" s="240"/>
      <c r="AL9" s="240"/>
      <c r="AM9" s="240"/>
      <c r="AN9" s="240"/>
      <c r="AO9" s="240"/>
      <c r="AP9" s="240"/>
      <c r="AQ9" s="240"/>
      <c r="AR9" s="240"/>
      <c r="AS9" s="240"/>
      <c r="AT9" s="240"/>
      <c r="AU9" s="240"/>
      <c r="AV9" s="240"/>
      <c r="AW9" s="240"/>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2"/>
      <c r="BO10" s="252"/>
      <c r="BP10" s="252"/>
      <c r="BQ10" s="252"/>
      <c r="BR10" s="252"/>
      <c r="BS10" s="252"/>
      <c r="BT10" s="252"/>
      <c r="BU10" s="252"/>
      <c r="BV10" s="252"/>
      <c r="BW10" s="252"/>
      <c r="BX10" s="252"/>
      <c r="BY10" s="252"/>
      <c r="BZ10" s="252"/>
      <c r="CA10" s="252"/>
      <c r="CB10" s="252"/>
      <c r="CC10" s="252"/>
      <c r="CD10" s="252"/>
      <c r="CE10" s="252"/>
      <c r="CF10" s="252"/>
      <c r="CG10" s="252"/>
      <c r="CH10" s="252"/>
      <c r="CI10" s="252"/>
      <c r="CJ10" s="252"/>
      <c r="CK10" s="252"/>
      <c r="CL10" s="252"/>
      <c r="CM10" s="252"/>
      <c r="CN10" s="252"/>
      <c r="CO10" s="252"/>
      <c r="CP10" s="252"/>
      <c r="CQ10" s="92"/>
      <c r="CR10" s="249"/>
      <c r="CS10" s="249"/>
      <c r="CT10" s="249"/>
      <c r="CU10" s="249"/>
      <c r="CV10" s="249"/>
      <c r="CW10" s="249"/>
      <c r="CX10" s="249"/>
      <c r="CY10" s="249"/>
      <c r="CZ10" s="249"/>
      <c r="DA10" s="249"/>
      <c r="DB10" s="249"/>
      <c r="DC10" s="249"/>
      <c r="DD10" s="249"/>
      <c r="DE10" s="249"/>
      <c r="DF10" s="249"/>
      <c r="DG10" s="249"/>
      <c r="DH10" s="249"/>
      <c r="DI10" s="249"/>
      <c r="DJ10" s="249"/>
      <c r="DK10" s="249"/>
      <c r="DL10" s="249"/>
      <c r="DM10" s="249"/>
      <c r="DN10" s="249"/>
      <c r="DO10" s="249"/>
      <c r="DP10" s="249"/>
      <c r="DQ10" s="249"/>
      <c r="DR10" s="249"/>
      <c r="DS10" s="249"/>
      <c r="DT10" s="249"/>
      <c r="DU10" s="249"/>
      <c r="DV10" s="249"/>
      <c r="DW10" s="249"/>
      <c r="DX10" s="249"/>
      <c r="DY10" s="249"/>
      <c r="DZ10" s="249"/>
      <c r="EA10" s="249"/>
      <c r="EB10" s="249"/>
      <c r="EC10" s="249"/>
      <c r="ED10" s="249"/>
      <c r="EE10" s="249"/>
      <c r="EF10" s="249"/>
      <c r="EG10" s="249"/>
      <c r="EH10" s="249"/>
      <c r="EI10" s="249"/>
      <c r="EJ10" s="249"/>
      <c r="EK10" s="249"/>
      <c r="EL10" s="249"/>
      <c r="EM10" s="249"/>
      <c r="EN10" s="249"/>
      <c r="EO10" s="249"/>
      <c r="EP10" s="249"/>
      <c r="EQ10" s="249"/>
      <c r="ER10" s="249"/>
      <c r="ES10" s="249"/>
      <c r="ET10" s="249"/>
      <c r="EU10" s="249"/>
      <c r="EV10" s="249"/>
      <c r="EW10" s="249"/>
      <c r="EX10" s="249"/>
      <c r="EY10" s="249"/>
      <c r="EZ10" s="249"/>
      <c r="FA10" s="249"/>
      <c r="FB10" s="249"/>
      <c r="FC10" s="249"/>
      <c r="FD10" s="249"/>
      <c r="FE10" s="249"/>
      <c r="FF10" s="249"/>
      <c r="FG10" s="249"/>
      <c r="FH10" s="249"/>
      <c r="FI10" s="249"/>
      <c r="FJ10" s="249"/>
      <c r="FK10" s="249"/>
      <c r="FL10" s="249"/>
      <c r="FM10" s="249"/>
      <c r="FN10" s="249"/>
      <c r="FO10" s="249"/>
      <c r="FP10" s="249"/>
      <c r="FQ10" s="249"/>
      <c r="FR10" s="249"/>
      <c r="FS10" s="249"/>
      <c r="FT10" s="249"/>
      <c r="FU10" s="249"/>
      <c r="FV10" s="249"/>
      <c r="FW10" s="249"/>
      <c r="FX10" s="249"/>
      <c r="FY10" s="249"/>
      <c r="FZ10" s="249"/>
      <c r="GA10" s="249"/>
      <c r="GB10" s="249"/>
      <c r="GC10" s="249"/>
      <c r="GD10" s="249"/>
      <c r="GE10" s="249"/>
      <c r="GF10" s="249"/>
      <c r="GG10" s="249"/>
      <c r="GH10" s="249"/>
      <c r="GI10" s="249"/>
      <c r="GJ10" s="249"/>
      <c r="GK10" s="249"/>
      <c r="GL10" s="249"/>
      <c r="GM10" s="249"/>
      <c r="GN10" s="249"/>
      <c r="GO10" s="249"/>
      <c r="GP10" s="249"/>
      <c r="GQ10" s="249"/>
      <c r="GR10" s="249"/>
      <c r="GS10" s="249"/>
      <c r="GT10" s="249"/>
      <c r="GU10" s="249"/>
      <c r="GV10" s="249"/>
      <c r="GW10" s="249"/>
      <c r="GX10" s="249"/>
      <c r="GY10" s="249"/>
      <c r="GZ10" s="249"/>
      <c r="HA10" s="249"/>
      <c r="HB10" s="249"/>
      <c r="HC10" s="249"/>
      <c r="HD10" s="249"/>
      <c r="HE10" s="249"/>
      <c r="HF10" s="249"/>
      <c r="HG10" s="249"/>
      <c r="HH10" s="249"/>
      <c r="HI10" s="249"/>
      <c r="HJ10" s="249"/>
      <c r="HK10" s="249"/>
      <c r="HL10" s="249"/>
      <c r="HM10" s="249"/>
      <c r="HN10" s="249"/>
      <c r="HO10" s="249"/>
      <c r="HP10" s="249"/>
      <c r="HQ10" s="249"/>
      <c r="HR10" s="249"/>
      <c r="HS10" s="249"/>
      <c r="HT10" s="249"/>
      <c r="HU10" s="249"/>
      <c r="HV10" s="249"/>
      <c r="HW10" s="249"/>
      <c r="HX10" s="249"/>
      <c r="HY10" s="249"/>
      <c r="HZ10" s="249"/>
      <c r="IA10" s="249"/>
      <c r="IB10" s="249"/>
      <c r="IC10" s="249"/>
      <c r="ID10" s="249"/>
      <c r="IE10" s="249"/>
      <c r="IF10" s="249"/>
      <c r="IG10" s="249"/>
      <c r="IH10" s="249"/>
      <c r="II10" s="249"/>
      <c r="IJ10" s="249"/>
      <c r="IK10" s="249"/>
      <c r="IL10" s="249"/>
      <c r="IM10" s="249"/>
      <c r="IN10" s="249"/>
      <c r="IO10" s="249"/>
      <c r="IP10" s="249"/>
      <c r="IQ10" s="249"/>
      <c r="IR10" s="249"/>
      <c r="IS10" s="249"/>
      <c r="IT10" s="249"/>
      <c r="IU10" s="249"/>
      <c r="IV10" s="249"/>
      <c r="IW10" s="249"/>
      <c r="IX10" s="249"/>
      <c r="IY10" s="249"/>
      <c r="IZ10" s="249"/>
      <c r="JA10" s="249"/>
      <c r="JB10" s="249"/>
      <c r="JC10" s="249"/>
      <c r="JD10" s="249"/>
      <c r="JE10" s="249"/>
      <c r="JF10" s="249"/>
      <c r="JG10" s="249"/>
      <c r="JH10" s="249"/>
      <c r="JI10" s="249"/>
      <c r="JJ10" s="249"/>
      <c r="JK10" s="249"/>
      <c r="JL10" s="249"/>
      <c r="JM10" s="249"/>
      <c r="JN10" s="249"/>
      <c r="JO10" s="249"/>
      <c r="JP10" s="249"/>
      <c r="JQ10" s="249"/>
      <c r="JR10" s="249"/>
      <c r="JS10" s="249"/>
      <c r="JT10" s="249"/>
      <c r="JU10" s="249"/>
      <c r="JV10" s="249"/>
      <c r="JW10" s="249"/>
      <c r="JX10" s="249"/>
      <c r="JY10" s="249"/>
      <c r="JZ10" s="249"/>
      <c r="KA10" s="249"/>
      <c r="KB10" s="249"/>
      <c r="KC10" s="249"/>
      <c r="KD10" s="249"/>
      <c r="KE10" s="249"/>
      <c r="KF10" s="249"/>
      <c r="KG10" s="249"/>
      <c r="KH10" s="249"/>
      <c r="KI10" s="249"/>
      <c r="KJ10" s="249"/>
      <c r="KK10" s="249"/>
      <c r="KL10" s="249"/>
      <c r="KM10" s="249"/>
      <c r="KN10" s="249"/>
      <c r="KO10" s="249"/>
      <c r="KP10" s="249"/>
      <c r="KQ10" s="249"/>
      <c r="KR10" s="249"/>
      <c r="KS10" s="249"/>
      <c r="KT10" s="249"/>
      <c r="KU10" s="249"/>
      <c r="KV10" s="249"/>
      <c r="KW10" s="249"/>
      <c r="KX10" s="249"/>
      <c r="KY10" s="249"/>
      <c r="KZ10" s="249"/>
      <c r="LA10" s="249"/>
      <c r="LB10" s="249"/>
      <c r="LC10" s="249"/>
      <c r="LD10" s="249"/>
      <c r="LE10" s="249"/>
      <c r="LF10" s="249"/>
      <c r="LG10" s="249"/>
      <c r="LH10" s="249"/>
      <c r="LI10" s="249"/>
      <c r="LJ10" s="249"/>
      <c r="LK10" s="249"/>
      <c r="LL10" s="249"/>
      <c r="LM10" s="249"/>
      <c r="LN10" s="249"/>
      <c r="LO10" s="249"/>
      <c r="LP10" s="249"/>
      <c r="LQ10" s="249"/>
      <c r="LR10" s="249"/>
      <c r="LS10" s="249"/>
      <c r="LT10" s="249"/>
      <c r="LU10" s="249"/>
      <c r="LV10" s="249"/>
      <c r="LW10" s="249"/>
      <c r="LX10" s="249"/>
      <c r="LY10" s="249"/>
      <c r="LZ10" s="249"/>
      <c r="MA10" s="249"/>
      <c r="MB10" s="249"/>
      <c r="MC10" s="249"/>
      <c r="MD10" s="249"/>
      <c r="ME10" s="249"/>
      <c r="MF10" s="249"/>
      <c r="MG10" s="249"/>
      <c r="MH10" s="249"/>
      <c r="MI10" s="249"/>
      <c r="MJ10" s="249"/>
      <c r="MK10" s="249"/>
      <c r="ML10" s="249"/>
      <c r="MM10" s="249"/>
      <c r="MN10" s="249"/>
      <c r="MO10" s="249"/>
      <c r="MP10" s="249"/>
      <c r="MQ10" s="249"/>
      <c r="MR10" s="249"/>
      <c r="MS10" s="249"/>
      <c r="MT10" s="249"/>
      <c r="MU10" s="249"/>
      <c r="MV10" s="249"/>
      <c r="MW10" s="249"/>
      <c r="MX10" s="249"/>
      <c r="MY10" s="249"/>
      <c r="MZ10" s="249"/>
      <c r="NA10" s="249"/>
      <c r="NB10" s="249"/>
      <c r="NC10" s="249"/>
      <c r="ND10" s="249"/>
      <c r="NE10" s="249"/>
      <c r="NF10" s="249"/>
      <c r="NG10" s="249"/>
      <c r="NH10" s="249"/>
      <c r="NI10" s="249"/>
      <c r="NJ10" s="249"/>
      <c r="NK10" s="249"/>
      <c r="NL10" s="249"/>
      <c r="NM10" s="249"/>
      <c r="NN10" s="249"/>
      <c r="NO10" s="249"/>
      <c r="NP10" s="249"/>
      <c r="NQ10" s="249"/>
      <c r="NR10" s="249"/>
      <c r="NS10" s="249"/>
      <c r="NT10" s="249"/>
      <c r="NU10" s="249"/>
      <c r="NV10" s="249"/>
      <c r="NW10" s="249"/>
      <c r="NX10" s="249"/>
      <c r="NY10" s="249"/>
      <c r="NZ10" s="249"/>
      <c r="OA10" s="249"/>
      <c r="OB10" s="249"/>
      <c r="OC10" s="249"/>
      <c r="OD10" s="249"/>
      <c r="OE10" s="249"/>
      <c r="OF10" s="249"/>
      <c r="OG10" s="249"/>
      <c r="OH10" s="249"/>
      <c r="OI10" s="249"/>
      <c r="OJ10" s="249"/>
      <c r="OK10" s="249"/>
      <c r="OL10" s="249"/>
      <c r="OM10" s="249"/>
      <c r="ON10" s="249"/>
      <c r="OO10" s="249"/>
      <c r="OP10" s="249"/>
      <c r="OQ10" s="249"/>
      <c r="OR10" s="249"/>
      <c r="OS10" s="249"/>
      <c r="OT10" s="249"/>
      <c r="OU10" s="249"/>
      <c r="OV10" s="249"/>
      <c r="OW10" s="249"/>
      <c r="OX10" s="249"/>
      <c r="OY10" s="249"/>
      <c r="OZ10" s="249"/>
      <c r="PA10" s="249"/>
      <c r="PB10" s="249"/>
      <c r="PC10" s="249"/>
      <c r="PD10" s="249"/>
      <c r="PE10" s="249"/>
      <c r="PF10" s="249"/>
      <c r="PG10" s="249"/>
      <c r="PH10" s="249"/>
      <c r="PI10" s="249"/>
      <c r="PJ10" s="249"/>
      <c r="PK10" s="249"/>
      <c r="PL10" s="249"/>
      <c r="PM10" s="249"/>
      <c r="PN10" s="249"/>
      <c r="PO10" s="249"/>
      <c r="PP10" s="249"/>
      <c r="PQ10" s="249"/>
      <c r="PR10" s="249"/>
      <c r="PS10" s="249"/>
      <c r="PT10" s="249"/>
      <c r="PU10" s="249"/>
      <c r="PV10" s="249"/>
      <c r="PW10" s="249"/>
      <c r="PX10" s="249"/>
      <c r="PY10" s="249"/>
      <c r="PZ10" s="249"/>
      <c r="QA10" s="249"/>
      <c r="QB10" s="249"/>
      <c r="QC10" s="249"/>
      <c r="QD10" s="249"/>
      <c r="QE10" s="249"/>
      <c r="QF10" s="249"/>
      <c r="QG10" s="249"/>
      <c r="QH10" s="249"/>
      <c r="QI10" s="249"/>
      <c r="QJ10" s="249"/>
      <c r="QK10" s="249"/>
      <c r="QL10" s="249"/>
      <c r="QM10" s="249"/>
      <c r="QN10" s="249"/>
      <c r="QO10" s="249"/>
      <c r="QP10" s="249"/>
      <c r="QQ10" s="249"/>
      <c r="QR10" s="249"/>
      <c r="QS10" s="249"/>
      <c r="QT10" s="249"/>
      <c r="QU10" s="249"/>
      <c r="QV10" s="249"/>
      <c r="QW10" s="249"/>
      <c r="QX10" s="249"/>
      <c r="QY10" s="249"/>
      <c r="QZ10" s="249"/>
      <c r="RA10" s="249"/>
      <c r="RB10" s="249"/>
      <c r="RC10" s="249"/>
      <c r="RD10" s="249"/>
      <c r="RE10" s="249"/>
      <c r="RF10" s="249"/>
      <c r="RG10" s="249"/>
      <c r="RH10" s="249"/>
      <c r="RI10" s="249"/>
      <c r="RJ10" s="249"/>
      <c r="RK10" s="249"/>
      <c r="RL10" s="249"/>
      <c r="RM10" s="249"/>
      <c r="RN10" s="249"/>
      <c r="RO10" s="249"/>
      <c r="RP10" s="249"/>
      <c r="RQ10" s="249"/>
      <c r="RR10" s="249"/>
      <c r="RS10" s="249"/>
      <c r="RT10" s="249"/>
      <c r="RU10" s="249"/>
      <c r="RV10" s="249"/>
      <c r="RW10" s="249"/>
      <c r="RX10" s="249"/>
      <c r="RY10" s="249"/>
      <c r="RZ10" s="249"/>
      <c r="SA10" s="249"/>
      <c r="SB10" s="249"/>
      <c r="SC10" s="249"/>
      <c r="SD10" s="249"/>
      <c r="SE10" s="249"/>
      <c r="SF10" s="249"/>
      <c r="SG10" s="249"/>
      <c r="SH10" s="249"/>
      <c r="SI10" s="249"/>
      <c r="SJ10" s="249"/>
      <c r="SK10" s="249"/>
      <c r="SL10" s="249"/>
      <c r="SM10" s="249"/>
      <c r="SN10" s="249"/>
      <c r="SO10" s="249"/>
      <c r="SP10" s="249"/>
      <c r="SQ10" s="249"/>
      <c r="SR10" s="249"/>
      <c r="SS10" s="249"/>
      <c r="ST10" s="249"/>
      <c r="SU10" s="249"/>
      <c r="SV10" s="249"/>
      <c r="SW10" s="249"/>
      <c r="SX10" s="249"/>
      <c r="SY10" s="249"/>
      <c r="SZ10" s="249"/>
      <c r="TA10" s="249"/>
      <c r="TB10" s="249"/>
      <c r="TC10" s="249"/>
      <c r="TD10" s="249"/>
      <c r="TE10" s="249"/>
      <c r="TF10" s="249"/>
      <c r="TG10" s="249"/>
      <c r="TH10" s="249"/>
      <c r="TI10" s="249"/>
      <c r="TJ10" s="249"/>
      <c r="TK10" s="249"/>
      <c r="TL10" s="249"/>
      <c r="TM10" s="249"/>
      <c r="TN10" s="249"/>
      <c r="TO10" s="249"/>
      <c r="TP10" s="249"/>
      <c r="TQ10" s="249"/>
      <c r="TR10" s="249"/>
      <c r="TS10" s="249"/>
      <c r="TT10" s="249"/>
      <c r="TU10" s="249"/>
      <c r="TV10" s="249"/>
      <c r="TW10" s="249"/>
      <c r="TX10" s="249"/>
      <c r="TY10" s="249"/>
      <c r="TZ10" s="249"/>
      <c r="UA10" s="249"/>
      <c r="UB10" s="249"/>
      <c r="UC10" s="249"/>
      <c r="UD10" s="249"/>
      <c r="UE10" s="249"/>
      <c r="UF10" s="249"/>
      <c r="UG10" s="249"/>
      <c r="UH10" s="249"/>
      <c r="UI10" s="249"/>
      <c r="UJ10" s="249"/>
      <c r="UK10" s="249"/>
      <c r="UL10" s="249"/>
      <c r="UM10" s="249"/>
      <c r="UN10" s="249"/>
      <c r="UO10" s="249"/>
      <c r="UP10" s="249"/>
      <c r="UQ10" s="249"/>
      <c r="UR10" s="249"/>
      <c r="US10" s="249"/>
      <c r="UT10" s="249"/>
      <c r="UU10" s="249"/>
      <c r="UV10" s="249"/>
      <c r="UW10" s="249"/>
      <c r="UX10" s="249"/>
      <c r="UY10" s="249"/>
      <c r="UZ10" s="249"/>
      <c r="VA10" s="249"/>
      <c r="VB10" s="249"/>
      <c r="VC10" s="249"/>
      <c r="VD10" s="249"/>
      <c r="VE10" s="249"/>
      <c r="VF10" s="249"/>
      <c r="VG10" s="249"/>
      <c r="VH10" s="249"/>
      <c r="VI10" s="249"/>
      <c r="VJ10" s="249"/>
      <c r="VK10" s="249"/>
      <c r="VL10" s="249"/>
      <c r="VM10" s="249"/>
      <c r="VN10" s="249"/>
      <c r="VO10" s="249"/>
      <c r="VP10" s="249"/>
      <c r="VQ10" s="249"/>
      <c r="VR10" s="249"/>
      <c r="VS10" s="249"/>
      <c r="VT10" s="249"/>
      <c r="VU10" s="249"/>
      <c r="VV10" s="249"/>
      <c r="VW10" s="249"/>
      <c r="VX10" s="249"/>
      <c r="VY10" s="249"/>
      <c r="VZ10" s="249"/>
      <c r="WA10" s="249"/>
      <c r="WB10" s="249"/>
      <c r="WC10" s="249"/>
      <c r="WD10" s="249"/>
      <c r="WE10" s="249"/>
      <c r="WF10" s="249"/>
      <c r="WG10" s="249"/>
      <c r="WH10" s="249"/>
      <c r="WI10" s="249"/>
      <c r="WJ10" s="249"/>
      <c r="WK10" s="249"/>
      <c r="WL10" s="249"/>
      <c r="WM10" s="249"/>
      <c r="WN10" s="249"/>
      <c r="WO10" s="249"/>
      <c r="WP10" s="249"/>
      <c r="WQ10" s="249"/>
      <c r="WR10" s="249"/>
      <c r="WS10" s="249"/>
      <c r="WT10" s="249"/>
      <c r="WU10" s="249"/>
      <c r="WV10" s="249"/>
      <c r="WW10" s="249"/>
      <c r="WX10" s="249"/>
      <c r="WY10" s="249"/>
      <c r="WZ10" s="249"/>
      <c r="XA10" s="249"/>
      <c r="XB10" s="249"/>
      <c r="XC10" s="249"/>
      <c r="XD10" s="249"/>
      <c r="XE10" s="249"/>
      <c r="XF10" s="249"/>
      <c r="XG10" s="249"/>
      <c r="XH10" s="249"/>
      <c r="XI10" s="249"/>
      <c r="XJ10" s="249"/>
      <c r="XK10" s="249"/>
      <c r="XL10" s="249"/>
      <c r="XM10" s="249"/>
      <c r="XN10" s="249"/>
      <c r="XO10" s="249"/>
      <c r="XP10" s="249"/>
      <c r="XQ10" s="249"/>
      <c r="XR10" s="249"/>
      <c r="XS10" s="249"/>
      <c r="XT10" s="249"/>
      <c r="XU10" s="249"/>
      <c r="XV10" s="249"/>
      <c r="XW10" s="249"/>
      <c r="XX10" s="249"/>
      <c r="XY10" s="249"/>
      <c r="XZ10" s="249"/>
      <c r="YA10" s="249"/>
      <c r="YB10" s="249"/>
      <c r="YC10" s="249"/>
      <c r="YD10" s="249"/>
      <c r="YE10" s="249"/>
      <c r="YF10" s="249"/>
      <c r="YG10" s="249"/>
      <c r="YH10" s="249"/>
      <c r="YI10" s="249"/>
      <c r="YJ10" s="249"/>
      <c r="YK10" s="249"/>
      <c r="YL10" s="249"/>
      <c r="YM10" s="249"/>
      <c r="YN10" s="249"/>
      <c r="YO10" s="249"/>
      <c r="YP10" s="249"/>
      <c r="YQ10" s="249"/>
      <c r="YR10" s="249"/>
      <c r="YS10" s="249"/>
      <c r="YT10" s="249"/>
      <c r="YU10" s="249"/>
      <c r="YV10" s="249"/>
      <c r="YW10" s="249"/>
      <c r="YX10" s="249"/>
      <c r="YY10" s="249"/>
      <c r="YZ10" s="249"/>
      <c r="ZA10" s="249"/>
      <c r="ZB10" s="249"/>
      <c r="ZC10" s="249"/>
      <c r="ZD10" s="249"/>
      <c r="ZE10" s="249"/>
      <c r="ZF10" s="249"/>
      <c r="ZG10" s="249"/>
      <c r="ZH10" s="249"/>
      <c r="ZI10" s="249"/>
      <c r="ZJ10" s="249"/>
      <c r="ZK10" s="249"/>
      <c r="ZL10" s="249"/>
      <c r="ZM10" s="249"/>
      <c r="ZN10" s="249"/>
      <c r="ZO10" s="249"/>
      <c r="ZP10" s="249"/>
      <c r="ZQ10" s="249"/>
      <c r="ZR10" s="249"/>
      <c r="ZS10" s="249"/>
      <c r="ZT10" s="249"/>
      <c r="ZU10" s="249"/>
      <c r="ZV10" s="249"/>
      <c r="ZW10" s="249"/>
      <c r="ZX10" s="249"/>
      <c r="ZY10" s="249"/>
      <c r="ZZ10" s="249"/>
      <c r="AAA10" s="249"/>
      <c r="AAB10" s="249"/>
      <c r="AAC10" s="249"/>
      <c r="AAD10" s="249"/>
      <c r="AAE10" s="249"/>
      <c r="AAF10" s="249"/>
      <c r="AAG10" s="249"/>
      <c r="AAH10" s="249"/>
      <c r="AAI10" s="249"/>
      <c r="AAJ10" s="249"/>
      <c r="AAK10" s="249"/>
      <c r="AAL10" s="249"/>
      <c r="AAM10" s="249"/>
      <c r="AAN10" s="249"/>
      <c r="AAO10" s="249"/>
      <c r="AAP10" s="249"/>
      <c r="AAQ10" s="249"/>
      <c r="AAR10" s="249"/>
      <c r="AAS10" s="249"/>
      <c r="AAT10" s="249"/>
      <c r="AAU10" s="249"/>
      <c r="AAV10" s="249"/>
      <c r="AAW10" s="249"/>
      <c r="AAX10" s="249"/>
      <c r="AAY10" s="249"/>
      <c r="AAZ10" s="249"/>
      <c r="ABA10" s="249"/>
      <c r="ABB10" s="249"/>
      <c r="ABC10" s="249"/>
      <c r="ABD10" s="249"/>
      <c r="ABE10" s="249"/>
      <c r="ABF10" s="249"/>
      <c r="ABG10" s="249"/>
      <c r="ABH10" s="249"/>
      <c r="ABI10" s="249"/>
      <c r="ABJ10" s="249"/>
      <c r="ABK10" s="249"/>
      <c r="ABL10" s="249"/>
      <c r="ABM10" s="249"/>
      <c r="ABN10" s="249"/>
      <c r="ABO10" s="249"/>
      <c r="ABP10" s="249"/>
      <c r="ABQ10" s="249"/>
      <c r="ABR10" s="249"/>
      <c r="ABS10" s="249"/>
      <c r="ABT10" s="249"/>
      <c r="ABU10" s="249"/>
      <c r="ABV10" s="249"/>
      <c r="ABW10" s="249"/>
      <c r="ABX10" s="249"/>
      <c r="ABY10" s="249"/>
      <c r="ABZ10" s="249"/>
      <c r="ACA10" s="249"/>
      <c r="ACB10" s="249"/>
      <c r="ACC10" s="249"/>
      <c r="ACD10" s="249"/>
      <c r="ACE10" s="249"/>
      <c r="ACF10" s="249"/>
      <c r="ACG10" s="249"/>
      <c r="ACH10" s="249"/>
      <c r="ACI10" s="249"/>
      <c r="ACJ10" s="249"/>
      <c r="ACK10" s="249"/>
      <c r="ACL10" s="249"/>
      <c r="ACM10" s="249"/>
      <c r="ACN10" s="249"/>
      <c r="ACO10" s="249"/>
      <c r="ACP10" s="249"/>
      <c r="ACQ10" s="249"/>
      <c r="ACR10" s="249"/>
      <c r="ACS10" s="249"/>
      <c r="ACT10" s="249"/>
      <c r="ACU10" s="249"/>
      <c r="ACV10" s="249"/>
      <c r="ACW10" s="249"/>
      <c r="ACX10" s="249"/>
      <c r="ACY10" s="249"/>
      <c r="ACZ10" s="249"/>
      <c r="ADA10" s="249"/>
      <c r="ADB10" s="249"/>
      <c r="ADC10" s="249"/>
      <c r="ADD10" s="249"/>
      <c r="ADE10" s="249"/>
      <c r="ADF10" s="249"/>
      <c r="ADG10" s="249"/>
      <c r="ADH10" s="249"/>
      <c r="ADI10" s="249"/>
      <c r="ADJ10" s="249"/>
      <c r="ADK10" s="249"/>
      <c r="ADL10" s="249"/>
      <c r="ADM10" s="249"/>
      <c r="ADN10" s="249"/>
      <c r="ADO10" s="249"/>
      <c r="ADP10" s="249"/>
      <c r="ADQ10" s="249"/>
      <c r="ADR10" s="249"/>
      <c r="ADS10" s="249"/>
      <c r="ADT10" s="249"/>
      <c r="ADU10" s="249"/>
      <c r="ADV10" s="249"/>
      <c r="ADW10" s="249"/>
      <c r="ADX10" s="249"/>
      <c r="ADY10" s="249"/>
      <c r="ADZ10" s="249"/>
      <c r="AEA10" s="249"/>
      <c r="AEB10" s="249"/>
      <c r="AEC10" s="249"/>
      <c r="AED10" s="249"/>
      <c r="AEE10" s="249"/>
      <c r="AEF10" s="249"/>
      <c r="AEG10" s="249"/>
      <c r="AEH10" s="249"/>
      <c r="AEI10" s="249"/>
      <c r="AEJ10" s="249"/>
      <c r="AEK10" s="249"/>
      <c r="AEL10" s="249"/>
      <c r="AEM10" s="249"/>
      <c r="AEN10" s="249"/>
      <c r="AEO10" s="249"/>
      <c r="AEP10" s="249"/>
      <c r="AEQ10" s="249"/>
      <c r="AER10" s="249"/>
      <c r="AES10" s="249"/>
      <c r="AET10" s="249"/>
      <c r="AEU10" s="249"/>
      <c r="AEV10" s="249"/>
      <c r="AEW10" s="249"/>
      <c r="AEX10" s="249"/>
      <c r="AEY10" s="249"/>
      <c r="AEZ10" s="249"/>
      <c r="AFA10" s="249"/>
      <c r="AFB10" s="249"/>
      <c r="AFC10" s="249"/>
      <c r="AFD10" s="249"/>
      <c r="AFE10" s="249"/>
      <c r="AFF10" s="249"/>
      <c r="AFG10" s="249"/>
      <c r="AFH10" s="249"/>
      <c r="AFI10" s="249"/>
      <c r="AFJ10" s="249"/>
      <c r="AFK10" s="249"/>
      <c r="AFL10" s="249"/>
      <c r="AFM10" s="249"/>
      <c r="AFN10" s="249"/>
      <c r="AFO10" s="249"/>
      <c r="AFP10" s="249"/>
      <c r="AFQ10" s="249"/>
      <c r="AFR10" s="249"/>
      <c r="AFS10" s="249"/>
      <c r="AFT10" s="249"/>
      <c r="AFU10" s="249"/>
      <c r="AFV10" s="249"/>
      <c r="AFW10" s="249"/>
      <c r="AFX10" s="249"/>
      <c r="AFY10" s="249"/>
      <c r="AFZ10" s="249"/>
      <c r="AGA10" s="249"/>
      <c r="AGB10" s="249"/>
      <c r="AGC10" s="249"/>
      <c r="AGD10" s="249"/>
      <c r="AGE10" s="249"/>
      <c r="AGF10" s="249"/>
      <c r="AGG10" s="249"/>
      <c r="AGH10" s="249"/>
      <c r="AGI10" s="249"/>
      <c r="AGJ10" s="249"/>
      <c r="AGK10" s="249"/>
      <c r="AGL10" s="249"/>
      <c r="AGM10" s="249"/>
      <c r="AGN10" s="249"/>
      <c r="AGO10" s="249"/>
      <c r="AGP10" s="249"/>
      <c r="AGQ10" s="249"/>
      <c r="AGR10" s="249"/>
      <c r="AGS10" s="249"/>
      <c r="AGT10" s="249"/>
      <c r="AGU10" s="249"/>
      <c r="AGV10" s="249"/>
      <c r="AGW10" s="249"/>
      <c r="AGX10" s="249"/>
      <c r="AGY10" s="249"/>
      <c r="AGZ10" s="249"/>
      <c r="AHA10" s="249"/>
      <c r="AHB10" s="249"/>
      <c r="AHC10" s="249"/>
      <c r="AHD10" s="249"/>
      <c r="AHE10" s="249"/>
      <c r="AHF10" s="249"/>
      <c r="AHG10" s="249"/>
      <c r="AHH10" s="249"/>
      <c r="AHI10" s="249"/>
      <c r="AHJ10" s="249"/>
      <c r="AHK10" s="249"/>
      <c r="AHL10" s="249"/>
      <c r="AHM10" s="249"/>
      <c r="AHN10" s="249"/>
      <c r="AHO10" s="249"/>
      <c r="AHP10" s="249"/>
      <c r="AHQ10" s="249"/>
      <c r="AHR10" s="249"/>
      <c r="AHS10" s="249"/>
      <c r="AHT10" s="249"/>
      <c r="AHU10" s="249"/>
      <c r="AHV10" s="249"/>
      <c r="AHW10" s="249"/>
      <c r="AHX10" s="249"/>
      <c r="AHY10" s="249"/>
      <c r="AHZ10" s="249"/>
      <c r="AIA10" s="249"/>
      <c r="AIB10" s="249"/>
      <c r="AIC10" s="249"/>
      <c r="AID10" s="249"/>
      <c r="AIE10" s="249"/>
      <c r="AIF10" s="249"/>
      <c r="AIG10" s="249"/>
      <c r="AIH10" s="249"/>
      <c r="AII10" s="249"/>
      <c r="AIJ10" s="249"/>
      <c r="AIK10" s="249"/>
      <c r="AIL10" s="249"/>
      <c r="AIM10" s="249"/>
      <c r="AIN10" s="249"/>
      <c r="AIO10" s="249"/>
      <c r="AIP10" s="249"/>
      <c r="AIQ10" s="249"/>
      <c r="AIR10" s="249"/>
      <c r="AIS10" s="249"/>
      <c r="AIT10" s="249"/>
      <c r="AIU10" s="249"/>
      <c r="AIV10" s="249"/>
      <c r="AIW10" s="249"/>
      <c r="AIX10" s="249"/>
      <c r="AIY10" s="249"/>
      <c r="AIZ10" s="249"/>
      <c r="AJA10" s="249"/>
      <c r="AJB10" s="249"/>
      <c r="AJC10" s="249"/>
      <c r="AJD10" s="249"/>
      <c r="AJE10" s="249"/>
      <c r="AJF10" s="249"/>
      <c r="AJG10" s="249"/>
      <c r="AJH10" s="249"/>
      <c r="AJI10" s="249"/>
      <c r="AJJ10" s="249"/>
      <c r="AJK10" s="249"/>
      <c r="AJL10" s="249"/>
      <c r="AJM10" s="249"/>
      <c r="AJN10" s="249"/>
      <c r="AJO10" s="249"/>
      <c r="AJP10" s="249"/>
      <c r="AJQ10" s="249"/>
      <c r="AJR10" s="249"/>
      <c r="AJS10" s="249"/>
      <c r="AJT10" s="249"/>
      <c r="AJU10" s="249"/>
      <c r="AJV10" s="249"/>
      <c r="AJW10" s="249"/>
      <c r="AJX10" s="249"/>
      <c r="AJY10" s="249"/>
      <c r="AJZ10" s="249"/>
      <c r="AKA10" s="249"/>
      <c r="AKB10" s="249"/>
      <c r="AKC10" s="249"/>
      <c r="AKD10" s="249"/>
      <c r="AKE10" s="249"/>
      <c r="AKF10" s="249"/>
      <c r="AKG10" s="249"/>
      <c r="AKH10" s="249"/>
      <c r="AKI10" s="249"/>
      <c r="AKJ10" s="249"/>
      <c r="AKK10" s="249"/>
      <c r="AKL10" s="249"/>
      <c r="AKM10" s="249"/>
      <c r="AKN10" s="249"/>
      <c r="AKO10" s="249"/>
      <c r="AKP10" s="249"/>
      <c r="AKQ10" s="249"/>
      <c r="AKR10" s="249"/>
      <c r="AKS10" s="249"/>
      <c r="AKT10" s="249"/>
      <c r="AKU10" s="249"/>
      <c r="AKV10" s="249"/>
      <c r="AKW10" s="249"/>
      <c r="AKX10" s="249"/>
      <c r="AKY10" s="249"/>
      <c r="AKZ10" s="249"/>
      <c r="ALA10" s="249"/>
      <c r="ALB10" s="249"/>
      <c r="ALC10" s="249"/>
      <c r="ALD10" s="249"/>
      <c r="ALE10" s="249"/>
      <c r="ALF10" s="249"/>
      <c r="ALG10" s="249"/>
      <c r="ALH10" s="249"/>
      <c r="ALI10" s="249"/>
      <c r="ALJ10" s="249"/>
      <c r="ALK10" s="249"/>
      <c r="ALL10" s="249"/>
      <c r="ALM10" s="249"/>
      <c r="ALN10" s="249"/>
      <c r="ALO10" s="249"/>
      <c r="ALP10" s="249"/>
      <c r="ALQ10" s="249"/>
      <c r="ALR10" s="249"/>
      <c r="ALS10" s="249"/>
      <c r="ALT10" s="249"/>
      <c r="ALU10" s="249"/>
      <c r="ALV10" s="249"/>
      <c r="ALW10" s="249"/>
      <c r="ALX10" s="249"/>
      <c r="ALY10" s="249"/>
      <c r="ALZ10" s="249"/>
      <c r="AMA10" s="249"/>
      <c r="AMB10" s="249"/>
      <c r="AMC10" s="249"/>
      <c r="AMD10" s="249"/>
      <c r="AME10" s="249"/>
      <c r="AMF10" s="249"/>
      <c r="AMG10" s="249"/>
      <c r="AMH10" s="249"/>
      <c r="AMI10" s="249"/>
      <c r="AMJ10" s="249"/>
      <c r="AMK10" s="249"/>
      <c r="AML10" s="249"/>
      <c r="AMM10" s="249"/>
      <c r="AMN10" s="249"/>
      <c r="AMO10" s="249"/>
      <c r="AMP10" s="249"/>
      <c r="AMQ10" s="249"/>
      <c r="AMR10" s="249"/>
      <c r="AMS10" s="249"/>
      <c r="AMT10" s="249"/>
      <c r="AMU10" s="249"/>
      <c r="AMV10" s="249"/>
      <c r="AMW10" s="249"/>
      <c r="AMX10" s="249"/>
      <c r="AMY10" s="249"/>
      <c r="AMZ10" s="249"/>
      <c r="ANA10" s="249"/>
      <c r="ANB10" s="249"/>
      <c r="ANC10" s="249"/>
      <c r="AND10" s="249"/>
      <c r="ANE10" s="249"/>
      <c r="ANF10" s="249"/>
      <c r="ANG10" s="249"/>
      <c r="ANH10" s="249"/>
      <c r="ANI10" s="249"/>
      <c r="ANJ10" s="249"/>
      <c r="ANK10" s="249"/>
      <c r="ANL10" s="249"/>
      <c r="ANM10" s="249"/>
      <c r="ANN10" s="249"/>
      <c r="ANO10" s="249"/>
      <c r="ANP10" s="249"/>
      <c r="ANQ10" s="249"/>
      <c r="ANR10" s="249"/>
      <c r="ANS10" s="249"/>
      <c r="ANT10" s="249"/>
      <c r="ANU10" s="249"/>
      <c r="ANV10" s="249"/>
      <c r="ANW10" s="249"/>
      <c r="ANX10" s="249"/>
      <c r="ANY10" s="249"/>
      <c r="ANZ10" s="249"/>
      <c r="AOA10" s="249"/>
      <c r="AOB10" s="249"/>
      <c r="AOC10" s="249"/>
      <c r="AOD10" s="249"/>
      <c r="AOE10" s="249"/>
      <c r="AOF10" s="249"/>
      <c r="AOG10" s="249"/>
      <c r="AOH10" s="249"/>
      <c r="AOI10" s="249"/>
      <c r="AOJ10" s="249"/>
      <c r="AOK10" s="249"/>
      <c r="AOL10" s="249"/>
      <c r="AOM10" s="249"/>
      <c r="AON10" s="249"/>
      <c r="AOO10" s="249"/>
      <c r="AOP10" s="249"/>
      <c r="AOQ10" s="249"/>
      <c r="AOR10" s="249"/>
      <c r="AOS10" s="249"/>
      <c r="AOT10" s="249"/>
      <c r="AOU10" s="249"/>
      <c r="AOV10" s="249"/>
      <c r="AOW10" s="249"/>
      <c r="AOX10" s="249"/>
      <c r="AOY10" s="249"/>
      <c r="AOZ10" s="249"/>
      <c r="APA10" s="249"/>
      <c r="APB10" s="249"/>
      <c r="APC10" s="249"/>
      <c r="APD10" s="249"/>
      <c r="APE10" s="249"/>
      <c r="APF10" s="249"/>
      <c r="APG10" s="249"/>
      <c r="APH10" s="249"/>
      <c r="API10" s="249"/>
      <c r="APJ10" s="249"/>
      <c r="APK10" s="249"/>
      <c r="APL10" s="249"/>
      <c r="APM10" s="249"/>
      <c r="APN10" s="249"/>
      <c r="APO10" s="249"/>
      <c r="APP10" s="249"/>
      <c r="APQ10" s="249"/>
      <c r="APR10" s="249"/>
      <c r="APS10" s="249"/>
      <c r="APT10" s="249"/>
      <c r="APU10" s="249"/>
      <c r="APV10" s="249"/>
      <c r="APW10" s="249"/>
      <c r="APX10" s="249"/>
      <c r="APY10" s="249"/>
      <c r="APZ10" s="249"/>
      <c r="AQA10" s="249"/>
      <c r="AQB10" s="249"/>
      <c r="AQC10" s="249"/>
      <c r="AQD10" s="249"/>
      <c r="AQE10" s="249"/>
      <c r="AQF10" s="249"/>
      <c r="AQG10" s="249"/>
      <c r="AQH10" s="249"/>
      <c r="AQI10" s="249"/>
      <c r="AQJ10" s="249"/>
      <c r="AQK10" s="249"/>
      <c r="AQL10" s="249"/>
      <c r="AQM10" s="249"/>
      <c r="AQN10" s="249"/>
      <c r="AQO10" s="249"/>
      <c r="AQP10" s="249"/>
      <c r="AQQ10" s="249"/>
      <c r="AQR10" s="249"/>
      <c r="AQS10" s="249"/>
      <c r="AQT10" s="249"/>
      <c r="AQU10" s="249"/>
      <c r="AQV10" s="249"/>
      <c r="AQW10" s="249"/>
      <c r="AQX10" s="249"/>
      <c r="AQY10" s="249"/>
      <c r="AQZ10" s="249"/>
      <c r="ARA10" s="249"/>
      <c r="ARB10" s="249"/>
      <c r="ARC10" s="249"/>
      <c r="ARD10" s="249"/>
      <c r="ARE10" s="249"/>
      <c r="ARF10" s="249"/>
      <c r="ARG10" s="249"/>
      <c r="ARH10" s="249"/>
      <c r="ARI10" s="249"/>
      <c r="ARJ10" s="249"/>
      <c r="ARK10" s="249"/>
      <c r="ARL10" s="249"/>
      <c r="ARM10" s="249"/>
      <c r="ARN10" s="249"/>
      <c r="ARO10" s="249"/>
      <c r="ARP10" s="249"/>
      <c r="ARQ10" s="249"/>
      <c r="ARR10" s="249"/>
      <c r="ARS10" s="249"/>
      <c r="ART10" s="249"/>
      <c r="ARU10" s="249"/>
      <c r="ARV10" s="249"/>
      <c r="ARW10" s="249"/>
      <c r="ARX10" s="249"/>
      <c r="ARY10" s="249"/>
      <c r="ARZ10" s="249"/>
      <c r="ASA10" s="249"/>
      <c r="ASB10" s="249"/>
      <c r="ASC10" s="249"/>
      <c r="ASD10" s="249"/>
      <c r="ASE10" s="249"/>
      <c r="ASF10" s="249"/>
      <c r="ASG10" s="249"/>
      <c r="ASH10" s="249"/>
      <c r="ASI10" s="249"/>
      <c r="ASJ10" s="249"/>
      <c r="ASK10" s="249"/>
      <c r="ASL10" s="249"/>
      <c r="ASM10" s="249"/>
      <c r="ASN10" s="249"/>
      <c r="ASO10" s="249"/>
      <c r="ASP10" s="249"/>
      <c r="ASQ10" s="249"/>
      <c r="ASR10" s="249"/>
      <c r="ASS10" s="249"/>
      <c r="AST10" s="249"/>
      <c r="ASU10" s="249"/>
      <c r="ASV10" s="249"/>
      <c r="ASW10" s="249"/>
      <c r="ASX10" s="249"/>
      <c r="ASY10" s="249"/>
      <c r="ASZ10" s="249"/>
      <c r="ATA10" s="249"/>
      <c r="ATB10" s="249"/>
      <c r="ATC10" s="249"/>
      <c r="ATD10" s="249"/>
      <c r="ATE10" s="249"/>
      <c r="ATF10" s="249"/>
      <c r="ATG10" s="249"/>
      <c r="ATH10" s="249"/>
      <c r="ATI10" s="249"/>
      <c r="ATJ10" s="249"/>
      <c r="ATK10" s="249"/>
      <c r="ATL10" s="249"/>
      <c r="ATM10" s="249"/>
      <c r="ATN10" s="249"/>
      <c r="ATO10" s="249"/>
      <c r="ATP10" s="249"/>
      <c r="ATQ10" s="249"/>
      <c r="ATR10" s="249"/>
      <c r="ATS10" s="249"/>
      <c r="ATT10" s="249"/>
      <c r="ATU10" s="249"/>
      <c r="ATV10" s="249"/>
      <c r="ATW10" s="249"/>
      <c r="ATX10" s="249"/>
      <c r="ATY10" s="249"/>
      <c r="ATZ10" s="249"/>
      <c r="AUA10" s="249"/>
      <c r="AUB10" s="249"/>
      <c r="AUC10" s="249"/>
      <c r="AUD10" s="249"/>
      <c r="AUE10" s="249"/>
      <c r="AUF10" s="249"/>
      <c r="AUG10" s="249"/>
      <c r="AUH10" s="249"/>
      <c r="AUI10" s="249"/>
      <c r="AUJ10" s="249"/>
      <c r="AUK10" s="249"/>
      <c r="AUL10" s="249"/>
      <c r="AUM10" s="249"/>
      <c r="AUN10" s="249"/>
      <c r="AUO10" s="249"/>
      <c r="AUP10" s="249"/>
      <c r="AUQ10" s="249"/>
      <c r="AUR10" s="249"/>
      <c r="AUS10" s="249"/>
      <c r="AUT10" s="249"/>
      <c r="AUU10" s="249"/>
      <c r="AUV10" s="249"/>
      <c r="AUW10" s="249"/>
      <c r="AUX10" s="249"/>
      <c r="AUY10" s="249"/>
      <c r="AUZ10" s="249"/>
      <c r="AVA10" s="249"/>
      <c r="AVB10" s="249"/>
      <c r="AVC10" s="249"/>
      <c r="AVD10" s="249"/>
      <c r="AVE10" s="249"/>
      <c r="AVF10" s="249"/>
      <c r="AVG10" s="249"/>
      <c r="AVH10" s="249"/>
      <c r="AVI10" s="249"/>
      <c r="AVJ10" s="249"/>
      <c r="AVK10" s="249"/>
      <c r="AVL10" s="249"/>
      <c r="AVM10" s="249"/>
      <c r="AVN10" s="249"/>
      <c r="AVO10" s="249"/>
      <c r="AVP10" s="249"/>
      <c r="AVQ10" s="249"/>
      <c r="AVR10" s="249"/>
      <c r="AVS10" s="249"/>
      <c r="AVT10" s="249"/>
      <c r="AVU10" s="249"/>
      <c r="AVV10" s="249"/>
      <c r="AVW10" s="249"/>
      <c r="AVX10" s="249"/>
      <c r="AVY10" s="249"/>
      <c r="AVZ10" s="249"/>
      <c r="AWA10" s="249"/>
      <c r="AWB10" s="249"/>
      <c r="AWC10" s="249"/>
      <c r="AWD10" s="249"/>
      <c r="AWE10" s="249"/>
      <c r="AWF10" s="249"/>
      <c r="AWG10" s="249"/>
      <c r="AWH10" s="249"/>
      <c r="AWI10" s="249"/>
      <c r="AWJ10" s="249"/>
      <c r="AWK10" s="249"/>
      <c r="AWL10" s="249"/>
      <c r="AWM10" s="249"/>
      <c r="AWN10" s="249"/>
      <c r="AWO10" s="249"/>
      <c r="AWP10" s="249"/>
      <c r="AWQ10" s="249"/>
      <c r="AWR10" s="249"/>
      <c r="AWS10" s="249"/>
      <c r="AWT10" s="249"/>
      <c r="AWU10" s="249"/>
      <c r="AWV10" s="249"/>
      <c r="AWW10" s="249"/>
      <c r="AWX10" s="249"/>
      <c r="AWY10" s="249"/>
      <c r="AWZ10" s="249"/>
      <c r="AXA10" s="249"/>
      <c r="AXB10" s="249"/>
      <c r="AXC10" s="249"/>
      <c r="AXD10" s="249"/>
      <c r="AXE10" s="249"/>
      <c r="AXF10" s="249"/>
      <c r="AXG10" s="249"/>
      <c r="AXH10" s="249"/>
      <c r="AXI10" s="249"/>
      <c r="AXJ10" s="249"/>
      <c r="AXK10" s="249"/>
      <c r="AXL10" s="249"/>
      <c r="AXM10" s="249"/>
      <c r="AXN10" s="249"/>
      <c r="AXO10" s="249"/>
      <c r="AXP10" s="249"/>
      <c r="AXQ10" s="249"/>
      <c r="AXR10" s="249"/>
      <c r="AXS10" s="249"/>
      <c r="AXT10" s="249"/>
      <c r="AXU10" s="249"/>
      <c r="AXV10" s="249"/>
      <c r="AXW10" s="249"/>
      <c r="AXX10" s="249"/>
      <c r="AXY10" s="249"/>
      <c r="AXZ10" s="249"/>
      <c r="AYA10" s="249"/>
      <c r="AYB10" s="249"/>
      <c r="AYC10" s="249"/>
      <c r="AYD10" s="249"/>
      <c r="AYE10" s="249"/>
      <c r="AYF10" s="249"/>
      <c r="AYG10" s="249"/>
      <c r="AYH10" s="249"/>
      <c r="AYI10" s="249"/>
      <c r="AYJ10" s="249"/>
      <c r="AYK10" s="249"/>
      <c r="AYL10" s="249"/>
      <c r="AYM10" s="249"/>
      <c r="AYN10" s="249"/>
      <c r="AYO10" s="249"/>
      <c r="AYP10" s="249"/>
      <c r="AYQ10" s="249"/>
      <c r="AYR10" s="249"/>
      <c r="AYS10" s="249"/>
      <c r="AYT10" s="249"/>
      <c r="AYU10" s="249"/>
      <c r="AYV10" s="249"/>
      <c r="AYW10" s="249"/>
      <c r="AYX10" s="249"/>
      <c r="AYY10" s="249"/>
      <c r="AYZ10" s="249"/>
      <c r="AZA10" s="249"/>
      <c r="AZB10" s="249"/>
      <c r="AZC10" s="249"/>
      <c r="AZD10" s="249"/>
      <c r="AZE10" s="249"/>
      <c r="AZF10" s="249"/>
      <c r="AZG10" s="249"/>
      <c r="AZH10" s="249"/>
      <c r="AZI10" s="249"/>
      <c r="AZJ10" s="249"/>
      <c r="AZK10" s="249"/>
      <c r="AZL10" s="249"/>
      <c r="AZM10" s="249"/>
      <c r="AZN10" s="249"/>
      <c r="AZO10" s="249"/>
      <c r="AZP10" s="249"/>
      <c r="AZQ10" s="249"/>
      <c r="AZR10" s="249"/>
      <c r="AZS10" s="249"/>
      <c r="AZT10" s="249"/>
      <c r="AZU10" s="249"/>
      <c r="AZV10" s="249"/>
      <c r="AZW10" s="249"/>
      <c r="AZX10" s="249"/>
      <c r="AZY10" s="249"/>
      <c r="AZZ10" s="249"/>
      <c r="BAA10" s="249"/>
      <c r="BAB10" s="249"/>
      <c r="BAC10" s="249"/>
      <c r="BAD10" s="249"/>
      <c r="BAE10" s="249"/>
      <c r="BAF10" s="249"/>
      <c r="BAG10" s="249"/>
      <c r="BAH10" s="249"/>
      <c r="BAI10" s="249"/>
      <c r="BAJ10" s="249"/>
      <c r="BAK10" s="249"/>
      <c r="BAL10" s="249"/>
      <c r="BAM10" s="249"/>
      <c r="BAN10" s="249"/>
      <c r="BAO10" s="249"/>
      <c r="BAP10" s="249"/>
      <c r="BAQ10" s="249"/>
      <c r="BAR10" s="249"/>
      <c r="BAS10" s="249"/>
      <c r="BAT10" s="249"/>
      <c r="BAU10" s="249"/>
      <c r="BAV10" s="249"/>
      <c r="BAW10" s="249"/>
      <c r="BAX10" s="249"/>
      <c r="BAY10" s="249"/>
      <c r="BAZ10" s="249"/>
      <c r="BBA10" s="249"/>
      <c r="BBB10" s="249"/>
      <c r="BBC10" s="249"/>
      <c r="BBD10" s="249"/>
      <c r="BBE10" s="249"/>
      <c r="BBF10" s="249"/>
      <c r="BBG10" s="249"/>
      <c r="BBH10" s="249"/>
      <c r="BBI10" s="249"/>
      <c r="BBJ10" s="249"/>
      <c r="BBK10" s="249"/>
      <c r="BBL10" s="249"/>
      <c r="BBM10" s="249"/>
      <c r="BBN10" s="249"/>
      <c r="BBO10" s="249"/>
      <c r="BBP10" s="249"/>
      <c r="BBQ10" s="249"/>
      <c r="BBR10" s="249"/>
      <c r="BBS10" s="249"/>
      <c r="BBT10" s="249"/>
      <c r="BBU10" s="249"/>
      <c r="BBV10" s="249"/>
      <c r="BBW10" s="249"/>
      <c r="BBX10" s="249"/>
      <c r="BBY10" s="249"/>
      <c r="BBZ10" s="249"/>
      <c r="BCA10" s="249"/>
      <c r="BCB10" s="249"/>
      <c r="BCC10" s="249"/>
      <c r="BCD10" s="249"/>
      <c r="BCE10" s="249"/>
      <c r="BCF10" s="249"/>
      <c r="BCG10" s="249"/>
      <c r="BCH10" s="249"/>
      <c r="BCI10" s="249"/>
      <c r="BCJ10" s="249"/>
      <c r="BCK10" s="249"/>
      <c r="BCL10" s="249"/>
      <c r="BCM10" s="249"/>
      <c r="BCN10" s="249"/>
      <c r="BCO10" s="249"/>
      <c r="BCP10" s="249"/>
      <c r="BCQ10" s="249"/>
      <c r="BCR10" s="249"/>
      <c r="BCS10" s="249"/>
      <c r="BCT10" s="249"/>
      <c r="BCU10" s="249"/>
      <c r="BCV10" s="249"/>
      <c r="BCW10" s="249"/>
      <c r="BCX10" s="249"/>
      <c r="BCY10" s="249"/>
      <c r="BCZ10" s="249"/>
      <c r="BDA10" s="249"/>
      <c r="BDB10" s="249"/>
      <c r="BDC10" s="249"/>
      <c r="BDD10" s="249"/>
      <c r="BDE10" s="249"/>
      <c r="BDF10" s="249"/>
      <c r="BDG10" s="249"/>
      <c r="BDH10" s="249"/>
      <c r="BDI10" s="249"/>
      <c r="BDJ10" s="249"/>
      <c r="BDK10" s="249"/>
      <c r="BDL10" s="249"/>
      <c r="BDM10" s="249"/>
      <c r="BDN10" s="249"/>
      <c r="BDO10" s="249"/>
      <c r="BDP10" s="249"/>
      <c r="BDQ10" s="249"/>
      <c r="BDR10" s="249"/>
      <c r="BDS10" s="249"/>
      <c r="BDT10" s="249"/>
      <c r="BDU10" s="249"/>
      <c r="BDV10" s="249"/>
      <c r="BDW10" s="249"/>
      <c r="BDX10" s="249"/>
      <c r="BDY10" s="249"/>
      <c r="BDZ10" s="249"/>
      <c r="BEA10" s="249"/>
      <c r="BEB10" s="249"/>
      <c r="BEC10" s="249"/>
      <c r="BED10" s="249"/>
      <c r="BEE10" s="249"/>
      <c r="BEF10" s="249"/>
      <c r="BEG10" s="249"/>
      <c r="BEH10" s="249"/>
      <c r="BEI10" s="249"/>
      <c r="BEJ10" s="249"/>
      <c r="BEK10" s="249"/>
      <c r="BEL10" s="249"/>
      <c r="BEM10" s="249"/>
      <c r="BEN10" s="249"/>
      <c r="BEO10" s="249"/>
      <c r="BEP10" s="249"/>
      <c r="BEQ10" s="249"/>
      <c r="BER10" s="249"/>
      <c r="BES10" s="249"/>
      <c r="BET10" s="249"/>
      <c r="BEU10" s="249"/>
      <c r="BEV10" s="249"/>
      <c r="BEW10" s="249"/>
      <c r="BEX10" s="249"/>
      <c r="BEY10" s="249"/>
      <c r="BEZ10" s="249"/>
      <c r="BFA10" s="249"/>
      <c r="BFB10" s="249"/>
      <c r="BFC10" s="249"/>
      <c r="BFD10" s="249"/>
      <c r="BFE10" s="249"/>
      <c r="BFF10" s="249"/>
      <c r="BFG10" s="249"/>
      <c r="BFH10" s="249"/>
      <c r="BFI10" s="249"/>
      <c r="BFJ10" s="249"/>
      <c r="BFK10" s="249"/>
      <c r="BFL10" s="249"/>
      <c r="BFM10" s="249"/>
      <c r="BFN10" s="249"/>
      <c r="BFO10" s="249"/>
      <c r="BFP10" s="249"/>
      <c r="BFQ10" s="249"/>
      <c r="BFR10" s="249"/>
      <c r="BFS10" s="249"/>
      <c r="BFT10" s="249"/>
      <c r="BFU10" s="249"/>
      <c r="BFV10" s="249"/>
      <c r="BFW10" s="249"/>
      <c r="BFX10" s="249"/>
      <c r="BFY10" s="249"/>
      <c r="BFZ10" s="249"/>
      <c r="BGA10" s="249"/>
      <c r="BGB10" s="249"/>
      <c r="BGC10" s="249"/>
      <c r="BGD10" s="249"/>
      <c r="BGE10" s="249"/>
      <c r="BGF10" s="249"/>
      <c r="BGG10" s="249"/>
      <c r="BGH10" s="249"/>
      <c r="BGI10" s="249"/>
      <c r="BGJ10" s="249"/>
      <c r="BGK10" s="249"/>
      <c r="BGL10" s="249"/>
      <c r="BGM10" s="249"/>
      <c r="BGN10" s="249"/>
      <c r="BGO10" s="249"/>
      <c r="BGP10" s="249"/>
      <c r="BGQ10" s="249"/>
      <c r="BGR10" s="249"/>
      <c r="BGS10" s="249"/>
      <c r="BGT10" s="249"/>
      <c r="BGU10" s="249"/>
      <c r="BGV10" s="249"/>
      <c r="BGW10" s="249"/>
      <c r="BGX10" s="249"/>
      <c r="BGY10" s="249"/>
      <c r="BGZ10" s="249"/>
      <c r="BHA10" s="249"/>
      <c r="BHB10" s="249"/>
      <c r="BHC10" s="249"/>
      <c r="BHD10" s="249"/>
      <c r="BHE10" s="249"/>
      <c r="BHF10" s="90"/>
    </row>
    <row r="11" spans="1:1866" ht="20.100000000000001" customHeight="1" x14ac:dyDescent="0.25">
      <c r="B11" s="96"/>
      <c r="C11" s="253"/>
      <c r="D11" s="253"/>
      <c r="E11" s="253"/>
      <c r="F11" s="238" t="s">
        <v>41</v>
      </c>
      <c r="G11" s="238"/>
      <c r="H11" s="238"/>
      <c r="I11" s="238"/>
      <c r="J11" s="238"/>
      <c r="K11" s="238"/>
      <c r="L11" s="238"/>
      <c r="M11" s="238"/>
      <c r="N11" s="238"/>
      <c r="O11" s="238"/>
      <c r="P11" s="238"/>
      <c r="Q11" s="238"/>
      <c r="R11" s="238"/>
      <c r="S11" s="238"/>
      <c r="T11" s="238"/>
      <c r="U11" s="238"/>
      <c r="V11" s="238"/>
      <c r="W11" s="238"/>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238"/>
      <c r="BB11" s="238"/>
      <c r="BC11" s="238"/>
      <c r="BD11" s="238"/>
      <c r="BE11" s="238"/>
      <c r="BF11" s="238"/>
      <c r="BG11" s="238"/>
      <c r="BH11" s="238"/>
      <c r="BI11" s="238"/>
      <c r="BJ11" s="238"/>
      <c r="BK11" s="238"/>
      <c r="BL11" s="238"/>
      <c r="BM11" s="238"/>
      <c r="BN11" s="238" t="s">
        <v>73</v>
      </c>
      <c r="BO11" s="238"/>
      <c r="BP11" s="238"/>
      <c r="BQ11" s="238"/>
      <c r="BR11" s="238"/>
      <c r="BS11" s="238"/>
      <c r="BT11" s="238"/>
      <c r="BU11" s="238"/>
      <c r="BV11" s="238"/>
      <c r="BW11" s="238"/>
      <c r="BX11" s="238"/>
      <c r="BY11" s="238"/>
      <c r="BZ11" s="238"/>
      <c r="CA11" s="238"/>
      <c r="CB11" s="238"/>
      <c r="CC11" s="238"/>
      <c r="CD11" s="238"/>
      <c r="CE11" s="238"/>
      <c r="CF11" s="238"/>
      <c r="CG11" s="238"/>
      <c r="CH11" s="238"/>
      <c r="CI11" s="238"/>
      <c r="CJ11" s="238"/>
      <c r="CK11" s="238"/>
      <c r="CL11" s="238"/>
      <c r="CM11" s="238"/>
      <c r="CN11" s="238"/>
      <c r="CO11" s="238"/>
      <c r="CP11" s="238"/>
      <c r="CQ11" s="238"/>
      <c r="CR11" s="238"/>
      <c r="CS11" s="238"/>
      <c r="CT11" s="238"/>
      <c r="CU11" s="238"/>
      <c r="CV11" s="238"/>
      <c r="CW11" s="238"/>
      <c r="CX11" s="238"/>
      <c r="CY11" s="238"/>
      <c r="CZ11" s="238"/>
      <c r="DA11" s="238"/>
      <c r="DB11" s="238"/>
      <c r="DC11" s="238"/>
      <c r="DD11" s="238"/>
      <c r="DE11" s="238"/>
      <c r="DF11" s="238"/>
      <c r="DG11" s="238"/>
      <c r="DH11" s="238"/>
      <c r="DI11" s="238"/>
      <c r="DJ11" s="238"/>
      <c r="DK11" s="238"/>
      <c r="DL11" s="238"/>
      <c r="DM11" s="238"/>
      <c r="DN11" s="238"/>
      <c r="DO11" s="238"/>
      <c r="DP11" s="238"/>
      <c r="DQ11" s="238"/>
      <c r="DR11" s="238"/>
      <c r="DS11" s="238"/>
      <c r="DT11" s="238"/>
      <c r="DU11" s="238"/>
      <c r="DV11" s="250" t="s">
        <v>73</v>
      </c>
      <c r="DW11" s="250"/>
      <c r="DX11" s="250"/>
      <c r="DY11" s="250"/>
      <c r="DZ11" s="250"/>
      <c r="EA11" s="250"/>
      <c r="EB11" s="250"/>
      <c r="EC11" s="250"/>
      <c r="ED11" s="250"/>
      <c r="EE11" s="250"/>
      <c r="EF11" s="250"/>
      <c r="EG11" s="250"/>
      <c r="EH11" s="250"/>
      <c r="EI11" s="250"/>
      <c r="EJ11" s="250"/>
      <c r="EK11" s="250"/>
      <c r="EL11" s="250"/>
      <c r="EM11" s="250"/>
      <c r="EN11" s="250"/>
      <c r="EO11" s="250"/>
      <c r="EP11" s="250"/>
      <c r="EQ11" s="250"/>
      <c r="ER11" s="250"/>
      <c r="ES11" s="250"/>
      <c r="ET11" s="250"/>
      <c r="EU11" s="250"/>
      <c r="EV11" s="250"/>
      <c r="EW11" s="250"/>
      <c r="EX11" s="250"/>
      <c r="EY11" s="250"/>
      <c r="EZ11" s="250"/>
      <c r="FA11" s="250"/>
      <c r="FB11" s="250"/>
      <c r="FC11" s="250"/>
      <c r="FD11" s="250"/>
      <c r="FE11" s="250"/>
      <c r="FF11" s="250"/>
      <c r="FG11" s="250"/>
      <c r="FH11" s="250"/>
      <c r="FI11" s="250"/>
      <c r="FJ11" s="250"/>
      <c r="FK11" s="250"/>
      <c r="FL11" s="250"/>
      <c r="FM11" s="250"/>
      <c r="FN11" s="250"/>
      <c r="FO11" s="250"/>
      <c r="FP11" s="250"/>
      <c r="FQ11" s="250"/>
      <c r="FR11" s="250"/>
      <c r="FS11" s="250"/>
      <c r="FT11" s="250"/>
      <c r="FU11" s="250"/>
      <c r="FV11" s="250"/>
      <c r="FW11" s="250"/>
      <c r="FX11" s="250"/>
      <c r="FY11" s="250"/>
      <c r="FZ11" s="250"/>
      <c r="GA11" s="250"/>
      <c r="GB11" s="250"/>
      <c r="GC11" s="250"/>
      <c r="GD11" s="250" t="s">
        <v>72</v>
      </c>
      <c r="GE11" s="250"/>
      <c r="GF11" s="250"/>
      <c r="GG11" s="250"/>
      <c r="GH11" s="250"/>
      <c r="GI11" s="250"/>
      <c r="GJ11" s="250"/>
      <c r="GK11" s="250"/>
      <c r="GL11" s="250"/>
      <c r="GM11" s="250"/>
      <c r="GN11" s="250"/>
      <c r="GO11" s="250"/>
      <c r="GP11" s="250"/>
      <c r="GQ11" s="250"/>
      <c r="GR11" s="250"/>
      <c r="GS11" s="250"/>
      <c r="GT11" s="250"/>
      <c r="GU11" s="250"/>
      <c r="GV11" s="250"/>
      <c r="GW11" s="250"/>
      <c r="GX11" s="250"/>
      <c r="GY11" s="250"/>
      <c r="GZ11" s="250"/>
      <c r="HA11" s="250"/>
      <c r="HB11" s="250"/>
      <c r="HC11" s="250"/>
      <c r="HD11" s="250"/>
      <c r="HE11" s="250"/>
      <c r="HF11" s="250"/>
      <c r="HG11" s="250"/>
      <c r="HH11" s="250"/>
      <c r="HI11" s="250"/>
      <c r="HJ11" s="250"/>
      <c r="HK11" s="250"/>
      <c r="HL11" s="250"/>
      <c r="HM11" s="250"/>
      <c r="HN11" s="250"/>
      <c r="HO11" s="250"/>
      <c r="HP11" s="250"/>
      <c r="HQ11" s="250"/>
      <c r="HR11" s="250"/>
      <c r="HS11" s="250"/>
      <c r="HT11" s="250"/>
      <c r="HU11" s="250"/>
      <c r="HV11" s="250"/>
      <c r="HW11" s="250"/>
      <c r="HX11" s="250"/>
      <c r="HY11" s="250"/>
      <c r="HZ11" s="250"/>
      <c r="IA11" s="250"/>
      <c r="IB11" s="250"/>
      <c r="IC11" s="250"/>
      <c r="ID11" s="250"/>
      <c r="IE11" s="250"/>
      <c r="IF11" s="250"/>
      <c r="IG11" s="250"/>
      <c r="IH11" s="250"/>
      <c r="II11" s="250"/>
      <c r="IJ11" s="250"/>
      <c r="IK11" s="250"/>
      <c r="IL11" s="250" t="s">
        <v>72</v>
      </c>
      <c r="IM11" s="250"/>
      <c r="IN11" s="250"/>
      <c r="IO11" s="250"/>
      <c r="IP11" s="250"/>
      <c r="IQ11" s="250"/>
      <c r="IR11" s="250"/>
      <c r="IS11" s="250"/>
      <c r="IT11" s="250"/>
      <c r="IU11" s="250"/>
      <c r="IV11" s="250"/>
      <c r="IW11" s="250"/>
      <c r="IX11" s="250"/>
      <c r="IY11" s="250"/>
      <c r="IZ11" s="250"/>
      <c r="JA11" s="250"/>
      <c r="JB11" s="250"/>
      <c r="JC11" s="250"/>
      <c r="JD11" s="250"/>
      <c r="JE11" s="250"/>
      <c r="JF11" s="250"/>
      <c r="JG11" s="250"/>
      <c r="JH11" s="250"/>
      <c r="JI11" s="250"/>
      <c r="JJ11" s="250"/>
      <c r="JK11" s="250"/>
      <c r="JL11" s="250"/>
      <c r="JM11" s="250"/>
      <c r="JN11" s="250"/>
      <c r="JO11" s="250"/>
      <c r="JP11" s="250"/>
      <c r="JQ11" s="250"/>
      <c r="JR11" s="250"/>
      <c r="JS11" s="250"/>
      <c r="JT11" s="250"/>
      <c r="JU11" s="250"/>
      <c r="JV11" s="250"/>
      <c r="JW11" s="250"/>
      <c r="JX11" s="250"/>
      <c r="JY11" s="250"/>
      <c r="JZ11" s="250"/>
      <c r="KA11" s="250"/>
      <c r="KB11" s="250"/>
      <c r="KC11" s="250"/>
      <c r="KD11" s="250"/>
      <c r="KE11" s="250"/>
      <c r="KF11" s="250"/>
      <c r="KG11" s="250"/>
      <c r="KH11" s="250"/>
      <c r="KI11" s="250"/>
      <c r="KJ11" s="250"/>
      <c r="KK11" s="250"/>
      <c r="KL11" s="250"/>
      <c r="KM11" s="250"/>
      <c r="KN11" s="250"/>
      <c r="KO11" s="250"/>
      <c r="KP11" s="250"/>
      <c r="KQ11" s="250"/>
      <c r="KR11" s="250"/>
      <c r="KS11" s="250"/>
      <c r="KT11" s="250" t="s">
        <v>85</v>
      </c>
      <c r="KU11" s="250"/>
      <c r="KV11" s="250"/>
      <c r="KW11" s="250"/>
      <c r="KX11" s="250"/>
      <c r="KY11" s="250"/>
      <c r="KZ11" s="250"/>
      <c r="LA11" s="250"/>
      <c r="LB11" s="250"/>
      <c r="LC11" s="250"/>
      <c r="LD11" s="250"/>
      <c r="LE11" s="250"/>
      <c r="LF11" s="250"/>
      <c r="LG11" s="250"/>
      <c r="LH11" s="250"/>
      <c r="LI11" s="250"/>
      <c r="LJ11" s="250"/>
      <c r="LK11" s="250"/>
      <c r="LL11" s="250"/>
      <c r="LM11" s="250"/>
      <c r="LN11" s="250"/>
      <c r="LO11" s="250"/>
      <c r="LP11" s="250"/>
      <c r="LQ11" s="250"/>
      <c r="LR11" s="250"/>
      <c r="LS11" s="250"/>
      <c r="LT11" s="250"/>
      <c r="LU11" s="250"/>
      <c r="LV11" s="250"/>
      <c r="LW11" s="250"/>
      <c r="LX11" s="250"/>
      <c r="LY11" s="250"/>
      <c r="LZ11" s="250"/>
      <c r="MA11" s="250"/>
      <c r="MB11" s="250"/>
      <c r="MC11" s="250"/>
      <c r="MD11" s="250"/>
      <c r="ME11" s="250"/>
      <c r="MF11" s="250"/>
      <c r="MG11" s="250"/>
      <c r="MH11" s="250"/>
      <c r="MI11" s="250"/>
      <c r="MJ11" s="250"/>
      <c r="MK11" s="250"/>
      <c r="ML11" s="250"/>
      <c r="MM11" s="250"/>
      <c r="MN11" s="250"/>
      <c r="MO11" s="250"/>
      <c r="MP11" s="250"/>
      <c r="MQ11" s="250"/>
      <c r="MR11" s="250"/>
      <c r="MS11" s="250"/>
      <c r="MT11" s="250"/>
      <c r="MU11" s="250"/>
      <c r="MV11" s="250"/>
      <c r="MW11" s="250"/>
      <c r="MX11" s="250"/>
      <c r="MY11" s="250"/>
      <c r="MZ11" s="250"/>
      <c r="NA11" s="250"/>
      <c r="NB11" s="250" t="s">
        <v>84</v>
      </c>
      <c r="NC11" s="250"/>
      <c r="ND11" s="250"/>
      <c r="NE11" s="250"/>
      <c r="NF11" s="250"/>
      <c r="NG11" s="250"/>
      <c r="NH11" s="250"/>
      <c r="NI11" s="250"/>
      <c r="NJ11" s="250"/>
      <c r="NK11" s="250"/>
      <c r="NL11" s="250"/>
      <c r="NM11" s="250"/>
      <c r="NN11" s="250"/>
      <c r="NO11" s="250"/>
      <c r="NP11" s="250"/>
      <c r="NQ11" s="250"/>
      <c r="NR11" s="250"/>
      <c r="NS11" s="250"/>
      <c r="NT11" s="250"/>
      <c r="NU11" s="250"/>
      <c r="NV11" s="250"/>
      <c r="NW11" s="250"/>
      <c r="NX11" s="250"/>
      <c r="NY11" s="250"/>
      <c r="NZ11" s="250"/>
      <c r="OA11" s="250"/>
      <c r="OB11" s="250"/>
      <c r="OC11" s="250"/>
      <c r="OD11" s="250"/>
      <c r="OE11" s="250"/>
      <c r="OF11" s="250"/>
      <c r="OG11" s="250"/>
      <c r="OH11" s="250"/>
      <c r="OI11" s="250"/>
      <c r="OJ11" s="250"/>
      <c r="OK11" s="250"/>
      <c r="OL11" s="250"/>
      <c r="OM11" s="250"/>
      <c r="ON11" s="250"/>
      <c r="OO11" s="250"/>
      <c r="OP11" s="250"/>
      <c r="OQ11" s="250"/>
      <c r="OR11" s="250"/>
      <c r="OS11" s="250"/>
      <c r="OT11" s="250"/>
      <c r="OU11" s="250"/>
      <c r="OV11" s="250"/>
      <c r="OW11" s="250"/>
      <c r="OX11" s="250"/>
      <c r="OY11" s="250"/>
      <c r="OZ11" s="250"/>
      <c r="PA11" s="250"/>
      <c r="PB11" s="250"/>
      <c r="PC11" s="250"/>
      <c r="PD11" s="250"/>
      <c r="PE11" s="250"/>
      <c r="PF11" s="250"/>
      <c r="PG11" s="250"/>
      <c r="PH11" s="250"/>
      <c r="PI11" s="250"/>
      <c r="PJ11" s="250" t="s">
        <v>84</v>
      </c>
      <c r="PK11" s="250"/>
      <c r="PL11" s="250"/>
      <c r="PM11" s="250"/>
      <c r="PN11" s="250"/>
      <c r="PO11" s="250"/>
      <c r="PP11" s="250"/>
      <c r="PQ11" s="250"/>
      <c r="PR11" s="250"/>
      <c r="PS11" s="250"/>
      <c r="PT11" s="250"/>
      <c r="PU11" s="250"/>
      <c r="PV11" s="250"/>
      <c r="PW11" s="250"/>
      <c r="PX11" s="250"/>
      <c r="PY11" s="250"/>
      <c r="PZ11" s="250"/>
      <c r="QA11" s="250"/>
      <c r="QB11" s="250"/>
      <c r="QC11" s="250"/>
      <c r="QD11" s="250"/>
      <c r="QE11" s="250"/>
      <c r="QF11" s="250"/>
      <c r="QG11" s="250"/>
      <c r="QH11" s="250"/>
      <c r="QI11" s="250"/>
      <c r="QJ11" s="250"/>
      <c r="QK11" s="250"/>
      <c r="QL11" s="250"/>
      <c r="QM11" s="250"/>
      <c r="QN11" s="250"/>
      <c r="QO11" s="250"/>
      <c r="QP11" s="250"/>
      <c r="QQ11" s="250"/>
      <c r="QR11" s="250"/>
      <c r="QS11" s="250"/>
      <c r="QT11" s="250"/>
      <c r="QU11" s="250"/>
      <c r="QV11" s="250"/>
      <c r="QW11" s="250"/>
      <c r="QX11" s="250"/>
      <c r="QY11" s="250"/>
      <c r="QZ11" s="250"/>
      <c r="RA11" s="250"/>
      <c r="RB11" s="250"/>
      <c r="RC11" s="250"/>
      <c r="RD11" s="250"/>
      <c r="RE11" s="250"/>
      <c r="RF11" s="250"/>
      <c r="RG11" s="250"/>
      <c r="RH11" s="250"/>
      <c r="RI11" s="250"/>
      <c r="RJ11" s="250"/>
      <c r="RK11" s="250"/>
      <c r="RL11" s="250"/>
      <c r="RM11" s="250"/>
      <c r="RN11" s="250"/>
      <c r="RO11" s="250"/>
      <c r="RP11" s="250"/>
      <c r="RQ11" s="250"/>
      <c r="RR11" s="250" t="s">
        <v>83</v>
      </c>
      <c r="RS11" s="250"/>
      <c r="RT11" s="250"/>
      <c r="RU11" s="250"/>
      <c r="RV11" s="250"/>
      <c r="RW11" s="250"/>
      <c r="RX11" s="250"/>
      <c r="RY11" s="250"/>
      <c r="RZ11" s="250"/>
      <c r="SA11" s="250"/>
      <c r="SB11" s="250"/>
      <c r="SC11" s="250"/>
      <c r="SD11" s="250"/>
      <c r="SE11" s="250"/>
      <c r="SF11" s="250"/>
      <c r="SG11" s="250"/>
      <c r="SH11" s="250"/>
      <c r="SI11" s="250"/>
      <c r="SJ11" s="250"/>
      <c r="SK11" s="250"/>
      <c r="SL11" s="250"/>
      <c r="SM11" s="250"/>
      <c r="SN11" s="250"/>
      <c r="SO11" s="250"/>
      <c r="SP11" s="250"/>
      <c r="SQ11" s="250"/>
      <c r="SR11" s="250"/>
      <c r="SS11" s="250"/>
      <c r="ST11" s="250"/>
      <c r="SU11" s="250"/>
      <c r="SV11" s="250"/>
      <c r="SW11" s="250"/>
      <c r="SX11" s="250"/>
      <c r="SY11" s="250"/>
      <c r="SZ11" s="250"/>
      <c r="TA11" s="250"/>
      <c r="TB11" s="250"/>
      <c r="TC11" s="250"/>
      <c r="TD11" s="250"/>
      <c r="TE11" s="250"/>
      <c r="TF11" s="250"/>
      <c r="TG11" s="250"/>
      <c r="TH11" s="250"/>
      <c r="TI11" s="250"/>
      <c r="TJ11" s="250"/>
      <c r="TK11" s="250"/>
      <c r="TL11" s="250"/>
      <c r="TM11" s="250"/>
      <c r="TN11" s="250"/>
      <c r="TO11" s="250"/>
      <c r="TP11" s="250"/>
      <c r="TQ11" s="250"/>
      <c r="TR11" s="250"/>
      <c r="TS11" s="250"/>
      <c r="TT11" s="250"/>
      <c r="TU11" s="250"/>
      <c r="TV11" s="250"/>
      <c r="TW11" s="250"/>
      <c r="TX11" s="250"/>
      <c r="TY11" s="250"/>
      <c r="TZ11" s="250" t="s">
        <v>82</v>
      </c>
      <c r="UA11" s="250"/>
      <c r="UB11" s="250"/>
      <c r="UC11" s="250"/>
      <c r="UD11" s="250"/>
      <c r="UE11" s="250"/>
      <c r="UF11" s="250"/>
      <c r="UG11" s="250"/>
      <c r="UH11" s="250"/>
      <c r="UI11" s="250"/>
      <c r="UJ11" s="250"/>
      <c r="UK11" s="250"/>
      <c r="UL11" s="250"/>
      <c r="UM11" s="250"/>
      <c r="UN11" s="250"/>
      <c r="UO11" s="250"/>
      <c r="UP11" s="250"/>
      <c r="UQ11" s="250"/>
      <c r="UR11" s="250"/>
      <c r="US11" s="250"/>
      <c r="UT11" s="250"/>
      <c r="UU11" s="250"/>
      <c r="UV11" s="250"/>
      <c r="UW11" s="250"/>
      <c r="UX11" s="250"/>
      <c r="UY11" s="250"/>
      <c r="UZ11" s="250"/>
      <c r="VA11" s="250"/>
      <c r="VB11" s="250"/>
      <c r="VC11" s="250"/>
      <c r="VD11" s="250"/>
      <c r="VE11" s="250"/>
      <c r="VF11" s="250"/>
      <c r="VG11" s="250"/>
      <c r="VH11" s="250"/>
      <c r="VI11" s="250"/>
      <c r="VJ11" s="250"/>
      <c r="VK11" s="250"/>
      <c r="VL11" s="250"/>
      <c r="VM11" s="250"/>
      <c r="VN11" s="250"/>
      <c r="VO11" s="250"/>
      <c r="VP11" s="250"/>
      <c r="VQ11" s="250"/>
      <c r="VR11" s="250"/>
      <c r="VS11" s="250"/>
      <c r="VT11" s="250"/>
      <c r="VU11" s="250"/>
      <c r="VV11" s="250"/>
      <c r="VW11" s="250"/>
      <c r="VX11" s="250"/>
      <c r="VY11" s="250"/>
      <c r="VZ11" s="250"/>
      <c r="WA11" s="250"/>
      <c r="WB11" s="250"/>
      <c r="WC11" s="250"/>
      <c r="WD11" s="250"/>
      <c r="WE11" s="250"/>
      <c r="WF11" s="250"/>
      <c r="WG11" s="250"/>
      <c r="WH11" s="250" t="s">
        <v>82</v>
      </c>
      <c r="WI11" s="250"/>
      <c r="WJ11" s="250"/>
      <c r="WK11" s="250"/>
      <c r="WL11" s="250"/>
      <c r="WM11" s="250"/>
      <c r="WN11" s="250"/>
      <c r="WO11" s="250"/>
      <c r="WP11" s="250"/>
      <c r="WQ11" s="250"/>
      <c r="WR11" s="250"/>
      <c r="WS11" s="250"/>
      <c r="WT11" s="250"/>
      <c r="WU11" s="250"/>
      <c r="WV11" s="250"/>
      <c r="WW11" s="250"/>
      <c r="WX11" s="250"/>
      <c r="WY11" s="250"/>
      <c r="WZ11" s="250"/>
      <c r="XA11" s="250"/>
      <c r="XB11" s="250"/>
      <c r="XC11" s="250"/>
      <c r="XD11" s="250"/>
      <c r="XE11" s="250"/>
      <c r="XF11" s="250"/>
      <c r="XG11" s="250"/>
      <c r="XH11" s="250"/>
      <c r="XI11" s="250"/>
      <c r="XJ11" s="250"/>
      <c r="XK11" s="250"/>
      <c r="XL11" s="250"/>
      <c r="XM11" s="250"/>
      <c r="XN11" s="250"/>
      <c r="XO11" s="250"/>
      <c r="XP11" s="250"/>
      <c r="XQ11" s="250"/>
      <c r="XR11" s="250"/>
      <c r="XS11" s="250"/>
      <c r="XT11" s="250"/>
      <c r="XU11" s="250"/>
      <c r="XV11" s="250"/>
      <c r="XW11" s="250"/>
      <c r="XX11" s="250"/>
      <c r="XY11" s="250"/>
      <c r="XZ11" s="250"/>
      <c r="YA11" s="250"/>
      <c r="YB11" s="250"/>
      <c r="YC11" s="250"/>
      <c r="YD11" s="250"/>
      <c r="YE11" s="250"/>
      <c r="YF11" s="250"/>
      <c r="YG11" s="250"/>
      <c r="YH11" s="250"/>
      <c r="YI11" s="250"/>
      <c r="YJ11" s="250"/>
      <c r="YK11" s="250"/>
      <c r="YL11" s="250"/>
      <c r="YM11" s="250"/>
      <c r="YN11" s="250"/>
      <c r="YO11" s="250"/>
      <c r="YP11" s="250" t="s">
        <v>81</v>
      </c>
      <c r="YQ11" s="250"/>
      <c r="YR11" s="250"/>
      <c r="YS11" s="250"/>
      <c r="YT11" s="250"/>
      <c r="YU11" s="250"/>
      <c r="YV11" s="250"/>
      <c r="YW11" s="250"/>
      <c r="YX11" s="250"/>
      <c r="YY11" s="250"/>
      <c r="YZ11" s="250"/>
      <c r="ZA11" s="250"/>
      <c r="ZB11" s="250"/>
      <c r="ZC11" s="250"/>
      <c r="ZD11" s="250"/>
      <c r="ZE11" s="250"/>
      <c r="ZF11" s="250"/>
      <c r="ZG11" s="250"/>
      <c r="ZH11" s="250"/>
      <c r="ZI11" s="250"/>
      <c r="ZJ11" s="250"/>
      <c r="ZK11" s="250"/>
      <c r="ZL11" s="250"/>
      <c r="ZM11" s="250"/>
      <c r="ZN11" s="250"/>
      <c r="ZO11" s="250"/>
      <c r="ZP11" s="250"/>
      <c r="ZQ11" s="250"/>
      <c r="ZR11" s="250"/>
      <c r="ZS11" s="250"/>
      <c r="ZT11" s="250"/>
      <c r="ZU11" s="250"/>
      <c r="ZV11" s="250"/>
      <c r="ZW11" s="250"/>
      <c r="ZX11" s="250"/>
      <c r="ZY11" s="250"/>
      <c r="ZZ11" s="250"/>
      <c r="AAA11" s="250"/>
      <c r="AAB11" s="250"/>
      <c r="AAC11" s="250"/>
      <c r="AAD11" s="250"/>
      <c r="AAE11" s="250"/>
      <c r="AAF11" s="250"/>
      <c r="AAG11" s="250"/>
      <c r="AAH11" s="250"/>
      <c r="AAI11" s="250"/>
      <c r="AAJ11" s="250"/>
      <c r="AAK11" s="250"/>
      <c r="AAL11" s="250"/>
      <c r="AAM11" s="250"/>
      <c r="AAN11" s="250"/>
      <c r="AAO11" s="250"/>
      <c r="AAP11" s="250"/>
      <c r="AAQ11" s="250"/>
      <c r="AAR11" s="250"/>
      <c r="AAS11" s="250"/>
      <c r="AAT11" s="250"/>
      <c r="AAU11" s="250"/>
      <c r="AAV11" s="250"/>
      <c r="AAW11" s="250"/>
      <c r="AAX11" s="250" t="s">
        <v>81</v>
      </c>
      <c r="AAY11" s="250"/>
      <c r="AAZ11" s="250"/>
      <c r="ABA11" s="250"/>
      <c r="ABB11" s="250"/>
      <c r="ABC11" s="250"/>
      <c r="ABD11" s="250"/>
      <c r="ABE11" s="250"/>
      <c r="ABF11" s="250"/>
      <c r="ABG11" s="250"/>
      <c r="ABH11" s="250"/>
      <c r="ABI11" s="250"/>
      <c r="ABJ11" s="250"/>
      <c r="ABK11" s="250"/>
      <c r="ABL11" s="250"/>
      <c r="ABM11" s="250"/>
      <c r="ABN11" s="250"/>
      <c r="ABO11" s="250"/>
      <c r="ABP11" s="250"/>
      <c r="ABQ11" s="250"/>
      <c r="ABR11" s="250"/>
      <c r="ABS11" s="250"/>
      <c r="ABT11" s="250"/>
      <c r="ABU11" s="250"/>
      <c r="ABV11" s="250"/>
      <c r="ABW11" s="250"/>
      <c r="ABX11" s="250"/>
      <c r="ABY11" s="250"/>
      <c r="ABZ11" s="250"/>
      <c r="ACA11" s="250"/>
      <c r="ACB11" s="250"/>
      <c r="ACC11" s="250"/>
      <c r="ACD11" s="250"/>
      <c r="ACE11" s="250"/>
      <c r="ACF11" s="250"/>
      <c r="ACG11" s="250"/>
      <c r="ACH11" s="250"/>
      <c r="ACI11" s="250"/>
      <c r="ACJ11" s="250"/>
      <c r="ACK11" s="250"/>
      <c r="ACL11" s="250"/>
      <c r="ACM11" s="250"/>
      <c r="ACN11" s="250"/>
      <c r="ACO11" s="250"/>
      <c r="ACP11" s="250"/>
      <c r="ACQ11" s="250"/>
      <c r="ACR11" s="250"/>
      <c r="ACS11" s="250"/>
      <c r="ACT11" s="250"/>
      <c r="ACU11" s="250"/>
      <c r="ACV11" s="250"/>
      <c r="ACW11" s="250"/>
      <c r="ACX11" s="250"/>
      <c r="ACY11" s="250"/>
      <c r="ACZ11" s="250"/>
      <c r="ADA11" s="250"/>
      <c r="ADB11" s="250"/>
      <c r="ADC11" s="250"/>
      <c r="ADD11" s="250"/>
      <c r="ADE11" s="250"/>
      <c r="ADF11" s="250" t="s">
        <v>80</v>
      </c>
      <c r="ADG11" s="250"/>
      <c r="ADH11" s="250"/>
      <c r="ADI11" s="250"/>
      <c r="ADJ11" s="250"/>
      <c r="ADK11" s="250"/>
      <c r="ADL11" s="250"/>
      <c r="ADM11" s="250"/>
      <c r="ADN11" s="250"/>
      <c r="ADO11" s="250"/>
      <c r="ADP11" s="250"/>
      <c r="ADQ11" s="250"/>
      <c r="ADR11" s="250"/>
      <c r="ADS11" s="250"/>
      <c r="ADT11" s="250"/>
      <c r="ADU11" s="250"/>
      <c r="ADV11" s="250"/>
      <c r="ADW11" s="250"/>
      <c r="ADX11" s="250"/>
      <c r="ADY11" s="250"/>
      <c r="ADZ11" s="250"/>
      <c r="AEA11" s="250"/>
      <c r="AEB11" s="250"/>
      <c r="AEC11" s="250"/>
      <c r="AED11" s="250"/>
      <c r="AEE11" s="250"/>
      <c r="AEF11" s="250"/>
      <c r="AEG11" s="250"/>
      <c r="AEH11" s="250"/>
      <c r="AEI11" s="250"/>
      <c r="AEJ11" s="250"/>
      <c r="AEK11" s="250"/>
      <c r="AEL11" s="250"/>
      <c r="AEM11" s="250"/>
      <c r="AEN11" s="250"/>
      <c r="AEO11" s="250"/>
      <c r="AEP11" s="250"/>
      <c r="AEQ11" s="250"/>
      <c r="AER11" s="250"/>
      <c r="AES11" s="250"/>
      <c r="AET11" s="250"/>
      <c r="AEU11" s="250"/>
      <c r="AEV11" s="250"/>
      <c r="AEW11" s="250"/>
      <c r="AEX11" s="250"/>
      <c r="AEY11" s="250"/>
      <c r="AEZ11" s="250"/>
      <c r="AFA11" s="250"/>
      <c r="AFB11" s="250"/>
      <c r="AFC11" s="250"/>
      <c r="AFD11" s="250"/>
      <c r="AFE11" s="250"/>
      <c r="AFF11" s="250"/>
      <c r="AFG11" s="250"/>
      <c r="AFH11" s="250"/>
      <c r="AFI11" s="250"/>
      <c r="AFJ11" s="250"/>
      <c r="AFK11" s="250"/>
      <c r="AFL11" s="250"/>
      <c r="AFM11" s="250"/>
      <c r="AFN11" s="250" t="s">
        <v>80</v>
      </c>
      <c r="AFO11" s="250"/>
      <c r="AFP11" s="250"/>
      <c r="AFQ11" s="250"/>
      <c r="AFR11" s="250"/>
      <c r="AFS11" s="250"/>
      <c r="AFT11" s="250"/>
      <c r="AFU11" s="250"/>
      <c r="AFV11" s="250"/>
      <c r="AFW11" s="250"/>
      <c r="AFX11" s="250"/>
      <c r="AFY11" s="250"/>
      <c r="AFZ11" s="250"/>
      <c r="AGA11" s="250"/>
      <c r="AGB11" s="250"/>
      <c r="AGC11" s="250"/>
      <c r="AGD11" s="250"/>
      <c r="AGE11" s="250"/>
      <c r="AGF11" s="250"/>
      <c r="AGG11" s="250"/>
      <c r="AGH11" s="250"/>
      <c r="AGI11" s="250"/>
      <c r="AGJ11" s="250"/>
      <c r="AGK11" s="250"/>
      <c r="AGL11" s="250"/>
      <c r="AGM11" s="250"/>
      <c r="AGN11" s="250"/>
      <c r="AGO11" s="250"/>
      <c r="AGP11" s="250"/>
      <c r="AGQ11" s="250"/>
      <c r="AGR11" s="250"/>
      <c r="AGS11" s="250"/>
      <c r="AGT11" s="250"/>
      <c r="AGU11" s="250"/>
      <c r="AGV11" s="250"/>
      <c r="AGW11" s="250"/>
      <c r="AGX11" s="250"/>
      <c r="AGY11" s="250"/>
      <c r="AGZ11" s="250"/>
      <c r="AHA11" s="250"/>
      <c r="AHB11" s="250"/>
      <c r="AHC11" s="250"/>
      <c r="AHD11" s="250"/>
      <c r="AHE11" s="250"/>
      <c r="AHF11" s="250"/>
      <c r="AHG11" s="250"/>
      <c r="AHH11" s="250"/>
      <c r="AHI11" s="250"/>
      <c r="AHJ11" s="250"/>
      <c r="AHK11" s="250"/>
      <c r="AHL11" s="250"/>
      <c r="AHM11" s="250"/>
      <c r="AHN11" s="250"/>
      <c r="AHO11" s="250"/>
      <c r="AHP11" s="250"/>
      <c r="AHQ11" s="250"/>
      <c r="AHR11" s="250"/>
      <c r="AHS11" s="250"/>
      <c r="AHT11" s="250"/>
      <c r="AHU11" s="250"/>
      <c r="AHV11" s="250" t="s">
        <v>79</v>
      </c>
      <c r="AHW11" s="250"/>
      <c r="AHX11" s="250"/>
      <c r="AHY11" s="250"/>
      <c r="AHZ11" s="250"/>
      <c r="AIA11" s="250"/>
      <c r="AIB11" s="250"/>
      <c r="AIC11" s="250"/>
      <c r="AID11" s="250"/>
      <c r="AIE11" s="250"/>
      <c r="AIF11" s="250"/>
      <c r="AIG11" s="250"/>
      <c r="AIH11" s="250"/>
      <c r="AII11" s="250"/>
      <c r="AIJ11" s="250"/>
      <c r="AIK11" s="250"/>
      <c r="AIL11" s="250"/>
      <c r="AIM11" s="250"/>
      <c r="AIN11" s="250"/>
      <c r="AIO11" s="250"/>
      <c r="AIP11" s="250"/>
      <c r="AIQ11" s="250"/>
      <c r="AIR11" s="250"/>
      <c r="AIS11" s="250"/>
      <c r="AIT11" s="250"/>
      <c r="AIU11" s="250"/>
      <c r="AIV11" s="250"/>
      <c r="AIW11" s="250"/>
      <c r="AIX11" s="250"/>
      <c r="AIY11" s="250"/>
      <c r="AIZ11" s="250"/>
      <c r="AJA11" s="250"/>
      <c r="AJB11" s="250"/>
      <c r="AJC11" s="250"/>
      <c r="AJD11" s="250"/>
      <c r="AJE11" s="250"/>
      <c r="AJF11" s="250"/>
      <c r="AJG11" s="250"/>
      <c r="AJH11" s="250"/>
      <c r="AJI11" s="250"/>
      <c r="AJJ11" s="250"/>
      <c r="AJK11" s="250"/>
      <c r="AJL11" s="250"/>
      <c r="AJM11" s="250"/>
      <c r="AJN11" s="250"/>
      <c r="AJO11" s="250"/>
      <c r="AJP11" s="250"/>
      <c r="AJQ11" s="250"/>
      <c r="AJR11" s="250"/>
      <c r="AJS11" s="250"/>
      <c r="AJT11" s="250"/>
      <c r="AJU11" s="250"/>
      <c r="AJV11" s="250"/>
      <c r="AJW11" s="250"/>
      <c r="AJX11" s="250"/>
      <c r="AJY11" s="250"/>
      <c r="AJZ11" s="250"/>
      <c r="AKA11" s="250"/>
      <c r="AKB11" s="250"/>
      <c r="AKC11" s="250"/>
      <c r="AKD11" s="250" t="s">
        <v>79</v>
      </c>
      <c r="AKE11" s="250"/>
      <c r="AKF11" s="250"/>
      <c r="AKG11" s="250"/>
      <c r="AKH11" s="250"/>
      <c r="AKI11" s="250"/>
      <c r="AKJ11" s="250"/>
      <c r="AKK11" s="250"/>
      <c r="AKL11" s="250"/>
      <c r="AKM11" s="250"/>
      <c r="AKN11" s="250"/>
      <c r="AKO11" s="250"/>
      <c r="AKP11" s="250"/>
      <c r="AKQ11" s="250"/>
      <c r="AKR11" s="250"/>
      <c r="AKS11" s="250"/>
      <c r="AKT11" s="250"/>
      <c r="AKU11" s="250"/>
      <c r="AKV11" s="250"/>
      <c r="AKW11" s="250"/>
      <c r="AKX11" s="250"/>
      <c r="AKY11" s="250"/>
      <c r="AKZ11" s="250"/>
      <c r="ALA11" s="250"/>
      <c r="ALB11" s="250"/>
      <c r="ALC11" s="250"/>
      <c r="ALD11" s="250"/>
      <c r="ALE11" s="250"/>
      <c r="ALF11" s="250"/>
      <c r="ALG11" s="250"/>
      <c r="ALH11" s="250"/>
      <c r="ALI11" s="250"/>
      <c r="ALJ11" s="250"/>
      <c r="ALK11" s="250"/>
      <c r="ALL11" s="250"/>
      <c r="ALM11" s="250"/>
      <c r="ALN11" s="250"/>
      <c r="ALO11" s="250"/>
      <c r="ALP11" s="250"/>
      <c r="ALQ11" s="250"/>
      <c r="ALR11" s="250"/>
      <c r="ALS11" s="250"/>
      <c r="ALT11" s="250"/>
      <c r="ALU11" s="250"/>
      <c r="ALV11" s="250"/>
      <c r="ALW11" s="250"/>
      <c r="ALX11" s="250"/>
      <c r="ALY11" s="250"/>
      <c r="ALZ11" s="250"/>
      <c r="AMA11" s="250"/>
      <c r="AMB11" s="250"/>
      <c r="AMC11" s="250"/>
      <c r="AMD11" s="250"/>
      <c r="AME11" s="250"/>
      <c r="AMF11" s="250"/>
      <c r="AMG11" s="250"/>
      <c r="AMH11" s="250"/>
      <c r="AMI11" s="250"/>
      <c r="AMJ11" s="250"/>
      <c r="AMK11" s="250"/>
      <c r="AML11" s="250" t="s">
        <v>78</v>
      </c>
      <c r="AMM11" s="250"/>
      <c r="AMN11" s="250"/>
      <c r="AMO11" s="250"/>
      <c r="AMP11" s="250"/>
      <c r="AMQ11" s="250"/>
      <c r="AMR11" s="250"/>
      <c r="AMS11" s="250"/>
      <c r="AMT11" s="250"/>
      <c r="AMU11" s="250"/>
      <c r="AMV11" s="250"/>
      <c r="AMW11" s="250"/>
      <c r="AMX11" s="250"/>
      <c r="AMY11" s="250"/>
      <c r="AMZ11" s="250"/>
      <c r="ANA11" s="250"/>
      <c r="ANB11" s="250"/>
      <c r="ANC11" s="250"/>
      <c r="AND11" s="250"/>
      <c r="ANE11" s="250"/>
      <c r="ANF11" s="250"/>
      <c r="ANG11" s="250"/>
      <c r="ANH11" s="250"/>
      <c r="ANI11" s="250"/>
      <c r="ANJ11" s="250"/>
      <c r="ANK11" s="250"/>
      <c r="ANL11" s="250"/>
      <c r="ANM11" s="250"/>
      <c r="ANN11" s="250"/>
      <c r="ANO11" s="250"/>
      <c r="ANP11" s="250"/>
      <c r="ANQ11" s="250"/>
      <c r="ANR11" s="250"/>
      <c r="ANS11" s="250"/>
      <c r="ANT11" s="250"/>
      <c r="ANU11" s="250"/>
      <c r="ANV11" s="250"/>
      <c r="ANW11" s="250"/>
      <c r="ANX11" s="250"/>
      <c r="ANY11" s="250"/>
      <c r="ANZ11" s="250"/>
      <c r="AOA11" s="250"/>
      <c r="AOB11" s="250"/>
      <c r="AOC11" s="250"/>
      <c r="AOD11" s="250"/>
      <c r="AOE11" s="250"/>
      <c r="AOF11" s="250"/>
      <c r="AOG11" s="250"/>
      <c r="AOH11" s="250"/>
      <c r="AOI11" s="250"/>
      <c r="AOJ11" s="250"/>
      <c r="AOK11" s="250"/>
      <c r="AOL11" s="250"/>
      <c r="AOM11" s="250"/>
      <c r="AON11" s="250"/>
      <c r="AOO11" s="250"/>
      <c r="AOP11" s="250"/>
      <c r="AOQ11" s="250"/>
      <c r="AOR11" s="250"/>
      <c r="AOS11" s="250"/>
      <c r="AOT11" s="250" t="s">
        <v>77</v>
      </c>
      <c r="AOU11" s="250"/>
      <c r="AOV11" s="250"/>
      <c r="AOW11" s="250"/>
      <c r="AOX11" s="250"/>
      <c r="AOY11" s="250"/>
      <c r="AOZ11" s="250"/>
      <c r="APA11" s="250"/>
      <c r="APB11" s="250"/>
      <c r="APC11" s="250"/>
      <c r="APD11" s="250"/>
      <c r="APE11" s="250"/>
      <c r="APF11" s="250"/>
      <c r="APG11" s="250"/>
      <c r="APH11" s="250"/>
      <c r="API11" s="250"/>
      <c r="APJ11" s="250"/>
      <c r="APK11" s="250"/>
      <c r="APL11" s="250"/>
      <c r="APM11" s="250"/>
      <c r="APN11" s="250"/>
      <c r="APO11" s="250"/>
      <c r="APP11" s="250"/>
      <c r="APQ11" s="250"/>
      <c r="APR11" s="250"/>
      <c r="APS11" s="250"/>
      <c r="APT11" s="250"/>
      <c r="APU11" s="250"/>
      <c r="APV11" s="250"/>
      <c r="APW11" s="250"/>
      <c r="APX11" s="250"/>
      <c r="APY11" s="250"/>
      <c r="APZ11" s="250"/>
      <c r="AQA11" s="250"/>
      <c r="AQB11" s="250"/>
      <c r="AQC11" s="250"/>
      <c r="AQD11" s="250"/>
      <c r="AQE11" s="250"/>
      <c r="AQF11" s="250"/>
      <c r="AQG11" s="250"/>
      <c r="AQH11" s="250"/>
      <c r="AQI11" s="250"/>
      <c r="AQJ11" s="250"/>
      <c r="AQK11" s="250"/>
      <c r="AQL11" s="250"/>
      <c r="AQM11" s="250"/>
      <c r="AQN11" s="250"/>
      <c r="AQO11" s="250"/>
      <c r="AQP11" s="250"/>
      <c r="AQQ11" s="250"/>
      <c r="AQR11" s="250"/>
      <c r="AQS11" s="250"/>
      <c r="AQT11" s="250"/>
      <c r="AQU11" s="250"/>
      <c r="AQV11" s="250"/>
      <c r="AQW11" s="250"/>
      <c r="AQX11" s="250"/>
      <c r="AQY11" s="250"/>
      <c r="AQZ11" s="250"/>
      <c r="ARA11" s="250"/>
      <c r="ARB11" s="250" t="s">
        <v>77</v>
      </c>
      <c r="ARC11" s="250"/>
      <c r="ARD11" s="250"/>
      <c r="ARE11" s="250"/>
      <c r="ARF11" s="250"/>
      <c r="ARG11" s="250"/>
      <c r="ARH11" s="250"/>
      <c r="ARI11" s="250"/>
      <c r="ARJ11" s="250"/>
      <c r="ARK11" s="250"/>
      <c r="ARL11" s="250"/>
      <c r="ARM11" s="250"/>
      <c r="ARN11" s="250"/>
      <c r="ARO11" s="250"/>
      <c r="ARP11" s="250"/>
      <c r="ARQ11" s="250"/>
      <c r="ARR11" s="250"/>
      <c r="ARS11" s="250"/>
      <c r="ART11" s="250"/>
      <c r="ARU11" s="250"/>
      <c r="ARV11" s="250"/>
      <c r="ARW11" s="250"/>
      <c r="ARX11" s="250"/>
      <c r="ARY11" s="250"/>
      <c r="ARZ11" s="250"/>
      <c r="ASA11" s="250"/>
      <c r="ASB11" s="250"/>
      <c r="ASC11" s="250"/>
      <c r="ASD11" s="250"/>
      <c r="ASE11" s="250"/>
      <c r="ASF11" s="250"/>
      <c r="ASG11" s="250"/>
      <c r="ASH11" s="250"/>
      <c r="ASI11" s="250"/>
      <c r="ASJ11" s="250"/>
      <c r="ASK11" s="250"/>
      <c r="ASL11" s="250"/>
      <c r="ASM11" s="250"/>
      <c r="ASN11" s="250"/>
      <c r="ASO11" s="250"/>
      <c r="ASP11" s="250"/>
      <c r="ASQ11" s="250"/>
      <c r="ASR11" s="250"/>
      <c r="ASS11" s="250"/>
      <c r="AST11" s="250"/>
      <c r="ASU11" s="250"/>
      <c r="ASV11" s="250"/>
      <c r="ASW11" s="250"/>
      <c r="ASX11" s="250"/>
      <c r="ASY11" s="250"/>
      <c r="ASZ11" s="250"/>
      <c r="ATA11" s="250"/>
      <c r="ATB11" s="250"/>
      <c r="ATC11" s="250"/>
      <c r="ATD11" s="250"/>
      <c r="ATE11" s="250"/>
      <c r="ATF11" s="250"/>
      <c r="ATG11" s="250"/>
      <c r="ATH11" s="250"/>
      <c r="ATI11" s="250"/>
      <c r="ATJ11" s="250" t="s">
        <v>76</v>
      </c>
      <c r="ATK11" s="250"/>
      <c r="ATL11" s="250"/>
      <c r="ATM11" s="250"/>
      <c r="ATN11" s="250"/>
      <c r="ATO11" s="250"/>
      <c r="ATP11" s="250"/>
      <c r="ATQ11" s="250"/>
      <c r="ATR11" s="250"/>
      <c r="ATS11" s="250"/>
      <c r="ATT11" s="250"/>
      <c r="ATU11" s="250"/>
      <c r="ATV11" s="250"/>
      <c r="ATW11" s="250"/>
      <c r="ATX11" s="250"/>
      <c r="ATY11" s="250"/>
      <c r="ATZ11" s="250"/>
      <c r="AUA11" s="250"/>
      <c r="AUB11" s="250"/>
      <c r="AUC11" s="250"/>
      <c r="AUD11" s="250"/>
      <c r="AUE11" s="250"/>
      <c r="AUF11" s="250"/>
      <c r="AUG11" s="250"/>
      <c r="AUH11" s="250"/>
      <c r="AUI11" s="250"/>
      <c r="AUJ11" s="250"/>
      <c r="AUK11" s="250"/>
      <c r="AUL11" s="250"/>
      <c r="AUM11" s="250"/>
      <c r="AUN11" s="250"/>
      <c r="AUO11" s="250"/>
      <c r="AUP11" s="250"/>
      <c r="AUQ11" s="250"/>
      <c r="AUR11" s="250"/>
      <c r="AUS11" s="250"/>
      <c r="AUT11" s="250"/>
      <c r="AUU11" s="250"/>
      <c r="AUV11" s="250"/>
      <c r="AUW11" s="250"/>
      <c r="AUX11" s="250"/>
      <c r="AUY11" s="250"/>
      <c r="AUZ11" s="250"/>
      <c r="AVA11" s="250"/>
      <c r="AVB11" s="250"/>
      <c r="AVC11" s="250"/>
      <c r="AVD11" s="250"/>
      <c r="AVE11" s="250"/>
      <c r="AVF11" s="250"/>
      <c r="AVG11" s="250"/>
      <c r="AVH11" s="250"/>
      <c r="AVI11" s="250"/>
      <c r="AVJ11" s="250"/>
      <c r="AVK11" s="250"/>
      <c r="AVL11" s="250"/>
      <c r="AVM11" s="250"/>
      <c r="AVN11" s="250"/>
      <c r="AVO11" s="250"/>
      <c r="AVP11" s="250"/>
      <c r="AVQ11" s="250"/>
      <c r="AVR11" s="250" t="s">
        <v>75</v>
      </c>
      <c r="AVS11" s="250"/>
      <c r="AVT11" s="250"/>
      <c r="AVU11" s="250"/>
      <c r="AVV11" s="250"/>
      <c r="AVW11" s="250"/>
      <c r="AVX11" s="250"/>
      <c r="AVY11" s="250"/>
      <c r="AVZ11" s="250"/>
      <c r="AWA11" s="250"/>
      <c r="AWB11" s="250"/>
      <c r="AWC11" s="250"/>
      <c r="AWD11" s="250"/>
      <c r="AWE11" s="250"/>
      <c r="AWF11" s="250"/>
      <c r="AWG11" s="250"/>
      <c r="AWH11" s="250"/>
      <c r="AWI11" s="250"/>
      <c r="AWJ11" s="250"/>
      <c r="AWK11" s="250"/>
      <c r="AWL11" s="250"/>
      <c r="AWM11" s="250"/>
      <c r="AWN11" s="250"/>
      <c r="AWO11" s="250"/>
      <c r="AWP11" s="250"/>
      <c r="AWQ11" s="250"/>
      <c r="AWR11" s="250"/>
      <c r="AWS11" s="250"/>
      <c r="AWT11" s="250"/>
      <c r="AWU11" s="250"/>
      <c r="AWV11" s="250"/>
      <c r="AWW11" s="250"/>
      <c r="AWX11" s="250"/>
      <c r="AWY11" s="250"/>
      <c r="AWZ11" s="250"/>
      <c r="AXA11" s="250"/>
      <c r="AXB11" s="250"/>
      <c r="AXC11" s="250"/>
      <c r="AXD11" s="250"/>
      <c r="AXE11" s="250"/>
      <c r="AXF11" s="250"/>
      <c r="AXG11" s="250"/>
      <c r="AXH11" s="250"/>
      <c r="AXI11" s="250"/>
      <c r="AXJ11" s="250"/>
      <c r="AXK11" s="250"/>
      <c r="AXL11" s="250"/>
      <c r="AXM11" s="250"/>
      <c r="AXN11" s="250"/>
      <c r="AXO11" s="250"/>
      <c r="AXP11" s="250"/>
      <c r="AXQ11" s="250"/>
      <c r="AXR11" s="250"/>
      <c r="AXS11" s="250"/>
      <c r="AXT11" s="250"/>
      <c r="AXU11" s="250"/>
      <c r="AXV11" s="250"/>
      <c r="AXW11" s="250"/>
      <c r="AXX11" s="250"/>
      <c r="AXY11" s="250"/>
      <c r="AXZ11" s="250" t="s">
        <v>75</v>
      </c>
      <c r="AYA11" s="250"/>
      <c r="AYB11" s="250"/>
      <c r="AYC11" s="250"/>
      <c r="AYD11" s="250"/>
      <c r="AYE11" s="250"/>
      <c r="AYF11" s="250"/>
      <c r="AYG11" s="250"/>
      <c r="AYH11" s="250"/>
      <c r="AYI11" s="250"/>
      <c r="AYJ11" s="250"/>
      <c r="AYK11" s="250"/>
      <c r="AYL11" s="250"/>
      <c r="AYM11" s="250"/>
      <c r="AYN11" s="250"/>
      <c r="AYO11" s="250"/>
      <c r="AYP11" s="250"/>
      <c r="AYQ11" s="250"/>
      <c r="AYR11" s="250"/>
      <c r="AYS11" s="250"/>
      <c r="AYT11" s="250"/>
      <c r="AYU11" s="250"/>
      <c r="AYV11" s="250"/>
      <c r="AYW11" s="250"/>
      <c r="AYX11" s="250"/>
      <c r="AYY11" s="250"/>
      <c r="AYZ11" s="250"/>
      <c r="AZA11" s="250"/>
      <c r="AZB11" s="250"/>
      <c r="AZC11" s="250"/>
      <c r="AZD11" s="250"/>
      <c r="AZE11" s="250"/>
      <c r="AZF11" s="250"/>
      <c r="AZG11" s="250"/>
      <c r="AZH11" s="250"/>
      <c r="AZI11" s="250"/>
      <c r="AZJ11" s="250"/>
      <c r="AZK11" s="250"/>
      <c r="AZL11" s="250"/>
      <c r="AZM11" s="250"/>
      <c r="AZN11" s="250"/>
      <c r="AZO11" s="250"/>
      <c r="AZP11" s="250"/>
      <c r="AZQ11" s="250"/>
      <c r="AZR11" s="250"/>
      <c r="AZS11" s="250"/>
      <c r="AZT11" s="250"/>
      <c r="AZU11" s="250"/>
      <c r="AZV11" s="250"/>
      <c r="AZW11" s="250"/>
      <c r="AZX11" s="250"/>
      <c r="AZY11" s="250"/>
      <c r="AZZ11" s="250"/>
      <c r="BAA11" s="250"/>
      <c r="BAB11" s="250"/>
      <c r="BAC11" s="250"/>
      <c r="BAD11" s="250"/>
      <c r="BAE11" s="250"/>
      <c r="BAF11" s="250"/>
      <c r="BAG11" s="250"/>
      <c r="BAH11" s="250" t="s">
        <v>74</v>
      </c>
      <c r="BAI11" s="250"/>
      <c r="BAJ11" s="250"/>
      <c r="BAK11" s="250"/>
      <c r="BAL11" s="250"/>
      <c r="BAM11" s="250"/>
      <c r="BAN11" s="250"/>
      <c r="BAO11" s="250"/>
      <c r="BAP11" s="250"/>
      <c r="BAQ11" s="250"/>
      <c r="BAR11" s="250"/>
      <c r="BAS11" s="250"/>
      <c r="BAT11" s="250"/>
      <c r="BAU11" s="250"/>
      <c r="BAV11" s="250"/>
      <c r="BAW11" s="250"/>
      <c r="BAX11" s="250"/>
      <c r="BAY11" s="250"/>
      <c r="BAZ11" s="250"/>
      <c r="BBA11" s="250"/>
      <c r="BBB11" s="250"/>
      <c r="BBC11" s="250"/>
      <c r="BBD11" s="250"/>
      <c r="BBE11" s="250"/>
      <c r="BBF11" s="250"/>
      <c r="BBG11" s="250"/>
      <c r="BBH11" s="250"/>
      <c r="BBI11" s="250"/>
      <c r="BBJ11" s="250"/>
      <c r="BBK11" s="250"/>
      <c r="BBL11" s="250"/>
      <c r="BBM11" s="250"/>
      <c r="BBN11" s="250"/>
      <c r="BBO11" s="250"/>
      <c r="BBP11" s="250"/>
      <c r="BBQ11" s="250"/>
      <c r="BBR11" s="250"/>
      <c r="BBS11" s="250"/>
      <c r="BBT11" s="250"/>
      <c r="BBU11" s="250"/>
      <c r="BBV11" s="250"/>
      <c r="BBW11" s="250"/>
      <c r="BBX11" s="250"/>
      <c r="BBY11" s="250"/>
      <c r="BBZ11" s="250"/>
      <c r="BCA11" s="250"/>
      <c r="BCB11" s="250"/>
      <c r="BCC11" s="250"/>
      <c r="BCD11" s="250"/>
      <c r="BCE11" s="250"/>
      <c r="BCF11" s="250"/>
      <c r="BCG11" s="250"/>
      <c r="BCH11" s="250"/>
      <c r="BCI11" s="250"/>
      <c r="BCJ11" s="250"/>
      <c r="BCK11" s="250"/>
      <c r="BCL11" s="250"/>
      <c r="BCM11" s="250"/>
      <c r="BCN11" s="250"/>
      <c r="BCO11" s="250"/>
      <c r="BCP11" s="250" t="s">
        <v>74</v>
      </c>
      <c r="BCQ11" s="250"/>
      <c r="BCR11" s="250"/>
      <c r="BCS11" s="250"/>
      <c r="BCT11" s="250"/>
      <c r="BCU11" s="250"/>
      <c r="BCV11" s="250"/>
      <c r="BCW11" s="250"/>
      <c r="BCX11" s="250"/>
      <c r="BCY11" s="250"/>
      <c r="BCZ11" s="250"/>
      <c r="BDA11" s="250"/>
      <c r="BDB11" s="250"/>
      <c r="BDC11" s="250"/>
      <c r="BDD11" s="250"/>
      <c r="BDE11" s="250"/>
      <c r="BDF11" s="250"/>
      <c r="BDG11" s="250"/>
      <c r="BDH11" s="250"/>
      <c r="BDI11" s="250"/>
      <c r="BDJ11" s="250"/>
      <c r="BDK11" s="250"/>
      <c r="BDL11" s="250"/>
      <c r="BDM11" s="250"/>
      <c r="BDN11" s="250"/>
      <c r="BDO11" s="250"/>
      <c r="BDP11" s="250"/>
      <c r="BDQ11" s="250"/>
      <c r="BDR11" s="250"/>
      <c r="BDS11" s="250"/>
      <c r="BDT11" s="250"/>
      <c r="BDU11" s="250"/>
      <c r="BDV11" s="250"/>
      <c r="BDW11" s="250"/>
      <c r="BDX11" s="250"/>
      <c r="BDY11" s="250"/>
      <c r="BDZ11" s="250"/>
      <c r="BEA11" s="250"/>
      <c r="BEB11" s="250"/>
      <c r="BEC11" s="250"/>
      <c r="BED11" s="250"/>
      <c r="BEE11" s="250"/>
      <c r="BEF11" s="250"/>
      <c r="BEG11" s="250"/>
      <c r="BEH11" s="250"/>
      <c r="BEI11" s="250"/>
      <c r="BEJ11" s="250"/>
      <c r="BEK11" s="250"/>
      <c r="BEL11" s="250"/>
      <c r="BEM11" s="250"/>
      <c r="BEN11" s="250"/>
      <c r="BEO11" s="250"/>
      <c r="BEP11" s="250"/>
      <c r="BEQ11" s="250"/>
      <c r="BER11" s="250"/>
      <c r="BES11" s="250"/>
      <c r="BET11" s="250"/>
      <c r="BEU11" s="250"/>
      <c r="BEV11" s="250"/>
      <c r="BEW11" s="250"/>
      <c r="BEX11" s="250" t="s">
        <v>86</v>
      </c>
      <c r="BEY11" s="250"/>
      <c r="BEZ11" s="250"/>
      <c r="BFA11" s="250"/>
      <c r="BFB11" s="250"/>
      <c r="BFC11" s="250"/>
      <c r="BFD11" s="250"/>
      <c r="BFE11" s="250"/>
      <c r="BFF11" s="250"/>
      <c r="BFG11" s="250"/>
      <c r="BFH11" s="250"/>
      <c r="BFI11" s="250"/>
      <c r="BFJ11" s="250"/>
      <c r="BFK11" s="250"/>
      <c r="BFL11" s="250"/>
      <c r="BFM11" s="250"/>
      <c r="BFN11" s="250"/>
      <c r="BFO11" s="250"/>
      <c r="BFP11" s="250"/>
      <c r="BFQ11" s="250"/>
      <c r="BFR11" s="250"/>
      <c r="BFS11" s="250"/>
      <c r="BFT11" s="250"/>
      <c r="BFU11" s="250"/>
      <c r="BFV11" s="250"/>
      <c r="BFW11" s="250"/>
      <c r="BFX11" s="250"/>
      <c r="BFY11" s="250"/>
      <c r="BFZ11" s="250"/>
      <c r="BGA11" s="250"/>
      <c r="BGB11" s="250"/>
      <c r="BGC11" s="250"/>
      <c r="BGD11" s="250"/>
      <c r="BGE11" s="250"/>
      <c r="BGF11" s="250"/>
      <c r="BGG11" s="250"/>
      <c r="BGH11" s="250"/>
      <c r="BGI11" s="250"/>
      <c r="BGJ11" s="250"/>
      <c r="BGK11" s="250"/>
      <c r="BGL11" s="250"/>
      <c r="BGM11" s="250"/>
      <c r="BGN11" s="250"/>
      <c r="BGO11" s="250"/>
      <c r="BGP11" s="250"/>
      <c r="BGQ11" s="250"/>
      <c r="BGR11" s="250"/>
      <c r="BGS11" s="250"/>
      <c r="BGT11" s="250"/>
      <c r="BGU11" s="250"/>
      <c r="BGV11" s="250"/>
      <c r="BGW11" s="250"/>
      <c r="BGX11" s="250"/>
      <c r="BGY11" s="250"/>
      <c r="BGZ11" s="250"/>
      <c r="BHA11" s="250"/>
      <c r="BHB11" s="250"/>
      <c r="BHC11" s="250"/>
      <c r="BHD11" s="250"/>
      <c r="BHE11" s="250"/>
      <c r="BHF11" s="90"/>
      <c r="BJN11" s="3" t="s">
        <v>41</v>
      </c>
      <c r="BLV11" s="3" t="s">
        <v>41</v>
      </c>
      <c r="BOD11" s="3" t="s">
        <v>41</v>
      </c>
      <c r="BQL11" s="3" t="s">
        <v>41</v>
      </c>
      <c r="BST11" s="3" t="s">
        <v>41</v>
      </c>
    </row>
    <row r="12" spans="1:1866" ht="15.75" customHeight="1" thickBot="1" x14ac:dyDescent="0.3">
      <c r="B12" s="97"/>
      <c r="C12" s="254"/>
      <c r="D12" s="254"/>
      <c r="E12" s="254"/>
      <c r="F12" s="237" t="s">
        <v>43</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44</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51" t="s">
        <v>43</v>
      </c>
      <c r="DW12" s="251"/>
      <c r="DX12" s="251"/>
      <c r="DY12" s="251"/>
      <c r="DZ12" s="251"/>
      <c r="EA12" s="251"/>
      <c r="EB12" s="251"/>
      <c r="EC12" s="251"/>
      <c r="ED12" s="251"/>
      <c r="EE12" s="251"/>
      <c r="EF12" s="251"/>
      <c r="EG12" s="251"/>
      <c r="EH12" s="251"/>
      <c r="EI12" s="251"/>
      <c r="EJ12" s="251"/>
      <c r="EK12" s="251"/>
      <c r="EL12" s="251"/>
      <c r="EM12" s="251"/>
      <c r="EN12" s="251"/>
      <c r="EO12" s="251"/>
      <c r="EP12" s="251"/>
      <c r="EQ12" s="251"/>
      <c r="ER12" s="251"/>
      <c r="ES12" s="251"/>
      <c r="ET12" s="251"/>
      <c r="EU12" s="251"/>
      <c r="EV12" s="251"/>
      <c r="EW12" s="251"/>
      <c r="EX12" s="251"/>
      <c r="EY12" s="251"/>
      <c r="EZ12" s="251"/>
      <c r="FA12" s="251"/>
      <c r="FB12" s="251"/>
      <c r="FC12" s="251"/>
      <c r="FD12" s="251"/>
      <c r="FE12" s="251"/>
      <c r="FF12" s="251"/>
      <c r="FG12" s="251"/>
      <c r="FH12" s="251"/>
      <c r="FI12" s="251"/>
      <c r="FJ12" s="251"/>
      <c r="FK12" s="251"/>
      <c r="FL12" s="251"/>
      <c r="FM12" s="251"/>
      <c r="FN12" s="251"/>
      <c r="FO12" s="251"/>
      <c r="FP12" s="251"/>
      <c r="FQ12" s="251"/>
      <c r="FR12" s="251"/>
      <c r="FS12" s="251"/>
      <c r="FT12" s="251"/>
      <c r="FU12" s="251"/>
      <c r="FV12" s="251"/>
      <c r="FW12" s="251"/>
      <c r="FX12" s="251"/>
      <c r="FY12" s="251"/>
      <c r="FZ12" s="251"/>
      <c r="GA12" s="251"/>
      <c r="GB12" s="251"/>
      <c r="GC12" s="251"/>
      <c r="GD12" s="251" t="s">
        <v>44</v>
      </c>
      <c r="GE12" s="251"/>
      <c r="GF12" s="251"/>
      <c r="GG12" s="251"/>
      <c r="GH12" s="251"/>
      <c r="GI12" s="251"/>
      <c r="GJ12" s="251"/>
      <c r="GK12" s="251"/>
      <c r="GL12" s="251"/>
      <c r="GM12" s="251"/>
      <c r="GN12" s="251"/>
      <c r="GO12" s="251"/>
      <c r="GP12" s="251"/>
      <c r="GQ12" s="251"/>
      <c r="GR12" s="251"/>
      <c r="GS12" s="251"/>
      <c r="GT12" s="251"/>
      <c r="GU12" s="251"/>
      <c r="GV12" s="251"/>
      <c r="GW12" s="251"/>
      <c r="GX12" s="251"/>
      <c r="GY12" s="251"/>
      <c r="GZ12" s="251"/>
      <c r="HA12" s="251"/>
      <c r="HB12" s="251"/>
      <c r="HC12" s="251"/>
      <c r="HD12" s="251"/>
      <c r="HE12" s="251"/>
      <c r="HF12" s="251"/>
      <c r="HG12" s="251"/>
      <c r="HH12" s="251"/>
      <c r="HI12" s="251"/>
      <c r="HJ12" s="251"/>
      <c r="HK12" s="251"/>
      <c r="HL12" s="251"/>
      <c r="HM12" s="251"/>
      <c r="HN12" s="251"/>
      <c r="HO12" s="251"/>
      <c r="HP12" s="251"/>
      <c r="HQ12" s="251"/>
      <c r="HR12" s="251"/>
      <c r="HS12" s="251"/>
      <c r="HT12" s="251"/>
      <c r="HU12" s="251"/>
      <c r="HV12" s="251"/>
      <c r="HW12" s="251"/>
      <c r="HX12" s="251"/>
      <c r="HY12" s="251"/>
      <c r="HZ12" s="251"/>
      <c r="IA12" s="251"/>
      <c r="IB12" s="251"/>
      <c r="IC12" s="251"/>
      <c r="ID12" s="251"/>
      <c r="IE12" s="251"/>
      <c r="IF12" s="251"/>
      <c r="IG12" s="251"/>
      <c r="IH12" s="251"/>
      <c r="II12" s="251"/>
      <c r="IJ12" s="251"/>
      <c r="IK12" s="251"/>
      <c r="IL12" s="251" t="s">
        <v>43</v>
      </c>
      <c r="IM12" s="251"/>
      <c r="IN12" s="251"/>
      <c r="IO12" s="251"/>
      <c r="IP12" s="251"/>
      <c r="IQ12" s="251"/>
      <c r="IR12" s="251"/>
      <c r="IS12" s="251"/>
      <c r="IT12" s="251"/>
      <c r="IU12" s="251"/>
      <c r="IV12" s="251"/>
      <c r="IW12" s="251"/>
      <c r="IX12" s="251"/>
      <c r="IY12" s="251"/>
      <c r="IZ12" s="251"/>
      <c r="JA12" s="251"/>
      <c r="JB12" s="251"/>
      <c r="JC12" s="251"/>
      <c r="JD12" s="251"/>
      <c r="JE12" s="251"/>
      <c r="JF12" s="251"/>
      <c r="JG12" s="251"/>
      <c r="JH12" s="251"/>
      <c r="JI12" s="251"/>
      <c r="JJ12" s="251"/>
      <c r="JK12" s="251"/>
      <c r="JL12" s="251"/>
      <c r="JM12" s="251"/>
      <c r="JN12" s="251"/>
      <c r="JO12" s="251"/>
      <c r="JP12" s="251"/>
      <c r="JQ12" s="251"/>
      <c r="JR12" s="251"/>
      <c r="JS12" s="251"/>
      <c r="JT12" s="251"/>
      <c r="JU12" s="251"/>
      <c r="JV12" s="251"/>
      <c r="JW12" s="251"/>
      <c r="JX12" s="251"/>
      <c r="JY12" s="251"/>
      <c r="JZ12" s="251"/>
      <c r="KA12" s="251"/>
      <c r="KB12" s="251"/>
      <c r="KC12" s="251"/>
      <c r="KD12" s="251"/>
      <c r="KE12" s="251"/>
      <c r="KF12" s="251"/>
      <c r="KG12" s="251"/>
      <c r="KH12" s="251"/>
      <c r="KI12" s="251"/>
      <c r="KJ12" s="251"/>
      <c r="KK12" s="251"/>
      <c r="KL12" s="251"/>
      <c r="KM12" s="251"/>
      <c r="KN12" s="251"/>
      <c r="KO12" s="251"/>
      <c r="KP12" s="251"/>
      <c r="KQ12" s="251"/>
      <c r="KR12" s="251"/>
      <c r="KS12" s="251"/>
      <c r="KT12" s="251" t="s">
        <v>44</v>
      </c>
      <c r="KU12" s="251"/>
      <c r="KV12" s="251"/>
      <c r="KW12" s="251"/>
      <c r="KX12" s="251"/>
      <c r="KY12" s="251"/>
      <c r="KZ12" s="251"/>
      <c r="LA12" s="251"/>
      <c r="LB12" s="251"/>
      <c r="LC12" s="251"/>
      <c r="LD12" s="251"/>
      <c r="LE12" s="251"/>
      <c r="LF12" s="251"/>
      <c r="LG12" s="251"/>
      <c r="LH12" s="251"/>
      <c r="LI12" s="251"/>
      <c r="LJ12" s="251"/>
      <c r="LK12" s="251"/>
      <c r="LL12" s="251"/>
      <c r="LM12" s="251"/>
      <c r="LN12" s="251"/>
      <c r="LO12" s="251"/>
      <c r="LP12" s="251"/>
      <c r="LQ12" s="251"/>
      <c r="LR12" s="251"/>
      <c r="LS12" s="251"/>
      <c r="LT12" s="251"/>
      <c r="LU12" s="251"/>
      <c r="LV12" s="251"/>
      <c r="LW12" s="251"/>
      <c r="LX12" s="251"/>
      <c r="LY12" s="251"/>
      <c r="LZ12" s="251"/>
      <c r="MA12" s="251"/>
      <c r="MB12" s="251"/>
      <c r="MC12" s="251"/>
      <c r="MD12" s="251"/>
      <c r="ME12" s="251"/>
      <c r="MF12" s="251"/>
      <c r="MG12" s="251"/>
      <c r="MH12" s="251"/>
      <c r="MI12" s="251"/>
      <c r="MJ12" s="251"/>
      <c r="MK12" s="251"/>
      <c r="ML12" s="251"/>
      <c r="MM12" s="251"/>
      <c r="MN12" s="251"/>
      <c r="MO12" s="251"/>
      <c r="MP12" s="251"/>
      <c r="MQ12" s="251"/>
      <c r="MR12" s="251"/>
      <c r="MS12" s="251"/>
      <c r="MT12" s="251"/>
      <c r="MU12" s="251"/>
      <c r="MV12" s="251"/>
      <c r="MW12" s="251"/>
      <c r="MX12" s="251"/>
      <c r="MY12" s="251"/>
      <c r="MZ12" s="251"/>
      <c r="NA12" s="251"/>
      <c r="NB12" s="251" t="s">
        <v>44</v>
      </c>
      <c r="NC12" s="251"/>
      <c r="ND12" s="251"/>
      <c r="NE12" s="251"/>
      <c r="NF12" s="251"/>
      <c r="NG12" s="251"/>
      <c r="NH12" s="251"/>
      <c r="NI12" s="251"/>
      <c r="NJ12" s="251"/>
      <c r="NK12" s="251"/>
      <c r="NL12" s="251"/>
      <c r="NM12" s="251"/>
      <c r="NN12" s="251"/>
      <c r="NO12" s="251"/>
      <c r="NP12" s="251"/>
      <c r="NQ12" s="251"/>
      <c r="NR12" s="251"/>
      <c r="NS12" s="251"/>
      <c r="NT12" s="251"/>
      <c r="NU12" s="251"/>
      <c r="NV12" s="251"/>
      <c r="NW12" s="251"/>
      <c r="NX12" s="251"/>
      <c r="NY12" s="251"/>
      <c r="NZ12" s="251"/>
      <c r="OA12" s="251"/>
      <c r="OB12" s="251"/>
      <c r="OC12" s="251"/>
      <c r="OD12" s="251"/>
      <c r="OE12" s="251"/>
      <c r="OF12" s="251"/>
      <c r="OG12" s="251"/>
      <c r="OH12" s="251"/>
      <c r="OI12" s="251"/>
      <c r="OJ12" s="251"/>
      <c r="OK12" s="251"/>
      <c r="OL12" s="251"/>
      <c r="OM12" s="251"/>
      <c r="ON12" s="251"/>
      <c r="OO12" s="251"/>
      <c r="OP12" s="251"/>
      <c r="OQ12" s="251"/>
      <c r="OR12" s="251"/>
      <c r="OS12" s="251"/>
      <c r="OT12" s="251"/>
      <c r="OU12" s="251"/>
      <c r="OV12" s="251"/>
      <c r="OW12" s="251"/>
      <c r="OX12" s="251"/>
      <c r="OY12" s="251"/>
      <c r="OZ12" s="251"/>
      <c r="PA12" s="251"/>
      <c r="PB12" s="251"/>
      <c r="PC12" s="251"/>
      <c r="PD12" s="251"/>
      <c r="PE12" s="251"/>
      <c r="PF12" s="251"/>
      <c r="PG12" s="251"/>
      <c r="PH12" s="251"/>
      <c r="PI12" s="251"/>
      <c r="PJ12" s="251" t="s">
        <v>43</v>
      </c>
      <c r="PK12" s="251"/>
      <c r="PL12" s="251"/>
      <c r="PM12" s="251"/>
      <c r="PN12" s="251"/>
      <c r="PO12" s="251"/>
      <c r="PP12" s="251"/>
      <c r="PQ12" s="251"/>
      <c r="PR12" s="251"/>
      <c r="PS12" s="251"/>
      <c r="PT12" s="251"/>
      <c r="PU12" s="251"/>
      <c r="PV12" s="251"/>
      <c r="PW12" s="251"/>
      <c r="PX12" s="251"/>
      <c r="PY12" s="251"/>
      <c r="PZ12" s="251"/>
      <c r="QA12" s="251"/>
      <c r="QB12" s="251"/>
      <c r="QC12" s="251"/>
      <c r="QD12" s="251"/>
      <c r="QE12" s="251"/>
      <c r="QF12" s="251"/>
      <c r="QG12" s="251"/>
      <c r="QH12" s="251"/>
      <c r="QI12" s="251"/>
      <c r="QJ12" s="251"/>
      <c r="QK12" s="251"/>
      <c r="QL12" s="251"/>
      <c r="QM12" s="251"/>
      <c r="QN12" s="251"/>
      <c r="QO12" s="251"/>
      <c r="QP12" s="251"/>
      <c r="QQ12" s="251"/>
      <c r="QR12" s="251"/>
      <c r="QS12" s="251"/>
      <c r="QT12" s="251"/>
      <c r="QU12" s="251"/>
      <c r="QV12" s="251"/>
      <c r="QW12" s="251"/>
      <c r="QX12" s="251"/>
      <c r="QY12" s="251"/>
      <c r="QZ12" s="251"/>
      <c r="RA12" s="251"/>
      <c r="RB12" s="251"/>
      <c r="RC12" s="251"/>
      <c r="RD12" s="251"/>
      <c r="RE12" s="251"/>
      <c r="RF12" s="251"/>
      <c r="RG12" s="251"/>
      <c r="RH12" s="251"/>
      <c r="RI12" s="251"/>
      <c r="RJ12" s="251"/>
      <c r="RK12" s="251"/>
      <c r="RL12" s="251"/>
      <c r="RM12" s="251"/>
      <c r="RN12" s="251"/>
      <c r="RO12" s="251"/>
      <c r="RP12" s="251"/>
      <c r="RQ12" s="251"/>
      <c r="RR12" s="251" t="s">
        <v>44</v>
      </c>
      <c r="RS12" s="251"/>
      <c r="RT12" s="251"/>
      <c r="RU12" s="251"/>
      <c r="RV12" s="251"/>
      <c r="RW12" s="251"/>
      <c r="RX12" s="251"/>
      <c r="RY12" s="251"/>
      <c r="RZ12" s="251"/>
      <c r="SA12" s="251"/>
      <c r="SB12" s="251"/>
      <c r="SC12" s="251"/>
      <c r="SD12" s="251"/>
      <c r="SE12" s="251"/>
      <c r="SF12" s="251"/>
      <c r="SG12" s="251"/>
      <c r="SH12" s="251"/>
      <c r="SI12" s="251"/>
      <c r="SJ12" s="251"/>
      <c r="SK12" s="251"/>
      <c r="SL12" s="251"/>
      <c r="SM12" s="251"/>
      <c r="SN12" s="251"/>
      <c r="SO12" s="251"/>
      <c r="SP12" s="251"/>
      <c r="SQ12" s="251"/>
      <c r="SR12" s="251"/>
      <c r="SS12" s="251"/>
      <c r="ST12" s="251"/>
      <c r="SU12" s="251"/>
      <c r="SV12" s="251"/>
      <c r="SW12" s="251"/>
      <c r="SX12" s="251"/>
      <c r="SY12" s="251"/>
      <c r="SZ12" s="251"/>
      <c r="TA12" s="251"/>
      <c r="TB12" s="251"/>
      <c r="TC12" s="251"/>
      <c r="TD12" s="251"/>
      <c r="TE12" s="251"/>
      <c r="TF12" s="251"/>
      <c r="TG12" s="251"/>
      <c r="TH12" s="251"/>
      <c r="TI12" s="251"/>
      <c r="TJ12" s="251"/>
      <c r="TK12" s="251"/>
      <c r="TL12" s="251"/>
      <c r="TM12" s="251"/>
      <c r="TN12" s="251"/>
      <c r="TO12" s="251"/>
      <c r="TP12" s="251"/>
      <c r="TQ12" s="251"/>
      <c r="TR12" s="251"/>
      <c r="TS12" s="251"/>
      <c r="TT12" s="251"/>
      <c r="TU12" s="251"/>
      <c r="TV12" s="251"/>
      <c r="TW12" s="251"/>
      <c r="TX12" s="251"/>
      <c r="TY12" s="251"/>
      <c r="TZ12" s="251" t="s">
        <v>44</v>
      </c>
      <c r="UA12" s="251"/>
      <c r="UB12" s="251"/>
      <c r="UC12" s="251"/>
      <c r="UD12" s="251"/>
      <c r="UE12" s="251"/>
      <c r="UF12" s="251"/>
      <c r="UG12" s="251"/>
      <c r="UH12" s="251"/>
      <c r="UI12" s="251"/>
      <c r="UJ12" s="251"/>
      <c r="UK12" s="251"/>
      <c r="UL12" s="251"/>
      <c r="UM12" s="251"/>
      <c r="UN12" s="251"/>
      <c r="UO12" s="251"/>
      <c r="UP12" s="251"/>
      <c r="UQ12" s="251"/>
      <c r="UR12" s="251"/>
      <c r="US12" s="251"/>
      <c r="UT12" s="251"/>
      <c r="UU12" s="251"/>
      <c r="UV12" s="251"/>
      <c r="UW12" s="251"/>
      <c r="UX12" s="251"/>
      <c r="UY12" s="251"/>
      <c r="UZ12" s="251"/>
      <c r="VA12" s="251"/>
      <c r="VB12" s="251"/>
      <c r="VC12" s="251"/>
      <c r="VD12" s="251"/>
      <c r="VE12" s="251"/>
      <c r="VF12" s="251"/>
      <c r="VG12" s="251"/>
      <c r="VH12" s="251"/>
      <c r="VI12" s="251"/>
      <c r="VJ12" s="251"/>
      <c r="VK12" s="251"/>
      <c r="VL12" s="251"/>
      <c r="VM12" s="251"/>
      <c r="VN12" s="251"/>
      <c r="VO12" s="251"/>
      <c r="VP12" s="251"/>
      <c r="VQ12" s="251"/>
      <c r="VR12" s="251"/>
      <c r="VS12" s="251"/>
      <c r="VT12" s="251"/>
      <c r="VU12" s="251"/>
      <c r="VV12" s="251"/>
      <c r="VW12" s="251"/>
      <c r="VX12" s="251"/>
      <c r="VY12" s="251"/>
      <c r="VZ12" s="251"/>
      <c r="WA12" s="251"/>
      <c r="WB12" s="251"/>
      <c r="WC12" s="251"/>
      <c r="WD12" s="251"/>
      <c r="WE12" s="251"/>
      <c r="WF12" s="251"/>
      <c r="WG12" s="251"/>
      <c r="WH12" s="251" t="s">
        <v>43</v>
      </c>
      <c r="WI12" s="251"/>
      <c r="WJ12" s="251"/>
      <c r="WK12" s="251"/>
      <c r="WL12" s="251"/>
      <c r="WM12" s="251"/>
      <c r="WN12" s="251"/>
      <c r="WO12" s="251"/>
      <c r="WP12" s="251"/>
      <c r="WQ12" s="251"/>
      <c r="WR12" s="251"/>
      <c r="WS12" s="251"/>
      <c r="WT12" s="251"/>
      <c r="WU12" s="251"/>
      <c r="WV12" s="251"/>
      <c r="WW12" s="251"/>
      <c r="WX12" s="251"/>
      <c r="WY12" s="251"/>
      <c r="WZ12" s="251"/>
      <c r="XA12" s="251"/>
      <c r="XB12" s="251"/>
      <c r="XC12" s="251"/>
      <c r="XD12" s="251"/>
      <c r="XE12" s="251"/>
      <c r="XF12" s="251"/>
      <c r="XG12" s="251"/>
      <c r="XH12" s="251"/>
      <c r="XI12" s="251"/>
      <c r="XJ12" s="251"/>
      <c r="XK12" s="251"/>
      <c r="XL12" s="251"/>
      <c r="XM12" s="251"/>
      <c r="XN12" s="251"/>
      <c r="XO12" s="251"/>
      <c r="XP12" s="251"/>
      <c r="XQ12" s="251"/>
      <c r="XR12" s="251"/>
      <c r="XS12" s="251"/>
      <c r="XT12" s="251"/>
      <c r="XU12" s="251"/>
      <c r="XV12" s="251"/>
      <c r="XW12" s="251"/>
      <c r="XX12" s="251"/>
      <c r="XY12" s="251"/>
      <c r="XZ12" s="251"/>
      <c r="YA12" s="251"/>
      <c r="YB12" s="251"/>
      <c r="YC12" s="251"/>
      <c r="YD12" s="251"/>
      <c r="YE12" s="251"/>
      <c r="YF12" s="251"/>
      <c r="YG12" s="251"/>
      <c r="YH12" s="251"/>
      <c r="YI12" s="251"/>
      <c r="YJ12" s="251"/>
      <c r="YK12" s="251"/>
      <c r="YL12" s="251"/>
      <c r="YM12" s="251"/>
      <c r="YN12" s="251"/>
      <c r="YO12" s="251"/>
      <c r="YP12" s="251" t="s">
        <v>44</v>
      </c>
      <c r="YQ12" s="251"/>
      <c r="YR12" s="251"/>
      <c r="YS12" s="251"/>
      <c r="YT12" s="251"/>
      <c r="YU12" s="251"/>
      <c r="YV12" s="251"/>
      <c r="YW12" s="251"/>
      <c r="YX12" s="251"/>
      <c r="YY12" s="251"/>
      <c r="YZ12" s="251"/>
      <c r="ZA12" s="251"/>
      <c r="ZB12" s="251"/>
      <c r="ZC12" s="251"/>
      <c r="ZD12" s="251"/>
      <c r="ZE12" s="251"/>
      <c r="ZF12" s="251"/>
      <c r="ZG12" s="251"/>
      <c r="ZH12" s="251"/>
      <c r="ZI12" s="251"/>
      <c r="ZJ12" s="251"/>
      <c r="ZK12" s="251"/>
      <c r="ZL12" s="251"/>
      <c r="ZM12" s="251"/>
      <c r="ZN12" s="251"/>
      <c r="ZO12" s="251"/>
      <c r="ZP12" s="251"/>
      <c r="ZQ12" s="251"/>
      <c r="ZR12" s="251"/>
      <c r="ZS12" s="251"/>
      <c r="ZT12" s="251"/>
      <c r="ZU12" s="251"/>
      <c r="ZV12" s="251"/>
      <c r="ZW12" s="251"/>
      <c r="ZX12" s="251"/>
      <c r="ZY12" s="251"/>
      <c r="ZZ12" s="251"/>
      <c r="AAA12" s="251"/>
      <c r="AAB12" s="251"/>
      <c r="AAC12" s="251"/>
      <c r="AAD12" s="251"/>
      <c r="AAE12" s="251"/>
      <c r="AAF12" s="251"/>
      <c r="AAG12" s="251"/>
      <c r="AAH12" s="251"/>
      <c r="AAI12" s="251"/>
      <c r="AAJ12" s="251"/>
      <c r="AAK12" s="251"/>
      <c r="AAL12" s="251"/>
      <c r="AAM12" s="251"/>
      <c r="AAN12" s="251"/>
      <c r="AAO12" s="251"/>
      <c r="AAP12" s="251"/>
      <c r="AAQ12" s="251"/>
      <c r="AAR12" s="251"/>
      <c r="AAS12" s="251"/>
      <c r="AAT12" s="251"/>
      <c r="AAU12" s="251"/>
      <c r="AAV12" s="251"/>
      <c r="AAW12" s="251"/>
      <c r="AAX12" s="251" t="s">
        <v>43</v>
      </c>
      <c r="AAY12" s="251"/>
      <c r="AAZ12" s="251"/>
      <c r="ABA12" s="251"/>
      <c r="ABB12" s="251"/>
      <c r="ABC12" s="251"/>
      <c r="ABD12" s="251"/>
      <c r="ABE12" s="251"/>
      <c r="ABF12" s="251"/>
      <c r="ABG12" s="251"/>
      <c r="ABH12" s="251"/>
      <c r="ABI12" s="251"/>
      <c r="ABJ12" s="251"/>
      <c r="ABK12" s="251"/>
      <c r="ABL12" s="251"/>
      <c r="ABM12" s="251"/>
      <c r="ABN12" s="251"/>
      <c r="ABO12" s="251"/>
      <c r="ABP12" s="251"/>
      <c r="ABQ12" s="251"/>
      <c r="ABR12" s="251"/>
      <c r="ABS12" s="251"/>
      <c r="ABT12" s="251"/>
      <c r="ABU12" s="251"/>
      <c r="ABV12" s="251"/>
      <c r="ABW12" s="251"/>
      <c r="ABX12" s="251"/>
      <c r="ABY12" s="251"/>
      <c r="ABZ12" s="251"/>
      <c r="ACA12" s="251"/>
      <c r="ACB12" s="251"/>
      <c r="ACC12" s="251"/>
      <c r="ACD12" s="251"/>
      <c r="ACE12" s="251"/>
      <c r="ACF12" s="251"/>
      <c r="ACG12" s="251"/>
      <c r="ACH12" s="251"/>
      <c r="ACI12" s="251"/>
      <c r="ACJ12" s="251"/>
      <c r="ACK12" s="251"/>
      <c r="ACL12" s="251"/>
      <c r="ACM12" s="251"/>
      <c r="ACN12" s="251"/>
      <c r="ACO12" s="251"/>
      <c r="ACP12" s="251"/>
      <c r="ACQ12" s="251"/>
      <c r="ACR12" s="251"/>
      <c r="ACS12" s="251"/>
      <c r="ACT12" s="251"/>
      <c r="ACU12" s="251"/>
      <c r="ACV12" s="251"/>
      <c r="ACW12" s="251"/>
      <c r="ACX12" s="251"/>
      <c r="ACY12" s="251"/>
      <c r="ACZ12" s="251"/>
      <c r="ADA12" s="251"/>
      <c r="ADB12" s="251"/>
      <c r="ADC12" s="251"/>
      <c r="ADD12" s="251"/>
      <c r="ADE12" s="251"/>
      <c r="ADF12" s="251" t="s">
        <v>44</v>
      </c>
      <c r="ADG12" s="251"/>
      <c r="ADH12" s="251"/>
      <c r="ADI12" s="251"/>
      <c r="ADJ12" s="251"/>
      <c r="ADK12" s="251"/>
      <c r="ADL12" s="251"/>
      <c r="ADM12" s="251"/>
      <c r="ADN12" s="251"/>
      <c r="ADO12" s="251"/>
      <c r="ADP12" s="251"/>
      <c r="ADQ12" s="251"/>
      <c r="ADR12" s="251"/>
      <c r="ADS12" s="251"/>
      <c r="ADT12" s="251"/>
      <c r="ADU12" s="251"/>
      <c r="ADV12" s="251"/>
      <c r="ADW12" s="251"/>
      <c r="ADX12" s="251"/>
      <c r="ADY12" s="251"/>
      <c r="ADZ12" s="251"/>
      <c r="AEA12" s="251"/>
      <c r="AEB12" s="251"/>
      <c r="AEC12" s="251"/>
      <c r="AED12" s="251"/>
      <c r="AEE12" s="251"/>
      <c r="AEF12" s="251"/>
      <c r="AEG12" s="251"/>
      <c r="AEH12" s="251"/>
      <c r="AEI12" s="251"/>
      <c r="AEJ12" s="251"/>
      <c r="AEK12" s="251"/>
      <c r="AEL12" s="251"/>
      <c r="AEM12" s="251"/>
      <c r="AEN12" s="251"/>
      <c r="AEO12" s="251"/>
      <c r="AEP12" s="251"/>
      <c r="AEQ12" s="251"/>
      <c r="AER12" s="251"/>
      <c r="AES12" s="251"/>
      <c r="AET12" s="251"/>
      <c r="AEU12" s="251"/>
      <c r="AEV12" s="251"/>
      <c r="AEW12" s="251"/>
      <c r="AEX12" s="251"/>
      <c r="AEY12" s="251"/>
      <c r="AEZ12" s="251"/>
      <c r="AFA12" s="251"/>
      <c r="AFB12" s="251"/>
      <c r="AFC12" s="251"/>
      <c r="AFD12" s="251"/>
      <c r="AFE12" s="251"/>
      <c r="AFF12" s="251"/>
      <c r="AFG12" s="251"/>
      <c r="AFH12" s="251"/>
      <c r="AFI12" s="251"/>
      <c r="AFJ12" s="251"/>
      <c r="AFK12" s="251"/>
      <c r="AFL12" s="251"/>
      <c r="AFM12" s="251"/>
      <c r="AFN12" s="251" t="s">
        <v>43</v>
      </c>
      <c r="AFO12" s="251"/>
      <c r="AFP12" s="251"/>
      <c r="AFQ12" s="251"/>
      <c r="AFR12" s="251"/>
      <c r="AFS12" s="251"/>
      <c r="AFT12" s="251"/>
      <c r="AFU12" s="251"/>
      <c r="AFV12" s="251"/>
      <c r="AFW12" s="251"/>
      <c r="AFX12" s="251"/>
      <c r="AFY12" s="251"/>
      <c r="AFZ12" s="251"/>
      <c r="AGA12" s="251"/>
      <c r="AGB12" s="251"/>
      <c r="AGC12" s="251"/>
      <c r="AGD12" s="251"/>
      <c r="AGE12" s="251"/>
      <c r="AGF12" s="251"/>
      <c r="AGG12" s="251"/>
      <c r="AGH12" s="251"/>
      <c r="AGI12" s="251"/>
      <c r="AGJ12" s="251"/>
      <c r="AGK12" s="251"/>
      <c r="AGL12" s="251"/>
      <c r="AGM12" s="251"/>
      <c r="AGN12" s="251"/>
      <c r="AGO12" s="251"/>
      <c r="AGP12" s="251"/>
      <c r="AGQ12" s="251"/>
      <c r="AGR12" s="251"/>
      <c r="AGS12" s="251"/>
      <c r="AGT12" s="251"/>
      <c r="AGU12" s="251"/>
      <c r="AGV12" s="251"/>
      <c r="AGW12" s="251"/>
      <c r="AGX12" s="251"/>
      <c r="AGY12" s="251"/>
      <c r="AGZ12" s="251"/>
      <c r="AHA12" s="251"/>
      <c r="AHB12" s="251"/>
      <c r="AHC12" s="251"/>
      <c r="AHD12" s="251"/>
      <c r="AHE12" s="251"/>
      <c r="AHF12" s="251"/>
      <c r="AHG12" s="251"/>
      <c r="AHH12" s="251"/>
      <c r="AHI12" s="251"/>
      <c r="AHJ12" s="251"/>
      <c r="AHK12" s="251"/>
      <c r="AHL12" s="251"/>
      <c r="AHM12" s="251"/>
      <c r="AHN12" s="251"/>
      <c r="AHO12" s="251"/>
      <c r="AHP12" s="251"/>
      <c r="AHQ12" s="251"/>
      <c r="AHR12" s="251"/>
      <c r="AHS12" s="251"/>
      <c r="AHT12" s="251"/>
      <c r="AHU12" s="251"/>
      <c r="AHV12" s="251" t="s">
        <v>44</v>
      </c>
      <c r="AHW12" s="251"/>
      <c r="AHX12" s="251"/>
      <c r="AHY12" s="251"/>
      <c r="AHZ12" s="251"/>
      <c r="AIA12" s="251"/>
      <c r="AIB12" s="251"/>
      <c r="AIC12" s="251"/>
      <c r="AID12" s="251"/>
      <c r="AIE12" s="251"/>
      <c r="AIF12" s="251"/>
      <c r="AIG12" s="251"/>
      <c r="AIH12" s="251"/>
      <c r="AII12" s="251"/>
      <c r="AIJ12" s="251"/>
      <c r="AIK12" s="251"/>
      <c r="AIL12" s="251"/>
      <c r="AIM12" s="251"/>
      <c r="AIN12" s="251"/>
      <c r="AIO12" s="251"/>
      <c r="AIP12" s="251"/>
      <c r="AIQ12" s="251"/>
      <c r="AIR12" s="251"/>
      <c r="AIS12" s="251"/>
      <c r="AIT12" s="251"/>
      <c r="AIU12" s="251"/>
      <c r="AIV12" s="251"/>
      <c r="AIW12" s="251"/>
      <c r="AIX12" s="251"/>
      <c r="AIY12" s="251"/>
      <c r="AIZ12" s="251"/>
      <c r="AJA12" s="251"/>
      <c r="AJB12" s="251"/>
      <c r="AJC12" s="251"/>
      <c r="AJD12" s="251"/>
      <c r="AJE12" s="251"/>
      <c r="AJF12" s="251"/>
      <c r="AJG12" s="251"/>
      <c r="AJH12" s="251"/>
      <c r="AJI12" s="251"/>
      <c r="AJJ12" s="251"/>
      <c r="AJK12" s="251"/>
      <c r="AJL12" s="251"/>
      <c r="AJM12" s="251"/>
      <c r="AJN12" s="251"/>
      <c r="AJO12" s="251"/>
      <c r="AJP12" s="251"/>
      <c r="AJQ12" s="251"/>
      <c r="AJR12" s="251"/>
      <c r="AJS12" s="251"/>
      <c r="AJT12" s="251"/>
      <c r="AJU12" s="251"/>
      <c r="AJV12" s="251"/>
      <c r="AJW12" s="251"/>
      <c r="AJX12" s="251"/>
      <c r="AJY12" s="251"/>
      <c r="AJZ12" s="251"/>
      <c r="AKA12" s="251"/>
      <c r="AKB12" s="251"/>
      <c r="AKC12" s="251"/>
      <c r="AKD12" s="251" t="s">
        <v>43</v>
      </c>
      <c r="AKE12" s="251"/>
      <c r="AKF12" s="251"/>
      <c r="AKG12" s="251"/>
      <c r="AKH12" s="251"/>
      <c r="AKI12" s="251"/>
      <c r="AKJ12" s="251"/>
      <c r="AKK12" s="251"/>
      <c r="AKL12" s="251"/>
      <c r="AKM12" s="251"/>
      <c r="AKN12" s="251"/>
      <c r="AKO12" s="251"/>
      <c r="AKP12" s="251"/>
      <c r="AKQ12" s="251"/>
      <c r="AKR12" s="251"/>
      <c r="AKS12" s="251"/>
      <c r="AKT12" s="251"/>
      <c r="AKU12" s="251"/>
      <c r="AKV12" s="251"/>
      <c r="AKW12" s="251"/>
      <c r="AKX12" s="251"/>
      <c r="AKY12" s="251"/>
      <c r="AKZ12" s="251"/>
      <c r="ALA12" s="251"/>
      <c r="ALB12" s="251"/>
      <c r="ALC12" s="251"/>
      <c r="ALD12" s="251"/>
      <c r="ALE12" s="251"/>
      <c r="ALF12" s="251"/>
      <c r="ALG12" s="251"/>
      <c r="ALH12" s="251"/>
      <c r="ALI12" s="251"/>
      <c r="ALJ12" s="251"/>
      <c r="ALK12" s="251"/>
      <c r="ALL12" s="251"/>
      <c r="ALM12" s="251"/>
      <c r="ALN12" s="251"/>
      <c r="ALO12" s="251"/>
      <c r="ALP12" s="251"/>
      <c r="ALQ12" s="251"/>
      <c r="ALR12" s="251"/>
      <c r="ALS12" s="251"/>
      <c r="ALT12" s="251"/>
      <c r="ALU12" s="251"/>
      <c r="ALV12" s="251"/>
      <c r="ALW12" s="251"/>
      <c r="ALX12" s="251"/>
      <c r="ALY12" s="251"/>
      <c r="ALZ12" s="251"/>
      <c r="AMA12" s="251"/>
      <c r="AMB12" s="251"/>
      <c r="AMC12" s="251"/>
      <c r="AMD12" s="251"/>
      <c r="AME12" s="251"/>
      <c r="AMF12" s="251"/>
      <c r="AMG12" s="251"/>
      <c r="AMH12" s="251"/>
      <c r="AMI12" s="251"/>
      <c r="AMJ12" s="251"/>
      <c r="AMK12" s="251"/>
      <c r="AML12" s="251" t="s">
        <v>44</v>
      </c>
      <c r="AMM12" s="251"/>
      <c r="AMN12" s="251"/>
      <c r="AMO12" s="251"/>
      <c r="AMP12" s="251"/>
      <c r="AMQ12" s="251"/>
      <c r="AMR12" s="251"/>
      <c r="AMS12" s="251"/>
      <c r="AMT12" s="251"/>
      <c r="AMU12" s="251"/>
      <c r="AMV12" s="251"/>
      <c r="AMW12" s="251"/>
      <c r="AMX12" s="251"/>
      <c r="AMY12" s="251"/>
      <c r="AMZ12" s="251"/>
      <c r="ANA12" s="251"/>
      <c r="ANB12" s="251"/>
      <c r="ANC12" s="251"/>
      <c r="AND12" s="251"/>
      <c r="ANE12" s="251"/>
      <c r="ANF12" s="251"/>
      <c r="ANG12" s="251"/>
      <c r="ANH12" s="251"/>
      <c r="ANI12" s="251"/>
      <c r="ANJ12" s="251"/>
      <c r="ANK12" s="251"/>
      <c r="ANL12" s="251"/>
      <c r="ANM12" s="251"/>
      <c r="ANN12" s="251"/>
      <c r="ANO12" s="251"/>
      <c r="ANP12" s="251"/>
      <c r="ANQ12" s="251"/>
      <c r="ANR12" s="251"/>
      <c r="ANS12" s="251"/>
      <c r="ANT12" s="251"/>
      <c r="ANU12" s="251"/>
      <c r="ANV12" s="251"/>
      <c r="ANW12" s="251"/>
      <c r="ANX12" s="251"/>
      <c r="ANY12" s="251"/>
      <c r="ANZ12" s="251"/>
      <c r="AOA12" s="251"/>
      <c r="AOB12" s="251"/>
      <c r="AOC12" s="251"/>
      <c r="AOD12" s="251"/>
      <c r="AOE12" s="251"/>
      <c r="AOF12" s="251"/>
      <c r="AOG12" s="251"/>
      <c r="AOH12" s="251"/>
      <c r="AOI12" s="251"/>
      <c r="AOJ12" s="251"/>
      <c r="AOK12" s="251"/>
      <c r="AOL12" s="251"/>
      <c r="AOM12" s="251"/>
      <c r="AON12" s="251"/>
      <c r="AOO12" s="251"/>
      <c r="AOP12" s="251"/>
      <c r="AOQ12" s="251"/>
      <c r="AOR12" s="251"/>
      <c r="AOS12" s="251"/>
      <c r="AOT12" s="251" t="s">
        <v>44</v>
      </c>
      <c r="AOU12" s="251"/>
      <c r="AOV12" s="251"/>
      <c r="AOW12" s="251"/>
      <c r="AOX12" s="251"/>
      <c r="AOY12" s="251"/>
      <c r="AOZ12" s="251"/>
      <c r="APA12" s="251"/>
      <c r="APB12" s="251"/>
      <c r="APC12" s="251"/>
      <c r="APD12" s="251"/>
      <c r="APE12" s="251"/>
      <c r="APF12" s="251"/>
      <c r="APG12" s="251"/>
      <c r="APH12" s="251"/>
      <c r="API12" s="251"/>
      <c r="APJ12" s="251"/>
      <c r="APK12" s="251"/>
      <c r="APL12" s="251"/>
      <c r="APM12" s="251"/>
      <c r="APN12" s="251"/>
      <c r="APO12" s="251"/>
      <c r="APP12" s="251"/>
      <c r="APQ12" s="251"/>
      <c r="APR12" s="251"/>
      <c r="APS12" s="251"/>
      <c r="APT12" s="251"/>
      <c r="APU12" s="251"/>
      <c r="APV12" s="251"/>
      <c r="APW12" s="251"/>
      <c r="APX12" s="251"/>
      <c r="APY12" s="251"/>
      <c r="APZ12" s="251"/>
      <c r="AQA12" s="251"/>
      <c r="AQB12" s="251"/>
      <c r="AQC12" s="251"/>
      <c r="AQD12" s="251"/>
      <c r="AQE12" s="251"/>
      <c r="AQF12" s="251"/>
      <c r="AQG12" s="251"/>
      <c r="AQH12" s="251"/>
      <c r="AQI12" s="251"/>
      <c r="AQJ12" s="251"/>
      <c r="AQK12" s="251"/>
      <c r="AQL12" s="251"/>
      <c r="AQM12" s="251"/>
      <c r="AQN12" s="251"/>
      <c r="AQO12" s="251"/>
      <c r="AQP12" s="251"/>
      <c r="AQQ12" s="251"/>
      <c r="AQR12" s="251"/>
      <c r="AQS12" s="251"/>
      <c r="AQT12" s="251"/>
      <c r="AQU12" s="251"/>
      <c r="AQV12" s="251"/>
      <c r="AQW12" s="251"/>
      <c r="AQX12" s="251"/>
      <c r="AQY12" s="251"/>
      <c r="AQZ12" s="251"/>
      <c r="ARA12" s="251"/>
      <c r="ARB12" s="251" t="s">
        <v>43</v>
      </c>
      <c r="ARC12" s="251"/>
      <c r="ARD12" s="251"/>
      <c r="ARE12" s="251"/>
      <c r="ARF12" s="251"/>
      <c r="ARG12" s="251"/>
      <c r="ARH12" s="251"/>
      <c r="ARI12" s="251"/>
      <c r="ARJ12" s="251"/>
      <c r="ARK12" s="251"/>
      <c r="ARL12" s="251"/>
      <c r="ARM12" s="251"/>
      <c r="ARN12" s="251"/>
      <c r="ARO12" s="251"/>
      <c r="ARP12" s="251"/>
      <c r="ARQ12" s="251"/>
      <c r="ARR12" s="251"/>
      <c r="ARS12" s="251"/>
      <c r="ART12" s="251"/>
      <c r="ARU12" s="251"/>
      <c r="ARV12" s="251"/>
      <c r="ARW12" s="251"/>
      <c r="ARX12" s="251"/>
      <c r="ARY12" s="251"/>
      <c r="ARZ12" s="251"/>
      <c r="ASA12" s="251"/>
      <c r="ASB12" s="251"/>
      <c r="ASC12" s="251"/>
      <c r="ASD12" s="251"/>
      <c r="ASE12" s="251"/>
      <c r="ASF12" s="251"/>
      <c r="ASG12" s="251"/>
      <c r="ASH12" s="251"/>
      <c r="ASI12" s="251"/>
      <c r="ASJ12" s="251"/>
      <c r="ASK12" s="251"/>
      <c r="ASL12" s="251"/>
      <c r="ASM12" s="251"/>
      <c r="ASN12" s="251"/>
      <c r="ASO12" s="251"/>
      <c r="ASP12" s="251"/>
      <c r="ASQ12" s="251"/>
      <c r="ASR12" s="251"/>
      <c r="ASS12" s="251"/>
      <c r="AST12" s="251"/>
      <c r="ASU12" s="251"/>
      <c r="ASV12" s="251"/>
      <c r="ASW12" s="251"/>
      <c r="ASX12" s="251"/>
      <c r="ASY12" s="251"/>
      <c r="ASZ12" s="251"/>
      <c r="ATA12" s="251"/>
      <c r="ATB12" s="251"/>
      <c r="ATC12" s="251"/>
      <c r="ATD12" s="251"/>
      <c r="ATE12" s="251"/>
      <c r="ATF12" s="251"/>
      <c r="ATG12" s="251"/>
      <c r="ATH12" s="251"/>
      <c r="ATI12" s="251"/>
      <c r="ATJ12" s="251" t="s">
        <v>44</v>
      </c>
      <c r="ATK12" s="251"/>
      <c r="ATL12" s="251"/>
      <c r="ATM12" s="251"/>
      <c r="ATN12" s="251"/>
      <c r="ATO12" s="251"/>
      <c r="ATP12" s="251"/>
      <c r="ATQ12" s="251"/>
      <c r="ATR12" s="251"/>
      <c r="ATS12" s="251"/>
      <c r="ATT12" s="251"/>
      <c r="ATU12" s="251"/>
      <c r="ATV12" s="251"/>
      <c r="ATW12" s="251"/>
      <c r="ATX12" s="251"/>
      <c r="ATY12" s="251"/>
      <c r="ATZ12" s="251"/>
      <c r="AUA12" s="251"/>
      <c r="AUB12" s="251"/>
      <c r="AUC12" s="251"/>
      <c r="AUD12" s="251"/>
      <c r="AUE12" s="251"/>
      <c r="AUF12" s="251"/>
      <c r="AUG12" s="251"/>
      <c r="AUH12" s="251"/>
      <c r="AUI12" s="251"/>
      <c r="AUJ12" s="251"/>
      <c r="AUK12" s="251"/>
      <c r="AUL12" s="251"/>
      <c r="AUM12" s="251"/>
      <c r="AUN12" s="251"/>
      <c r="AUO12" s="251"/>
      <c r="AUP12" s="251"/>
      <c r="AUQ12" s="251"/>
      <c r="AUR12" s="251"/>
      <c r="AUS12" s="251"/>
      <c r="AUT12" s="251"/>
      <c r="AUU12" s="251"/>
      <c r="AUV12" s="251"/>
      <c r="AUW12" s="251"/>
      <c r="AUX12" s="251"/>
      <c r="AUY12" s="251"/>
      <c r="AUZ12" s="251"/>
      <c r="AVA12" s="251"/>
      <c r="AVB12" s="251"/>
      <c r="AVC12" s="251"/>
      <c r="AVD12" s="251"/>
      <c r="AVE12" s="251"/>
      <c r="AVF12" s="251"/>
      <c r="AVG12" s="251"/>
      <c r="AVH12" s="251"/>
      <c r="AVI12" s="251"/>
      <c r="AVJ12" s="251"/>
      <c r="AVK12" s="251"/>
      <c r="AVL12" s="251"/>
      <c r="AVM12" s="251"/>
      <c r="AVN12" s="251"/>
      <c r="AVO12" s="251"/>
      <c r="AVP12" s="251"/>
      <c r="AVQ12" s="251"/>
      <c r="AVR12" s="251" t="s">
        <v>44</v>
      </c>
      <c r="AVS12" s="251"/>
      <c r="AVT12" s="251"/>
      <c r="AVU12" s="251"/>
      <c r="AVV12" s="251"/>
      <c r="AVW12" s="251"/>
      <c r="AVX12" s="251"/>
      <c r="AVY12" s="251"/>
      <c r="AVZ12" s="251"/>
      <c r="AWA12" s="251"/>
      <c r="AWB12" s="251"/>
      <c r="AWC12" s="251"/>
      <c r="AWD12" s="251"/>
      <c r="AWE12" s="251"/>
      <c r="AWF12" s="251"/>
      <c r="AWG12" s="251"/>
      <c r="AWH12" s="251"/>
      <c r="AWI12" s="251"/>
      <c r="AWJ12" s="251"/>
      <c r="AWK12" s="251"/>
      <c r="AWL12" s="251"/>
      <c r="AWM12" s="251"/>
      <c r="AWN12" s="251"/>
      <c r="AWO12" s="251"/>
      <c r="AWP12" s="251"/>
      <c r="AWQ12" s="251"/>
      <c r="AWR12" s="251"/>
      <c r="AWS12" s="251"/>
      <c r="AWT12" s="251"/>
      <c r="AWU12" s="251"/>
      <c r="AWV12" s="251"/>
      <c r="AWW12" s="251"/>
      <c r="AWX12" s="251"/>
      <c r="AWY12" s="251"/>
      <c r="AWZ12" s="251"/>
      <c r="AXA12" s="251"/>
      <c r="AXB12" s="251"/>
      <c r="AXC12" s="251"/>
      <c r="AXD12" s="251"/>
      <c r="AXE12" s="251"/>
      <c r="AXF12" s="251"/>
      <c r="AXG12" s="251"/>
      <c r="AXH12" s="251"/>
      <c r="AXI12" s="251"/>
      <c r="AXJ12" s="251"/>
      <c r="AXK12" s="251"/>
      <c r="AXL12" s="251"/>
      <c r="AXM12" s="251"/>
      <c r="AXN12" s="251"/>
      <c r="AXO12" s="251"/>
      <c r="AXP12" s="251"/>
      <c r="AXQ12" s="251"/>
      <c r="AXR12" s="251"/>
      <c r="AXS12" s="251"/>
      <c r="AXT12" s="251"/>
      <c r="AXU12" s="251"/>
      <c r="AXV12" s="251"/>
      <c r="AXW12" s="251"/>
      <c r="AXX12" s="251"/>
      <c r="AXY12" s="251"/>
      <c r="AXZ12" s="251" t="s">
        <v>43</v>
      </c>
      <c r="AYA12" s="251"/>
      <c r="AYB12" s="251"/>
      <c r="AYC12" s="251"/>
      <c r="AYD12" s="251"/>
      <c r="AYE12" s="251"/>
      <c r="AYF12" s="251"/>
      <c r="AYG12" s="251"/>
      <c r="AYH12" s="251"/>
      <c r="AYI12" s="251"/>
      <c r="AYJ12" s="251"/>
      <c r="AYK12" s="251"/>
      <c r="AYL12" s="251"/>
      <c r="AYM12" s="251"/>
      <c r="AYN12" s="251"/>
      <c r="AYO12" s="251"/>
      <c r="AYP12" s="251"/>
      <c r="AYQ12" s="251"/>
      <c r="AYR12" s="251"/>
      <c r="AYS12" s="251"/>
      <c r="AYT12" s="251"/>
      <c r="AYU12" s="251"/>
      <c r="AYV12" s="251"/>
      <c r="AYW12" s="251"/>
      <c r="AYX12" s="251"/>
      <c r="AYY12" s="251"/>
      <c r="AYZ12" s="251"/>
      <c r="AZA12" s="251"/>
      <c r="AZB12" s="251"/>
      <c r="AZC12" s="251"/>
      <c r="AZD12" s="251"/>
      <c r="AZE12" s="251"/>
      <c r="AZF12" s="251"/>
      <c r="AZG12" s="251"/>
      <c r="AZH12" s="251"/>
      <c r="AZI12" s="251"/>
      <c r="AZJ12" s="251"/>
      <c r="AZK12" s="251"/>
      <c r="AZL12" s="251"/>
      <c r="AZM12" s="251"/>
      <c r="AZN12" s="251"/>
      <c r="AZO12" s="251"/>
      <c r="AZP12" s="251"/>
      <c r="AZQ12" s="251"/>
      <c r="AZR12" s="251"/>
      <c r="AZS12" s="251"/>
      <c r="AZT12" s="251"/>
      <c r="AZU12" s="251"/>
      <c r="AZV12" s="251"/>
      <c r="AZW12" s="251"/>
      <c r="AZX12" s="251"/>
      <c r="AZY12" s="251"/>
      <c r="AZZ12" s="251"/>
      <c r="BAA12" s="251"/>
      <c r="BAB12" s="251"/>
      <c r="BAC12" s="251"/>
      <c r="BAD12" s="251"/>
      <c r="BAE12" s="251"/>
      <c r="BAF12" s="251"/>
      <c r="BAG12" s="251"/>
      <c r="BAH12" s="251" t="s">
        <v>44</v>
      </c>
      <c r="BAI12" s="251"/>
      <c r="BAJ12" s="251"/>
      <c r="BAK12" s="251"/>
      <c r="BAL12" s="251"/>
      <c r="BAM12" s="251"/>
      <c r="BAN12" s="251"/>
      <c r="BAO12" s="251"/>
      <c r="BAP12" s="251"/>
      <c r="BAQ12" s="251"/>
      <c r="BAR12" s="251"/>
      <c r="BAS12" s="251"/>
      <c r="BAT12" s="251"/>
      <c r="BAU12" s="251"/>
      <c r="BAV12" s="251"/>
      <c r="BAW12" s="251"/>
      <c r="BAX12" s="251"/>
      <c r="BAY12" s="251"/>
      <c r="BAZ12" s="251"/>
      <c r="BBA12" s="251"/>
      <c r="BBB12" s="251"/>
      <c r="BBC12" s="251"/>
      <c r="BBD12" s="251"/>
      <c r="BBE12" s="251"/>
      <c r="BBF12" s="251"/>
      <c r="BBG12" s="251"/>
      <c r="BBH12" s="251"/>
      <c r="BBI12" s="251"/>
      <c r="BBJ12" s="251"/>
      <c r="BBK12" s="251"/>
      <c r="BBL12" s="251"/>
      <c r="BBM12" s="251"/>
      <c r="BBN12" s="251"/>
      <c r="BBO12" s="251"/>
      <c r="BBP12" s="251"/>
      <c r="BBQ12" s="251"/>
      <c r="BBR12" s="251"/>
      <c r="BBS12" s="251"/>
      <c r="BBT12" s="251"/>
      <c r="BBU12" s="251"/>
      <c r="BBV12" s="251"/>
      <c r="BBW12" s="251"/>
      <c r="BBX12" s="251"/>
      <c r="BBY12" s="251"/>
      <c r="BBZ12" s="251"/>
      <c r="BCA12" s="251"/>
      <c r="BCB12" s="251"/>
      <c r="BCC12" s="251"/>
      <c r="BCD12" s="251"/>
      <c r="BCE12" s="251"/>
      <c r="BCF12" s="251"/>
      <c r="BCG12" s="251"/>
      <c r="BCH12" s="251"/>
      <c r="BCI12" s="251"/>
      <c r="BCJ12" s="251"/>
      <c r="BCK12" s="251"/>
      <c r="BCL12" s="251"/>
      <c r="BCM12" s="251"/>
      <c r="BCN12" s="251"/>
      <c r="BCO12" s="251"/>
      <c r="BCP12" s="251" t="s">
        <v>43</v>
      </c>
      <c r="BCQ12" s="251"/>
      <c r="BCR12" s="251"/>
      <c r="BCS12" s="251"/>
      <c r="BCT12" s="251"/>
      <c r="BCU12" s="251"/>
      <c r="BCV12" s="251"/>
      <c r="BCW12" s="251"/>
      <c r="BCX12" s="251"/>
      <c r="BCY12" s="251"/>
      <c r="BCZ12" s="251"/>
      <c r="BDA12" s="251"/>
      <c r="BDB12" s="251"/>
      <c r="BDC12" s="251"/>
      <c r="BDD12" s="251"/>
      <c r="BDE12" s="251"/>
      <c r="BDF12" s="251"/>
      <c r="BDG12" s="251"/>
      <c r="BDH12" s="251"/>
      <c r="BDI12" s="251"/>
      <c r="BDJ12" s="251"/>
      <c r="BDK12" s="251"/>
      <c r="BDL12" s="251"/>
      <c r="BDM12" s="251"/>
      <c r="BDN12" s="251"/>
      <c r="BDO12" s="251"/>
      <c r="BDP12" s="251"/>
      <c r="BDQ12" s="251"/>
      <c r="BDR12" s="251"/>
      <c r="BDS12" s="251"/>
      <c r="BDT12" s="251"/>
      <c r="BDU12" s="251"/>
      <c r="BDV12" s="251"/>
      <c r="BDW12" s="251"/>
      <c r="BDX12" s="251"/>
      <c r="BDY12" s="251"/>
      <c r="BDZ12" s="251"/>
      <c r="BEA12" s="251"/>
      <c r="BEB12" s="251"/>
      <c r="BEC12" s="251"/>
      <c r="BED12" s="251"/>
      <c r="BEE12" s="251"/>
      <c r="BEF12" s="251"/>
      <c r="BEG12" s="251"/>
      <c r="BEH12" s="251"/>
      <c r="BEI12" s="251"/>
      <c r="BEJ12" s="251"/>
      <c r="BEK12" s="251"/>
      <c r="BEL12" s="251"/>
      <c r="BEM12" s="251"/>
      <c r="BEN12" s="251"/>
      <c r="BEO12" s="251"/>
      <c r="BEP12" s="251"/>
      <c r="BEQ12" s="251"/>
      <c r="BER12" s="251"/>
      <c r="BES12" s="251"/>
      <c r="BET12" s="251"/>
      <c r="BEU12" s="251"/>
      <c r="BEV12" s="251"/>
      <c r="BEW12" s="251"/>
      <c r="BEX12" s="251" t="s">
        <v>44</v>
      </c>
      <c r="BEY12" s="251"/>
      <c r="BEZ12" s="251"/>
      <c r="BFA12" s="251"/>
      <c r="BFB12" s="251"/>
      <c r="BFC12" s="251"/>
      <c r="BFD12" s="251"/>
      <c r="BFE12" s="251"/>
      <c r="BFF12" s="251"/>
      <c r="BFG12" s="251"/>
      <c r="BFH12" s="251"/>
      <c r="BFI12" s="251"/>
      <c r="BFJ12" s="251"/>
      <c r="BFK12" s="251"/>
      <c r="BFL12" s="251"/>
      <c r="BFM12" s="251"/>
      <c r="BFN12" s="251"/>
      <c r="BFO12" s="251"/>
      <c r="BFP12" s="251"/>
      <c r="BFQ12" s="251"/>
      <c r="BFR12" s="251"/>
      <c r="BFS12" s="251"/>
      <c r="BFT12" s="251"/>
      <c r="BFU12" s="251"/>
      <c r="BFV12" s="251"/>
      <c r="BFW12" s="251"/>
      <c r="BFX12" s="251"/>
      <c r="BFY12" s="251"/>
      <c r="BFZ12" s="251"/>
      <c r="BGA12" s="251"/>
      <c r="BGB12" s="251"/>
      <c r="BGC12" s="251"/>
      <c r="BGD12" s="251"/>
      <c r="BGE12" s="251"/>
      <c r="BGF12" s="251"/>
      <c r="BGG12" s="251"/>
      <c r="BGH12" s="251"/>
      <c r="BGI12" s="251"/>
      <c r="BGJ12" s="251"/>
      <c r="BGK12" s="251"/>
      <c r="BGL12" s="251"/>
      <c r="BGM12" s="251"/>
      <c r="BGN12" s="251"/>
      <c r="BGO12" s="251"/>
      <c r="BGP12" s="251"/>
      <c r="BGQ12" s="251"/>
      <c r="BGR12" s="251"/>
      <c r="BGS12" s="251"/>
      <c r="BGT12" s="251"/>
      <c r="BGU12" s="251"/>
      <c r="BGV12" s="251"/>
      <c r="BGW12" s="251"/>
      <c r="BGX12" s="251"/>
      <c r="BGY12" s="251"/>
      <c r="BGZ12" s="251"/>
      <c r="BHA12" s="251"/>
      <c r="BHB12" s="251"/>
      <c r="BHC12" s="251"/>
      <c r="BHD12" s="251"/>
      <c r="BHE12" s="251"/>
      <c r="BHF12" s="90"/>
    </row>
    <row r="13" spans="1:1866" ht="42.75" customHeight="1" thickBot="1" x14ac:dyDescent="0.3">
      <c r="B13" s="96"/>
      <c r="C13" s="263" t="s">
        <v>7</v>
      </c>
      <c r="D13" s="143"/>
      <c r="E13" s="241" t="s">
        <v>39</v>
      </c>
      <c r="F13" s="246" t="s">
        <v>8</v>
      </c>
      <c r="G13" s="247"/>
      <c r="H13" s="247"/>
      <c r="I13" s="247"/>
      <c r="J13" s="247"/>
      <c r="K13" s="247"/>
      <c r="L13" s="247"/>
      <c r="M13" s="247"/>
      <c r="N13" s="247"/>
      <c r="O13" s="247"/>
      <c r="P13" s="247"/>
      <c r="Q13" s="247"/>
      <c r="R13" s="247"/>
      <c r="S13" s="247"/>
      <c r="T13" s="247"/>
      <c r="U13" s="247"/>
      <c r="V13" s="247"/>
      <c r="W13" s="247"/>
      <c r="X13" s="247"/>
      <c r="Y13" s="247"/>
      <c r="Z13" s="247"/>
      <c r="AA13" s="247"/>
      <c r="AB13" s="247"/>
      <c r="AC13" s="247"/>
      <c r="AD13" s="247"/>
      <c r="AE13" s="247"/>
      <c r="AF13" s="247"/>
      <c r="AG13" s="247"/>
      <c r="AH13" s="247"/>
      <c r="AI13" s="247"/>
      <c r="AJ13" s="247"/>
      <c r="AK13" s="247"/>
      <c r="AL13" s="247"/>
      <c r="AM13" s="247"/>
      <c r="AN13" s="247"/>
      <c r="AO13" s="247"/>
      <c r="AP13" s="247"/>
      <c r="AQ13" s="247"/>
      <c r="AR13" s="247"/>
      <c r="AS13" s="247"/>
      <c r="AT13" s="247"/>
      <c r="AU13" s="247"/>
      <c r="AV13" s="247"/>
      <c r="AW13" s="247"/>
      <c r="AX13" s="247"/>
      <c r="AY13" s="247"/>
      <c r="AZ13" s="247"/>
      <c r="BA13" s="247"/>
      <c r="BB13" s="247"/>
      <c r="BC13" s="247"/>
      <c r="BD13" s="247"/>
      <c r="BE13" s="247"/>
      <c r="BF13" s="247"/>
      <c r="BG13" s="247"/>
      <c r="BH13" s="247"/>
      <c r="BI13" s="247"/>
      <c r="BJ13" s="247"/>
      <c r="BK13" s="247"/>
      <c r="BL13" s="247"/>
      <c r="BM13" s="248"/>
      <c r="BN13" s="246" t="s">
        <v>28</v>
      </c>
      <c r="BO13" s="247"/>
      <c r="BP13" s="247"/>
      <c r="BQ13" s="247"/>
      <c r="BR13" s="247"/>
      <c r="BS13" s="247"/>
      <c r="BT13" s="247"/>
      <c r="BU13" s="247"/>
      <c r="BV13" s="247"/>
      <c r="BW13" s="247"/>
      <c r="BX13" s="247"/>
      <c r="BY13" s="247"/>
      <c r="BZ13" s="247"/>
      <c r="CA13" s="247"/>
      <c r="CB13" s="247"/>
      <c r="CC13" s="247"/>
      <c r="CD13" s="247"/>
      <c r="CE13" s="247"/>
      <c r="CF13" s="247"/>
      <c r="CG13" s="247"/>
      <c r="CH13" s="247"/>
      <c r="CI13" s="247"/>
      <c r="CJ13" s="247"/>
      <c r="CK13" s="247"/>
      <c r="CL13" s="247"/>
      <c r="CM13" s="247"/>
      <c r="CN13" s="247"/>
      <c r="CO13" s="247"/>
      <c r="CP13" s="247"/>
      <c r="CQ13" s="247"/>
      <c r="CR13" s="247"/>
      <c r="CS13" s="247"/>
      <c r="CT13" s="247"/>
      <c r="CU13" s="247"/>
      <c r="CV13" s="247"/>
      <c r="CW13" s="247"/>
      <c r="CX13" s="247"/>
      <c r="CY13" s="247"/>
      <c r="CZ13" s="247"/>
      <c r="DA13" s="247"/>
      <c r="DB13" s="247"/>
      <c r="DC13" s="247"/>
      <c r="DD13" s="247"/>
      <c r="DE13" s="247"/>
      <c r="DF13" s="247"/>
      <c r="DG13" s="247"/>
      <c r="DH13" s="247"/>
      <c r="DI13" s="247"/>
      <c r="DJ13" s="247"/>
      <c r="DK13" s="247"/>
      <c r="DL13" s="247"/>
      <c r="DM13" s="247"/>
      <c r="DN13" s="247"/>
      <c r="DO13" s="247"/>
      <c r="DP13" s="247"/>
      <c r="DQ13" s="247"/>
      <c r="DR13" s="247"/>
      <c r="DS13" s="247"/>
      <c r="DT13" s="247"/>
      <c r="DU13" s="248"/>
      <c r="DV13" s="246" t="s">
        <v>19</v>
      </c>
      <c r="DW13" s="247"/>
      <c r="DX13" s="247"/>
      <c r="DY13" s="247"/>
      <c r="DZ13" s="247"/>
      <c r="EA13" s="247"/>
      <c r="EB13" s="247"/>
      <c r="EC13" s="247"/>
      <c r="ED13" s="247"/>
      <c r="EE13" s="247"/>
      <c r="EF13" s="247"/>
      <c r="EG13" s="247"/>
      <c r="EH13" s="247"/>
      <c r="EI13" s="247"/>
      <c r="EJ13" s="247"/>
      <c r="EK13" s="247"/>
      <c r="EL13" s="247"/>
      <c r="EM13" s="247"/>
      <c r="EN13" s="247"/>
      <c r="EO13" s="247"/>
      <c r="EP13" s="247"/>
      <c r="EQ13" s="247"/>
      <c r="ER13" s="247"/>
      <c r="ES13" s="247"/>
      <c r="ET13" s="247"/>
      <c r="EU13" s="247"/>
      <c r="EV13" s="247"/>
      <c r="EW13" s="247"/>
      <c r="EX13" s="247"/>
      <c r="EY13" s="247"/>
      <c r="EZ13" s="247"/>
      <c r="FA13" s="247"/>
      <c r="FB13" s="247"/>
      <c r="FC13" s="247"/>
      <c r="FD13" s="247"/>
      <c r="FE13" s="247"/>
      <c r="FF13" s="247"/>
      <c r="FG13" s="247"/>
      <c r="FH13" s="247"/>
      <c r="FI13" s="247"/>
      <c r="FJ13" s="247"/>
      <c r="FK13" s="247"/>
      <c r="FL13" s="247"/>
      <c r="FM13" s="247"/>
      <c r="FN13" s="247"/>
      <c r="FO13" s="247"/>
      <c r="FP13" s="247"/>
      <c r="FQ13" s="247"/>
      <c r="FR13" s="247"/>
      <c r="FS13" s="247"/>
      <c r="FT13" s="247"/>
      <c r="FU13" s="247"/>
      <c r="FV13" s="247"/>
      <c r="FW13" s="247"/>
      <c r="FX13" s="247"/>
      <c r="FY13" s="247"/>
      <c r="FZ13" s="247"/>
      <c r="GA13" s="247"/>
      <c r="GB13" s="247"/>
      <c r="GC13" s="248"/>
      <c r="GD13" s="246" t="s">
        <v>42</v>
      </c>
      <c r="GE13" s="247"/>
      <c r="GF13" s="247"/>
      <c r="GG13" s="247"/>
      <c r="GH13" s="247"/>
      <c r="GI13" s="247"/>
      <c r="GJ13" s="247"/>
      <c r="GK13" s="247"/>
      <c r="GL13" s="247"/>
      <c r="GM13" s="247"/>
      <c r="GN13" s="247"/>
      <c r="GO13" s="247"/>
      <c r="GP13" s="247"/>
      <c r="GQ13" s="247"/>
      <c r="GR13" s="247"/>
      <c r="GS13" s="247"/>
      <c r="GT13" s="247"/>
      <c r="GU13" s="247"/>
      <c r="GV13" s="247"/>
      <c r="GW13" s="247"/>
      <c r="GX13" s="247"/>
      <c r="GY13" s="247"/>
      <c r="GZ13" s="247"/>
      <c r="HA13" s="247"/>
      <c r="HB13" s="247"/>
      <c r="HC13" s="247"/>
      <c r="HD13" s="247"/>
      <c r="HE13" s="247"/>
      <c r="HF13" s="247"/>
      <c r="HG13" s="247"/>
      <c r="HH13" s="247"/>
      <c r="HI13" s="247"/>
      <c r="HJ13" s="247"/>
      <c r="HK13" s="247"/>
      <c r="HL13" s="247"/>
      <c r="HM13" s="247"/>
      <c r="HN13" s="247"/>
      <c r="HO13" s="247"/>
      <c r="HP13" s="247"/>
      <c r="HQ13" s="247"/>
      <c r="HR13" s="247"/>
      <c r="HS13" s="247"/>
      <c r="HT13" s="247"/>
      <c r="HU13" s="247"/>
      <c r="HV13" s="247"/>
      <c r="HW13" s="247"/>
      <c r="HX13" s="247"/>
      <c r="HY13" s="247"/>
      <c r="HZ13" s="247"/>
      <c r="IA13" s="247"/>
      <c r="IB13" s="247"/>
      <c r="IC13" s="247"/>
      <c r="ID13" s="247"/>
      <c r="IE13" s="247"/>
      <c r="IF13" s="247"/>
      <c r="IG13" s="247"/>
      <c r="IH13" s="247"/>
      <c r="II13" s="247"/>
      <c r="IJ13" s="247"/>
      <c r="IK13" s="248"/>
      <c r="IL13" s="246" t="s">
        <v>71</v>
      </c>
      <c r="IM13" s="247"/>
      <c r="IN13" s="247"/>
      <c r="IO13" s="247"/>
      <c r="IP13" s="247"/>
      <c r="IQ13" s="247"/>
      <c r="IR13" s="247"/>
      <c r="IS13" s="247"/>
      <c r="IT13" s="247"/>
      <c r="IU13" s="247"/>
      <c r="IV13" s="247"/>
      <c r="IW13" s="247"/>
      <c r="IX13" s="247"/>
      <c r="IY13" s="247"/>
      <c r="IZ13" s="247"/>
      <c r="JA13" s="247"/>
      <c r="JB13" s="247"/>
      <c r="JC13" s="247"/>
      <c r="JD13" s="247"/>
      <c r="JE13" s="247"/>
      <c r="JF13" s="247"/>
      <c r="JG13" s="247"/>
      <c r="JH13" s="247"/>
      <c r="JI13" s="247"/>
      <c r="JJ13" s="247"/>
      <c r="JK13" s="247"/>
      <c r="JL13" s="247"/>
      <c r="JM13" s="247"/>
      <c r="JN13" s="247"/>
      <c r="JO13" s="247"/>
      <c r="JP13" s="247"/>
      <c r="JQ13" s="247"/>
      <c r="JR13" s="247"/>
      <c r="JS13" s="247"/>
      <c r="JT13" s="247"/>
      <c r="JU13" s="247"/>
      <c r="JV13" s="247"/>
      <c r="JW13" s="247"/>
      <c r="JX13" s="247"/>
      <c r="JY13" s="247"/>
      <c r="JZ13" s="247"/>
      <c r="KA13" s="247"/>
      <c r="KB13" s="247"/>
      <c r="KC13" s="247"/>
      <c r="KD13" s="247"/>
      <c r="KE13" s="247"/>
      <c r="KF13" s="247"/>
      <c r="KG13" s="247"/>
      <c r="KH13" s="247"/>
      <c r="KI13" s="247"/>
      <c r="KJ13" s="247"/>
      <c r="KK13" s="247"/>
      <c r="KL13" s="247"/>
      <c r="KM13" s="247"/>
      <c r="KN13" s="247"/>
      <c r="KO13" s="247"/>
      <c r="KP13" s="247"/>
      <c r="KQ13" s="247"/>
      <c r="KR13" s="247"/>
      <c r="KS13" s="248"/>
      <c r="KT13" s="246" t="s">
        <v>70</v>
      </c>
      <c r="KU13" s="247"/>
      <c r="KV13" s="247"/>
      <c r="KW13" s="247"/>
      <c r="KX13" s="247"/>
      <c r="KY13" s="247"/>
      <c r="KZ13" s="247"/>
      <c r="LA13" s="247"/>
      <c r="LB13" s="247"/>
      <c r="LC13" s="247"/>
      <c r="LD13" s="247"/>
      <c r="LE13" s="247"/>
      <c r="LF13" s="247"/>
      <c r="LG13" s="247"/>
      <c r="LH13" s="247"/>
      <c r="LI13" s="247"/>
      <c r="LJ13" s="247"/>
      <c r="LK13" s="247"/>
      <c r="LL13" s="247"/>
      <c r="LM13" s="247"/>
      <c r="LN13" s="247"/>
      <c r="LO13" s="247"/>
      <c r="LP13" s="247"/>
      <c r="LQ13" s="247"/>
      <c r="LR13" s="247"/>
      <c r="LS13" s="247"/>
      <c r="LT13" s="247"/>
      <c r="LU13" s="247"/>
      <c r="LV13" s="247"/>
      <c r="LW13" s="247"/>
      <c r="LX13" s="247"/>
      <c r="LY13" s="247"/>
      <c r="LZ13" s="247"/>
      <c r="MA13" s="247"/>
      <c r="MB13" s="247"/>
      <c r="MC13" s="247"/>
      <c r="MD13" s="247"/>
      <c r="ME13" s="247"/>
      <c r="MF13" s="247"/>
      <c r="MG13" s="247"/>
      <c r="MH13" s="247"/>
      <c r="MI13" s="247"/>
      <c r="MJ13" s="247"/>
      <c r="MK13" s="247"/>
      <c r="ML13" s="247"/>
      <c r="MM13" s="247"/>
      <c r="MN13" s="247"/>
      <c r="MO13" s="247"/>
      <c r="MP13" s="247"/>
      <c r="MQ13" s="247"/>
      <c r="MR13" s="247"/>
      <c r="MS13" s="247"/>
      <c r="MT13" s="247"/>
      <c r="MU13" s="247"/>
      <c r="MV13" s="247"/>
      <c r="MW13" s="247"/>
      <c r="MX13" s="247"/>
      <c r="MY13" s="247"/>
      <c r="MZ13" s="247"/>
      <c r="NA13" s="248"/>
      <c r="NB13" s="246" t="s">
        <v>69</v>
      </c>
      <c r="NC13" s="247"/>
      <c r="ND13" s="247"/>
      <c r="NE13" s="247"/>
      <c r="NF13" s="247"/>
      <c r="NG13" s="247"/>
      <c r="NH13" s="247"/>
      <c r="NI13" s="247"/>
      <c r="NJ13" s="247"/>
      <c r="NK13" s="247"/>
      <c r="NL13" s="247"/>
      <c r="NM13" s="247"/>
      <c r="NN13" s="247"/>
      <c r="NO13" s="247"/>
      <c r="NP13" s="247"/>
      <c r="NQ13" s="247"/>
      <c r="NR13" s="247"/>
      <c r="NS13" s="247"/>
      <c r="NT13" s="247"/>
      <c r="NU13" s="247"/>
      <c r="NV13" s="247"/>
      <c r="NW13" s="247"/>
      <c r="NX13" s="247"/>
      <c r="NY13" s="247"/>
      <c r="NZ13" s="247"/>
      <c r="OA13" s="247"/>
      <c r="OB13" s="247"/>
      <c r="OC13" s="247"/>
      <c r="OD13" s="247"/>
      <c r="OE13" s="247"/>
      <c r="OF13" s="247"/>
      <c r="OG13" s="247"/>
      <c r="OH13" s="247"/>
      <c r="OI13" s="247"/>
      <c r="OJ13" s="247"/>
      <c r="OK13" s="247"/>
      <c r="OL13" s="247"/>
      <c r="OM13" s="247"/>
      <c r="ON13" s="247"/>
      <c r="OO13" s="247"/>
      <c r="OP13" s="247"/>
      <c r="OQ13" s="247"/>
      <c r="OR13" s="247"/>
      <c r="OS13" s="247"/>
      <c r="OT13" s="247"/>
      <c r="OU13" s="247"/>
      <c r="OV13" s="247"/>
      <c r="OW13" s="247"/>
      <c r="OX13" s="247"/>
      <c r="OY13" s="247"/>
      <c r="OZ13" s="247"/>
      <c r="PA13" s="247"/>
      <c r="PB13" s="247"/>
      <c r="PC13" s="247"/>
      <c r="PD13" s="247"/>
      <c r="PE13" s="247"/>
      <c r="PF13" s="247"/>
      <c r="PG13" s="247"/>
      <c r="PH13" s="247"/>
      <c r="PI13" s="248"/>
      <c r="PJ13" s="246" t="s">
        <v>68</v>
      </c>
      <c r="PK13" s="247"/>
      <c r="PL13" s="247"/>
      <c r="PM13" s="247"/>
      <c r="PN13" s="247"/>
      <c r="PO13" s="247"/>
      <c r="PP13" s="247"/>
      <c r="PQ13" s="247"/>
      <c r="PR13" s="247"/>
      <c r="PS13" s="247"/>
      <c r="PT13" s="247"/>
      <c r="PU13" s="247"/>
      <c r="PV13" s="247"/>
      <c r="PW13" s="247"/>
      <c r="PX13" s="247"/>
      <c r="PY13" s="247"/>
      <c r="PZ13" s="247"/>
      <c r="QA13" s="247"/>
      <c r="QB13" s="247"/>
      <c r="QC13" s="247"/>
      <c r="QD13" s="247"/>
      <c r="QE13" s="247"/>
      <c r="QF13" s="247"/>
      <c r="QG13" s="247"/>
      <c r="QH13" s="247"/>
      <c r="QI13" s="247"/>
      <c r="QJ13" s="247"/>
      <c r="QK13" s="247"/>
      <c r="QL13" s="247"/>
      <c r="QM13" s="247"/>
      <c r="QN13" s="247"/>
      <c r="QO13" s="247"/>
      <c r="QP13" s="247"/>
      <c r="QQ13" s="247"/>
      <c r="QR13" s="247"/>
      <c r="QS13" s="247"/>
      <c r="QT13" s="247"/>
      <c r="QU13" s="247"/>
      <c r="QV13" s="247"/>
      <c r="QW13" s="247"/>
      <c r="QX13" s="247"/>
      <c r="QY13" s="247"/>
      <c r="QZ13" s="247"/>
      <c r="RA13" s="247"/>
      <c r="RB13" s="247"/>
      <c r="RC13" s="247"/>
      <c r="RD13" s="247"/>
      <c r="RE13" s="247"/>
      <c r="RF13" s="247"/>
      <c r="RG13" s="247"/>
      <c r="RH13" s="247"/>
      <c r="RI13" s="247"/>
      <c r="RJ13" s="247"/>
      <c r="RK13" s="247"/>
      <c r="RL13" s="247"/>
      <c r="RM13" s="247"/>
      <c r="RN13" s="247"/>
      <c r="RO13" s="247"/>
      <c r="RP13" s="247"/>
      <c r="RQ13" s="248"/>
      <c r="RR13" s="246" t="s">
        <v>67</v>
      </c>
      <c r="RS13" s="247"/>
      <c r="RT13" s="247"/>
      <c r="RU13" s="247"/>
      <c r="RV13" s="247"/>
      <c r="RW13" s="247"/>
      <c r="RX13" s="247"/>
      <c r="RY13" s="247"/>
      <c r="RZ13" s="247"/>
      <c r="SA13" s="247"/>
      <c r="SB13" s="247"/>
      <c r="SC13" s="247"/>
      <c r="SD13" s="247"/>
      <c r="SE13" s="247"/>
      <c r="SF13" s="247"/>
      <c r="SG13" s="247"/>
      <c r="SH13" s="247"/>
      <c r="SI13" s="247"/>
      <c r="SJ13" s="247"/>
      <c r="SK13" s="247"/>
      <c r="SL13" s="247"/>
      <c r="SM13" s="247"/>
      <c r="SN13" s="247"/>
      <c r="SO13" s="247"/>
      <c r="SP13" s="247"/>
      <c r="SQ13" s="247"/>
      <c r="SR13" s="247"/>
      <c r="SS13" s="247"/>
      <c r="ST13" s="247"/>
      <c r="SU13" s="247"/>
      <c r="SV13" s="247"/>
      <c r="SW13" s="247"/>
      <c r="SX13" s="247"/>
      <c r="SY13" s="247"/>
      <c r="SZ13" s="247"/>
      <c r="TA13" s="247"/>
      <c r="TB13" s="247"/>
      <c r="TC13" s="247"/>
      <c r="TD13" s="247"/>
      <c r="TE13" s="247"/>
      <c r="TF13" s="247"/>
      <c r="TG13" s="247"/>
      <c r="TH13" s="247"/>
      <c r="TI13" s="247"/>
      <c r="TJ13" s="247"/>
      <c r="TK13" s="247"/>
      <c r="TL13" s="247"/>
      <c r="TM13" s="247"/>
      <c r="TN13" s="247"/>
      <c r="TO13" s="247"/>
      <c r="TP13" s="247"/>
      <c r="TQ13" s="247"/>
      <c r="TR13" s="247"/>
      <c r="TS13" s="247"/>
      <c r="TT13" s="247"/>
      <c r="TU13" s="247"/>
      <c r="TV13" s="247"/>
      <c r="TW13" s="247"/>
      <c r="TX13" s="247"/>
      <c r="TY13" s="248"/>
      <c r="TZ13" s="246" t="s">
        <v>66</v>
      </c>
      <c r="UA13" s="247"/>
      <c r="UB13" s="247"/>
      <c r="UC13" s="247"/>
      <c r="UD13" s="247"/>
      <c r="UE13" s="247"/>
      <c r="UF13" s="247"/>
      <c r="UG13" s="247"/>
      <c r="UH13" s="247"/>
      <c r="UI13" s="247"/>
      <c r="UJ13" s="247"/>
      <c r="UK13" s="247"/>
      <c r="UL13" s="247"/>
      <c r="UM13" s="247"/>
      <c r="UN13" s="247"/>
      <c r="UO13" s="247"/>
      <c r="UP13" s="247"/>
      <c r="UQ13" s="247"/>
      <c r="UR13" s="247"/>
      <c r="US13" s="247"/>
      <c r="UT13" s="247"/>
      <c r="UU13" s="247"/>
      <c r="UV13" s="247"/>
      <c r="UW13" s="247"/>
      <c r="UX13" s="247"/>
      <c r="UY13" s="247"/>
      <c r="UZ13" s="247"/>
      <c r="VA13" s="247"/>
      <c r="VB13" s="247"/>
      <c r="VC13" s="247"/>
      <c r="VD13" s="247"/>
      <c r="VE13" s="247"/>
      <c r="VF13" s="247"/>
      <c r="VG13" s="247"/>
      <c r="VH13" s="247"/>
      <c r="VI13" s="247"/>
      <c r="VJ13" s="247"/>
      <c r="VK13" s="247"/>
      <c r="VL13" s="247"/>
      <c r="VM13" s="247"/>
      <c r="VN13" s="247"/>
      <c r="VO13" s="247"/>
      <c r="VP13" s="247"/>
      <c r="VQ13" s="247"/>
      <c r="VR13" s="247"/>
      <c r="VS13" s="247"/>
      <c r="VT13" s="247"/>
      <c r="VU13" s="247"/>
      <c r="VV13" s="247"/>
      <c r="VW13" s="247"/>
      <c r="VX13" s="247"/>
      <c r="VY13" s="247"/>
      <c r="VZ13" s="247"/>
      <c r="WA13" s="247"/>
      <c r="WB13" s="247"/>
      <c r="WC13" s="247"/>
      <c r="WD13" s="247"/>
      <c r="WE13" s="247"/>
      <c r="WF13" s="247"/>
      <c r="WG13" s="248"/>
      <c r="WH13" s="246" t="s">
        <v>65</v>
      </c>
      <c r="WI13" s="247"/>
      <c r="WJ13" s="247"/>
      <c r="WK13" s="247"/>
      <c r="WL13" s="247"/>
      <c r="WM13" s="247"/>
      <c r="WN13" s="247"/>
      <c r="WO13" s="247"/>
      <c r="WP13" s="247"/>
      <c r="WQ13" s="247"/>
      <c r="WR13" s="247"/>
      <c r="WS13" s="247"/>
      <c r="WT13" s="247"/>
      <c r="WU13" s="247"/>
      <c r="WV13" s="247"/>
      <c r="WW13" s="247"/>
      <c r="WX13" s="247"/>
      <c r="WY13" s="247"/>
      <c r="WZ13" s="247"/>
      <c r="XA13" s="247"/>
      <c r="XB13" s="247"/>
      <c r="XC13" s="247"/>
      <c r="XD13" s="247"/>
      <c r="XE13" s="247"/>
      <c r="XF13" s="247"/>
      <c r="XG13" s="247"/>
      <c r="XH13" s="247"/>
      <c r="XI13" s="247"/>
      <c r="XJ13" s="247"/>
      <c r="XK13" s="247"/>
      <c r="XL13" s="247"/>
      <c r="XM13" s="247"/>
      <c r="XN13" s="247"/>
      <c r="XO13" s="247"/>
      <c r="XP13" s="247"/>
      <c r="XQ13" s="247"/>
      <c r="XR13" s="247"/>
      <c r="XS13" s="247"/>
      <c r="XT13" s="247"/>
      <c r="XU13" s="247"/>
      <c r="XV13" s="247"/>
      <c r="XW13" s="247"/>
      <c r="XX13" s="247"/>
      <c r="XY13" s="247"/>
      <c r="XZ13" s="247"/>
      <c r="YA13" s="247"/>
      <c r="YB13" s="247"/>
      <c r="YC13" s="247"/>
      <c r="YD13" s="247"/>
      <c r="YE13" s="247"/>
      <c r="YF13" s="247"/>
      <c r="YG13" s="247"/>
      <c r="YH13" s="247"/>
      <c r="YI13" s="247"/>
      <c r="YJ13" s="247"/>
      <c r="YK13" s="247"/>
      <c r="YL13" s="247"/>
      <c r="YM13" s="247"/>
      <c r="YN13" s="247"/>
      <c r="YO13" s="248"/>
      <c r="YP13" s="246" t="s">
        <v>64</v>
      </c>
      <c r="YQ13" s="247"/>
      <c r="YR13" s="247"/>
      <c r="YS13" s="247"/>
      <c r="YT13" s="247"/>
      <c r="YU13" s="247"/>
      <c r="YV13" s="247"/>
      <c r="YW13" s="247"/>
      <c r="YX13" s="247"/>
      <c r="YY13" s="247"/>
      <c r="YZ13" s="247"/>
      <c r="ZA13" s="247"/>
      <c r="ZB13" s="247"/>
      <c r="ZC13" s="247"/>
      <c r="ZD13" s="247"/>
      <c r="ZE13" s="247"/>
      <c r="ZF13" s="247"/>
      <c r="ZG13" s="247"/>
      <c r="ZH13" s="247"/>
      <c r="ZI13" s="247"/>
      <c r="ZJ13" s="247"/>
      <c r="ZK13" s="247"/>
      <c r="ZL13" s="247"/>
      <c r="ZM13" s="247"/>
      <c r="ZN13" s="247"/>
      <c r="ZO13" s="247"/>
      <c r="ZP13" s="247"/>
      <c r="ZQ13" s="247"/>
      <c r="ZR13" s="247"/>
      <c r="ZS13" s="247"/>
      <c r="ZT13" s="247"/>
      <c r="ZU13" s="247"/>
      <c r="ZV13" s="247"/>
      <c r="ZW13" s="247"/>
      <c r="ZX13" s="247"/>
      <c r="ZY13" s="247"/>
      <c r="ZZ13" s="247"/>
      <c r="AAA13" s="247"/>
      <c r="AAB13" s="247"/>
      <c r="AAC13" s="247"/>
      <c r="AAD13" s="247"/>
      <c r="AAE13" s="247"/>
      <c r="AAF13" s="247"/>
      <c r="AAG13" s="247"/>
      <c r="AAH13" s="247"/>
      <c r="AAI13" s="247"/>
      <c r="AAJ13" s="247"/>
      <c r="AAK13" s="247"/>
      <c r="AAL13" s="247"/>
      <c r="AAM13" s="247"/>
      <c r="AAN13" s="247"/>
      <c r="AAO13" s="247"/>
      <c r="AAP13" s="247"/>
      <c r="AAQ13" s="247"/>
      <c r="AAR13" s="247"/>
      <c r="AAS13" s="247"/>
      <c r="AAT13" s="247"/>
      <c r="AAU13" s="247"/>
      <c r="AAV13" s="247"/>
      <c r="AAW13" s="248"/>
      <c r="AAX13" s="246" t="s">
        <v>63</v>
      </c>
      <c r="AAY13" s="247"/>
      <c r="AAZ13" s="247"/>
      <c r="ABA13" s="247"/>
      <c r="ABB13" s="247"/>
      <c r="ABC13" s="247"/>
      <c r="ABD13" s="247"/>
      <c r="ABE13" s="247"/>
      <c r="ABF13" s="247"/>
      <c r="ABG13" s="247"/>
      <c r="ABH13" s="247"/>
      <c r="ABI13" s="247"/>
      <c r="ABJ13" s="247"/>
      <c r="ABK13" s="247"/>
      <c r="ABL13" s="247"/>
      <c r="ABM13" s="247"/>
      <c r="ABN13" s="247"/>
      <c r="ABO13" s="247"/>
      <c r="ABP13" s="247"/>
      <c r="ABQ13" s="247"/>
      <c r="ABR13" s="247"/>
      <c r="ABS13" s="247"/>
      <c r="ABT13" s="247"/>
      <c r="ABU13" s="247"/>
      <c r="ABV13" s="247"/>
      <c r="ABW13" s="247"/>
      <c r="ABX13" s="247"/>
      <c r="ABY13" s="247"/>
      <c r="ABZ13" s="247"/>
      <c r="ACA13" s="247"/>
      <c r="ACB13" s="247"/>
      <c r="ACC13" s="247"/>
      <c r="ACD13" s="247"/>
      <c r="ACE13" s="247"/>
      <c r="ACF13" s="247"/>
      <c r="ACG13" s="247"/>
      <c r="ACH13" s="247"/>
      <c r="ACI13" s="247"/>
      <c r="ACJ13" s="247"/>
      <c r="ACK13" s="247"/>
      <c r="ACL13" s="247"/>
      <c r="ACM13" s="247"/>
      <c r="ACN13" s="247"/>
      <c r="ACO13" s="247"/>
      <c r="ACP13" s="247"/>
      <c r="ACQ13" s="247"/>
      <c r="ACR13" s="247"/>
      <c r="ACS13" s="247"/>
      <c r="ACT13" s="247"/>
      <c r="ACU13" s="247"/>
      <c r="ACV13" s="247"/>
      <c r="ACW13" s="247"/>
      <c r="ACX13" s="247"/>
      <c r="ACY13" s="247"/>
      <c r="ACZ13" s="247"/>
      <c r="ADA13" s="247"/>
      <c r="ADB13" s="247"/>
      <c r="ADC13" s="247"/>
      <c r="ADD13" s="247"/>
      <c r="ADE13" s="248"/>
      <c r="ADF13" s="246" t="s">
        <v>62</v>
      </c>
      <c r="ADG13" s="247"/>
      <c r="ADH13" s="247"/>
      <c r="ADI13" s="247"/>
      <c r="ADJ13" s="247"/>
      <c r="ADK13" s="247"/>
      <c r="ADL13" s="247"/>
      <c r="ADM13" s="247"/>
      <c r="ADN13" s="247"/>
      <c r="ADO13" s="247"/>
      <c r="ADP13" s="247"/>
      <c r="ADQ13" s="247"/>
      <c r="ADR13" s="247"/>
      <c r="ADS13" s="247"/>
      <c r="ADT13" s="247"/>
      <c r="ADU13" s="247"/>
      <c r="ADV13" s="247"/>
      <c r="ADW13" s="247"/>
      <c r="ADX13" s="247"/>
      <c r="ADY13" s="247"/>
      <c r="ADZ13" s="247"/>
      <c r="AEA13" s="247"/>
      <c r="AEB13" s="247"/>
      <c r="AEC13" s="247"/>
      <c r="AED13" s="247"/>
      <c r="AEE13" s="247"/>
      <c r="AEF13" s="247"/>
      <c r="AEG13" s="247"/>
      <c r="AEH13" s="247"/>
      <c r="AEI13" s="247"/>
      <c r="AEJ13" s="247"/>
      <c r="AEK13" s="247"/>
      <c r="AEL13" s="247"/>
      <c r="AEM13" s="247"/>
      <c r="AEN13" s="247"/>
      <c r="AEO13" s="247"/>
      <c r="AEP13" s="247"/>
      <c r="AEQ13" s="247"/>
      <c r="AER13" s="247"/>
      <c r="AES13" s="247"/>
      <c r="AET13" s="247"/>
      <c r="AEU13" s="247"/>
      <c r="AEV13" s="247"/>
      <c r="AEW13" s="247"/>
      <c r="AEX13" s="247"/>
      <c r="AEY13" s="247"/>
      <c r="AEZ13" s="247"/>
      <c r="AFA13" s="247"/>
      <c r="AFB13" s="247"/>
      <c r="AFC13" s="247"/>
      <c r="AFD13" s="247"/>
      <c r="AFE13" s="247"/>
      <c r="AFF13" s="247"/>
      <c r="AFG13" s="247"/>
      <c r="AFH13" s="247"/>
      <c r="AFI13" s="247"/>
      <c r="AFJ13" s="247"/>
      <c r="AFK13" s="247"/>
      <c r="AFL13" s="247"/>
      <c r="AFM13" s="248"/>
      <c r="AFN13" s="246" t="s">
        <v>61</v>
      </c>
      <c r="AFO13" s="247"/>
      <c r="AFP13" s="247"/>
      <c r="AFQ13" s="247"/>
      <c r="AFR13" s="247"/>
      <c r="AFS13" s="247"/>
      <c r="AFT13" s="247"/>
      <c r="AFU13" s="247"/>
      <c r="AFV13" s="247"/>
      <c r="AFW13" s="247"/>
      <c r="AFX13" s="247"/>
      <c r="AFY13" s="247"/>
      <c r="AFZ13" s="247"/>
      <c r="AGA13" s="247"/>
      <c r="AGB13" s="247"/>
      <c r="AGC13" s="247"/>
      <c r="AGD13" s="247"/>
      <c r="AGE13" s="247"/>
      <c r="AGF13" s="247"/>
      <c r="AGG13" s="247"/>
      <c r="AGH13" s="247"/>
      <c r="AGI13" s="247"/>
      <c r="AGJ13" s="247"/>
      <c r="AGK13" s="247"/>
      <c r="AGL13" s="247"/>
      <c r="AGM13" s="247"/>
      <c r="AGN13" s="247"/>
      <c r="AGO13" s="247"/>
      <c r="AGP13" s="247"/>
      <c r="AGQ13" s="247"/>
      <c r="AGR13" s="247"/>
      <c r="AGS13" s="247"/>
      <c r="AGT13" s="247"/>
      <c r="AGU13" s="247"/>
      <c r="AGV13" s="247"/>
      <c r="AGW13" s="247"/>
      <c r="AGX13" s="247"/>
      <c r="AGY13" s="247"/>
      <c r="AGZ13" s="247"/>
      <c r="AHA13" s="247"/>
      <c r="AHB13" s="247"/>
      <c r="AHC13" s="247"/>
      <c r="AHD13" s="247"/>
      <c r="AHE13" s="247"/>
      <c r="AHF13" s="247"/>
      <c r="AHG13" s="247"/>
      <c r="AHH13" s="247"/>
      <c r="AHI13" s="247"/>
      <c r="AHJ13" s="247"/>
      <c r="AHK13" s="247"/>
      <c r="AHL13" s="247"/>
      <c r="AHM13" s="247"/>
      <c r="AHN13" s="247"/>
      <c r="AHO13" s="247"/>
      <c r="AHP13" s="247"/>
      <c r="AHQ13" s="247"/>
      <c r="AHR13" s="247"/>
      <c r="AHS13" s="247"/>
      <c r="AHT13" s="247"/>
      <c r="AHU13" s="248"/>
      <c r="AHV13" s="246" t="s">
        <v>60</v>
      </c>
      <c r="AHW13" s="247"/>
      <c r="AHX13" s="247"/>
      <c r="AHY13" s="247"/>
      <c r="AHZ13" s="247"/>
      <c r="AIA13" s="247"/>
      <c r="AIB13" s="247"/>
      <c r="AIC13" s="247"/>
      <c r="AID13" s="247"/>
      <c r="AIE13" s="247"/>
      <c r="AIF13" s="247"/>
      <c r="AIG13" s="247"/>
      <c r="AIH13" s="247"/>
      <c r="AII13" s="247"/>
      <c r="AIJ13" s="247"/>
      <c r="AIK13" s="247"/>
      <c r="AIL13" s="247"/>
      <c r="AIM13" s="247"/>
      <c r="AIN13" s="247"/>
      <c r="AIO13" s="247"/>
      <c r="AIP13" s="247"/>
      <c r="AIQ13" s="247"/>
      <c r="AIR13" s="247"/>
      <c r="AIS13" s="247"/>
      <c r="AIT13" s="247"/>
      <c r="AIU13" s="247"/>
      <c r="AIV13" s="247"/>
      <c r="AIW13" s="247"/>
      <c r="AIX13" s="247"/>
      <c r="AIY13" s="247"/>
      <c r="AIZ13" s="247"/>
      <c r="AJA13" s="247"/>
      <c r="AJB13" s="247"/>
      <c r="AJC13" s="247"/>
      <c r="AJD13" s="247"/>
      <c r="AJE13" s="247"/>
      <c r="AJF13" s="247"/>
      <c r="AJG13" s="247"/>
      <c r="AJH13" s="247"/>
      <c r="AJI13" s="247"/>
      <c r="AJJ13" s="247"/>
      <c r="AJK13" s="247"/>
      <c r="AJL13" s="247"/>
      <c r="AJM13" s="247"/>
      <c r="AJN13" s="247"/>
      <c r="AJO13" s="247"/>
      <c r="AJP13" s="247"/>
      <c r="AJQ13" s="247"/>
      <c r="AJR13" s="247"/>
      <c r="AJS13" s="247"/>
      <c r="AJT13" s="247"/>
      <c r="AJU13" s="247"/>
      <c r="AJV13" s="247"/>
      <c r="AJW13" s="247"/>
      <c r="AJX13" s="247"/>
      <c r="AJY13" s="247"/>
      <c r="AJZ13" s="247"/>
      <c r="AKA13" s="247"/>
      <c r="AKB13" s="247"/>
      <c r="AKC13" s="248"/>
      <c r="AKD13" s="246" t="s">
        <v>59</v>
      </c>
      <c r="AKE13" s="247"/>
      <c r="AKF13" s="247"/>
      <c r="AKG13" s="247"/>
      <c r="AKH13" s="247"/>
      <c r="AKI13" s="247"/>
      <c r="AKJ13" s="247"/>
      <c r="AKK13" s="247"/>
      <c r="AKL13" s="247"/>
      <c r="AKM13" s="247"/>
      <c r="AKN13" s="247"/>
      <c r="AKO13" s="247"/>
      <c r="AKP13" s="247"/>
      <c r="AKQ13" s="247"/>
      <c r="AKR13" s="247"/>
      <c r="AKS13" s="247"/>
      <c r="AKT13" s="247"/>
      <c r="AKU13" s="247"/>
      <c r="AKV13" s="247"/>
      <c r="AKW13" s="247"/>
      <c r="AKX13" s="247"/>
      <c r="AKY13" s="247"/>
      <c r="AKZ13" s="247"/>
      <c r="ALA13" s="247"/>
      <c r="ALB13" s="247"/>
      <c r="ALC13" s="247"/>
      <c r="ALD13" s="247"/>
      <c r="ALE13" s="247"/>
      <c r="ALF13" s="247"/>
      <c r="ALG13" s="247"/>
      <c r="ALH13" s="247"/>
      <c r="ALI13" s="247"/>
      <c r="ALJ13" s="247"/>
      <c r="ALK13" s="247"/>
      <c r="ALL13" s="247"/>
      <c r="ALM13" s="247"/>
      <c r="ALN13" s="247"/>
      <c r="ALO13" s="247"/>
      <c r="ALP13" s="247"/>
      <c r="ALQ13" s="247"/>
      <c r="ALR13" s="247"/>
      <c r="ALS13" s="247"/>
      <c r="ALT13" s="247"/>
      <c r="ALU13" s="247"/>
      <c r="ALV13" s="247"/>
      <c r="ALW13" s="247"/>
      <c r="ALX13" s="247"/>
      <c r="ALY13" s="247"/>
      <c r="ALZ13" s="247"/>
      <c r="AMA13" s="247"/>
      <c r="AMB13" s="247"/>
      <c r="AMC13" s="247"/>
      <c r="AMD13" s="247"/>
      <c r="AME13" s="247"/>
      <c r="AMF13" s="247"/>
      <c r="AMG13" s="247"/>
      <c r="AMH13" s="247"/>
      <c r="AMI13" s="247"/>
      <c r="AMJ13" s="247"/>
      <c r="AMK13" s="248"/>
      <c r="AML13" s="246" t="s">
        <v>58</v>
      </c>
      <c r="AMM13" s="247"/>
      <c r="AMN13" s="247"/>
      <c r="AMO13" s="247"/>
      <c r="AMP13" s="247"/>
      <c r="AMQ13" s="247"/>
      <c r="AMR13" s="247"/>
      <c r="AMS13" s="247"/>
      <c r="AMT13" s="247"/>
      <c r="AMU13" s="247"/>
      <c r="AMV13" s="247"/>
      <c r="AMW13" s="247"/>
      <c r="AMX13" s="247"/>
      <c r="AMY13" s="247"/>
      <c r="AMZ13" s="247"/>
      <c r="ANA13" s="247"/>
      <c r="ANB13" s="247"/>
      <c r="ANC13" s="247"/>
      <c r="AND13" s="247"/>
      <c r="ANE13" s="247"/>
      <c r="ANF13" s="247"/>
      <c r="ANG13" s="247"/>
      <c r="ANH13" s="247"/>
      <c r="ANI13" s="247"/>
      <c r="ANJ13" s="247"/>
      <c r="ANK13" s="247"/>
      <c r="ANL13" s="247"/>
      <c r="ANM13" s="247"/>
      <c r="ANN13" s="247"/>
      <c r="ANO13" s="247"/>
      <c r="ANP13" s="247"/>
      <c r="ANQ13" s="247"/>
      <c r="ANR13" s="247"/>
      <c r="ANS13" s="247"/>
      <c r="ANT13" s="247"/>
      <c r="ANU13" s="247"/>
      <c r="ANV13" s="247"/>
      <c r="ANW13" s="247"/>
      <c r="ANX13" s="247"/>
      <c r="ANY13" s="247"/>
      <c r="ANZ13" s="247"/>
      <c r="AOA13" s="247"/>
      <c r="AOB13" s="247"/>
      <c r="AOC13" s="247"/>
      <c r="AOD13" s="247"/>
      <c r="AOE13" s="247"/>
      <c r="AOF13" s="247"/>
      <c r="AOG13" s="247"/>
      <c r="AOH13" s="247"/>
      <c r="AOI13" s="247"/>
      <c r="AOJ13" s="247"/>
      <c r="AOK13" s="247"/>
      <c r="AOL13" s="247"/>
      <c r="AOM13" s="247"/>
      <c r="AON13" s="247"/>
      <c r="AOO13" s="247"/>
      <c r="AOP13" s="247"/>
      <c r="AOQ13" s="247"/>
      <c r="AOR13" s="247"/>
      <c r="AOS13" s="248"/>
      <c r="AOT13" s="246" t="s">
        <v>57</v>
      </c>
      <c r="AOU13" s="247"/>
      <c r="AOV13" s="247"/>
      <c r="AOW13" s="247"/>
      <c r="AOX13" s="247"/>
      <c r="AOY13" s="247"/>
      <c r="AOZ13" s="247"/>
      <c r="APA13" s="247"/>
      <c r="APB13" s="247"/>
      <c r="APC13" s="247"/>
      <c r="APD13" s="247"/>
      <c r="APE13" s="247"/>
      <c r="APF13" s="247"/>
      <c r="APG13" s="247"/>
      <c r="APH13" s="247"/>
      <c r="API13" s="247"/>
      <c r="APJ13" s="247"/>
      <c r="APK13" s="247"/>
      <c r="APL13" s="247"/>
      <c r="APM13" s="247"/>
      <c r="APN13" s="247"/>
      <c r="APO13" s="247"/>
      <c r="APP13" s="247"/>
      <c r="APQ13" s="247"/>
      <c r="APR13" s="247"/>
      <c r="APS13" s="247"/>
      <c r="APT13" s="247"/>
      <c r="APU13" s="247"/>
      <c r="APV13" s="247"/>
      <c r="APW13" s="247"/>
      <c r="APX13" s="247"/>
      <c r="APY13" s="247"/>
      <c r="APZ13" s="247"/>
      <c r="AQA13" s="247"/>
      <c r="AQB13" s="247"/>
      <c r="AQC13" s="247"/>
      <c r="AQD13" s="247"/>
      <c r="AQE13" s="247"/>
      <c r="AQF13" s="247"/>
      <c r="AQG13" s="247"/>
      <c r="AQH13" s="247"/>
      <c r="AQI13" s="247"/>
      <c r="AQJ13" s="247"/>
      <c r="AQK13" s="247"/>
      <c r="AQL13" s="247"/>
      <c r="AQM13" s="247"/>
      <c r="AQN13" s="247"/>
      <c r="AQO13" s="247"/>
      <c r="AQP13" s="247"/>
      <c r="AQQ13" s="247"/>
      <c r="AQR13" s="247"/>
      <c r="AQS13" s="247"/>
      <c r="AQT13" s="247"/>
      <c r="AQU13" s="247"/>
      <c r="AQV13" s="247"/>
      <c r="AQW13" s="247"/>
      <c r="AQX13" s="247"/>
      <c r="AQY13" s="247"/>
      <c r="AQZ13" s="247"/>
      <c r="ARA13" s="248"/>
      <c r="ARB13" s="246" t="s">
        <v>56</v>
      </c>
      <c r="ARC13" s="247"/>
      <c r="ARD13" s="247"/>
      <c r="ARE13" s="247"/>
      <c r="ARF13" s="247"/>
      <c r="ARG13" s="247"/>
      <c r="ARH13" s="247"/>
      <c r="ARI13" s="247"/>
      <c r="ARJ13" s="247"/>
      <c r="ARK13" s="247"/>
      <c r="ARL13" s="247"/>
      <c r="ARM13" s="247"/>
      <c r="ARN13" s="247"/>
      <c r="ARO13" s="247"/>
      <c r="ARP13" s="247"/>
      <c r="ARQ13" s="247"/>
      <c r="ARR13" s="247"/>
      <c r="ARS13" s="247"/>
      <c r="ART13" s="247"/>
      <c r="ARU13" s="247"/>
      <c r="ARV13" s="247"/>
      <c r="ARW13" s="247"/>
      <c r="ARX13" s="247"/>
      <c r="ARY13" s="247"/>
      <c r="ARZ13" s="247"/>
      <c r="ASA13" s="247"/>
      <c r="ASB13" s="247"/>
      <c r="ASC13" s="247"/>
      <c r="ASD13" s="247"/>
      <c r="ASE13" s="247"/>
      <c r="ASF13" s="247"/>
      <c r="ASG13" s="247"/>
      <c r="ASH13" s="247"/>
      <c r="ASI13" s="247"/>
      <c r="ASJ13" s="247"/>
      <c r="ASK13" s="247"/>
      <c r="ASL13" s="247"/>
      <c r="ASM13" s="247"/>
      <c r="ASN13" s="247"/>
      <c r="ASO13" s="247"/>
      <c r="ASP13" s="247"/>
      <c r="ASQ13" s="247"/>
      <c r="ASR13" s="247"/>
      <c r="ASS13" s="247"/>
      <c r="AST13" s="247"/>
      <c r="ASU13" s="247"/>
      <c r="ASV13" s="247"/>
      <c r="ASW13" s="247"/>
      <c r="ASX13" s="247"/>
      <c r="ASY13" s="247"/>
      <c r="ASZ13" s="247"/>
      <c r="ATA13" s="247"/>
      <c r="ATB13" s="247"/>
      <c r="ATC13" s="247"/>
      <c r="ATD13" s="247"/>
      <c r="ATE13" s="247"/>
      <c r="ATF13" s="247"/>
      <c r="ATG13" s="247"/>
      <c r="ATH13" s="247"/>
      <c r="ATI13" s="248"/>
      <c r="ATJ13" s="246" t="s">
        <v>55</v>
      </c>
      <c r="ATK13" s="247"/>
      <c r="ATL13" s="247"/>
      <c r="ATM13" s="247"/>
      <c r="ATN13" s="247"/>
      <c r="ATO13" s="247"/>
      <c r="ATP13" s="247"/>
      <c r="ATQ13" s="247"/>
      <c r="ATR13" s="247"/>
      <c r="ATS13" s="247"/>
      <c r="ATT13" s="247"/>
      <c r="ATU13" s="247"/>
      <c r="ATV13" s="247"/>
      <c r="ATW13" s="247"/>
      <c r="ATX13" s="247"/>
      <c r="ATY13" s="247"/>
      <c r="ATZ13" s="247"/>
      <c r="AUA13" s="247"/>
      <c r="AUB13" s="247"/>
      <c r="AUC13" s="247"/>
      <c r="AUD13" s="247"/>
      <c r="AUE13" s="247"/>
      <c r="AUF13" s="247"/>
      <c r="AUG13" s="247"/>
      <c r="AUH13" s="247"/>
      <c r="AUI13" s="247"/>
      <c r="AUJ13" s="247"/>
      <c r="AUK13" s="247"/>
      <c r="AUL13" s="247"/>
      <c r="AUM13" s="247"/>
      <c r="AUN13" s="247"/>
      <c r="AUO13" s="247"/>
      <c r="AUP13" s="247"/>
      <c r="AUQ13" s="247"/>
      <c r="AUR13" s="247"/>
      <c r="AUS13" s="247"/>
      <c r="AUT13" s="247"/>
      <c r="AUU13" s="247"/>
      <c r="AUV13" s="247"/>
      <c r="AUW13" s="247"/>
      <c r="AUX13" s="247"/>
      <c r="AUY13" s="247"/>
      <c r="AUZ13" s="247"/>
      <c r="AVA13" s="247"/>
      <c r="AVB13" s="247"/>
      <c r="AVC13" s="247"/>
      <c r="AVD13" s="247"/>
      <c r="AVE13" s="247"/>
      <c r="AVF13" s="247"/>
      <c r="AVG13" s="247"/>
      <c r="AVH13" s="247"/>
      <c r="AVI13" s="247"/>
      <c r="AVJ13" s="247"/>
      <c r="AVK13" s="247"/>
      <c r="AVL13" s="247"/>
      <c r="AVM13" s="247"/>
      <c r="AVN13" s="247"/>
      <c r="AVO13" s="247"/>
      <c r="AVP13" s="247"/>
      <c r="AVQ13" s="248"/>
      <c r="AVR13" s="246" t="s">
        <v>54</v>
      </c>
      <c r="AVS13" s="247"/>
      <c r="AVT13" s="247"/>
      <c r="AVU13" s="247"/>
      <c r="AVV13" s="247"/>
      <c r="AVW13" s="247"/>
      <c r="AVX13" s="247"/>
      <c r="AVY13" s="247"/>
      <c r="AVZ13" s="247"/>
      <c r="AWA13" s="247"/>
      <c r="AWB13" s="247"/>
      <c r="AWC13" s="247"/>
      <c r="AWD13" s="247"/>
      <c r="AWE13" s="247"/>
      <c r="AWF13" s="247"/>
      <c r="AWG13" s="247"/>
      <c r="AWH13" s="247"/>
      <c r="AWI13" s="247"/>
      <c r="AWJ13" s="247"/>
      <c r="AWK13" s="247"/>
      <c r="AWL13" s="247"/>
      <c r="AWM13" s="247"/>
      <c r="AWN13" s="247"/>
      <c r="AWO13" s="247"/>
      <c r="AWP13" s="247"/>
      <c r="AWQ13" s="247"/>
      <c r="AWR13" s="247"/>
      <c r="AWS13" s="247"/>
      <c r="AWT13" s="247"/>
      <c r="AWU13" s="247"/>
      <c r="AWV13" s="247"/>
      <c r="AWW13" s="247"/>
      <c r="AWX13" s="247"/>
      <c r="AWY13" s="247"/>
      <c r="AWZ13" s="247"/>
      <c r="AXA13" s="247"/>
      <c r="AXB13" s="247"/>
      <c r="AXC13" s="247"/>
      <c r="AXD13" s="247"/>
      <c r="AXE13" s="247"/>
      <c r="AXF13" s="247"/>
      <c r="AXG13" s="247"/>
      <c r="AXH13" s="247"/>
      <c r="AXI13" s="247"/>
      <c r="AXJ13" s="247"/>
      <c r="AXK13" s="247"/>
      <c r="AXL13" s="247"/>
      <c r="AXM13" s="247"/>
      <c r="AXN13" s="247"/>
      <c r="AXO13" s="247"/>
      <c r="AXP13" s="247"/>
      <c r="AXQ13" s="247"/>
      <c r="AXR13" s="247"/>
      <c r="AXS13" s="247"/>
      <c r="AXT13" s="247"/>
      <c r="AXU13" s="247"/>
      <c r="AXV13" s="247"/>
      <c r="AXW13" s="247"/>
      <c r="AXX13" s="247"/>
      <c r="AXY13" s="248"/>
      <c r="AXZ13" s="246" t="s">
        <v>53</v>
      </c>
      <c r="AYA13" s="247"/>
      <c r="AYB13" s="247"/>
      <c r="AYC13" s="247"/>
      <c r="AYD13" s="247"/>
      <c r="AYE13" s="247"/>
      <c r="AYF13" s="247"/>
      <c r="AYG13" s="247"/>
      <c r="AYH13" s="247"/>
      <c r="AYI13" s="247"/>
      <c r="AYJ13" s="247"/>
      <c r="AYK13" s="247"/>
      <c r="AYL13" s="247"/>
      <c r="AYM13" s="247"/>
      <c r="AYN13" s="247"/>
      <c r="AYO13" s="247"/>
      <c r="AYP13" s="247"/>
      <c r="AYQ13" s="247"/>
      <c r="AYR13" s="247"/>
      <c r="AYS13" s="247"/>
      <c r="AYT13" s="247"/>
      <c r="AYU13" s="247"/>
      <c r="AYV13" s="247"/>
      <c r="AYW13" s="247"/>
      <c r="AYX13" s="247"/>
      <c r="AYY13" s="247"/>
      <c r="AYZ13" s="247"/>
      <c r="AZA13" s="247"/>
      <c r="AZB13" s="247"/>
      <c r="AZC13" s="247"/>
      <c r="AZD13" s="247"/>
      <c r="AZE13" s="247"/>
      <c r="AZF13" s="247"/>
      <c r="AZG13" s="247"/>
      <c r="AZH13" s="247"/>
      <c r="AZI13" s="247"/>
      <c r="AZJ13" s="247"/>
      <c r="AZK13" s="247"/>
      <c r="AZL13" s="247"/>
      <c r="AZM13" s="247"/>
      <c r="AZN13" s="247"/>
      <c r="AZO13" s="247"/>
      <c r="AZP13" s="247"/>
      <c r="AZQ13" s="247"/>
      <c r="AZR13" s="247"/>
      <c r="AZS13" s="247"/>
      <c r="AZT13" s="247"/>
      <c r="AZU13" s="247"/>
      <c r="AZV13" s="247"/>
      <c r="AZW13" s="247"/>
      <c r="AZX13" s="247"/>
      <c r="AZY13" s="247"/>
      <c r="AZZ13" s="247"/>
      <c r="BAA13" s="247"/>
      <c r="BAB13" s="247"/>
      <c r="BAC13" s="247"/>
      <c r="BAD13" s="247"/>
      <c r="BAE13" s="247"/>
      <c r="BAF13" s="247"/>
      <c r="BAG13" s="248"/>
      <c r="BAH13" s="246" t="s">
        <v>52</v>
      </c>
      <c r="BAI13" s="247"/>
      <c r="BAJ13" s="247"/>
      <c r="BAK13" s="247"/>
      <c r="BAL13" s="247"/>
      <c r="BAM13" s="247"/>
      <c r="BAN13" s="247"/>
      <c r="BAO13" s="247"/>
      <c r="BAP13" s="247"/>
      <c r="BAQ13" s="247"/>
      <c r="BAR13" s="247"/>
      <c r="BAS13" s="247"/>
      <c r="BAT13" s="247"/>
      <c r="BAU13" s="247"/>
      <c r="BAV13" s="247"/>
      <c r="BAW13" s="247"/>
      <c r="BAX13" s="247"/>
      <c r="BAY13" s="247"/>
      <c r="BAZ13" s="247"/>
      <c r="BBA13" s="247"/>
      <c r="BBB13" s="247"/>
      <c r="BBC13" s="247"/>
      <c r="BBD13" s="247"/>
      <c r="BBE13" s="247"/>
      <c r="BBF13" s="247"/>
      <c r="BBG13" s="247"/>
      <c r="BBH13" s="247"/>
      <c r="BBI13" s="247"/>
      <c r="BBJ13" s="247"/>
      <c r="BBK13" s="247"/>
      <c r="BBL13" s="247"/>
      <c r="BBM13" s="247"/>
      <c r="BBN13" s="247"/>
      <c r="BBO13" s="247"/>
      <c r="BBP13" s="247"/>
      <c r="BBQ13" s="247"/>
      <c r="BBR13" s="247"/>
      <c r="BBS13" s="247"/>
      <c r="BBT13" s="247"/>
      <c r="BBU13" s="247"/>
      <c r="BBV13" s="247"/>
      <c r="BBW13" s="247"/>
      <c r="BBX13" s="247"/>
      <c r="BBY13" s="247"/>
      <c r="BBZ13" s="247"/>
      <c r="BCA13" s="247"/>
      <c r="BCB13" s="247"/>
      <c r="BCC13" s="247"/>
      <c r="BCD13" s="247"/>
      <c r="BCE13" s="247"/>
      <c r="BCF13" s="247"/>
      <c r="BCG13" s="247"/>
      <c r="BCH13" s="247"/>
      <c r="BCI13" s="247"/>
      <c r="BCJ13" s="247"/>
      <c r="BCK13" s="247"/>
      <c r="BCL13" s="247"/>
      <c r="BCM13" s="247"/>
      <c r="BCN13" s="247"/>
      <c r="BCO13" s="248"/>
      <c r="BCP13" s="246" t="s">
        <v>51</v>
      </c>
      <c r="BCQ13" s="247"/>
      <c r="BCR13" s="247"/>
      <c r="BCS13" s="247"/>
      <c r="BCT13" s="247"/>
      <c r="BCU13" s="247"/>
      <c r="BCV13" s="247"/>
      <c r="BCW13" s="247"/>
      <c r="BCX13" s="247"/>
      <c r="BCY13" s="247"/>
      <c r="BCZ13" s="247"/>
      <c r="BDA13" s="247"/>
      <c r="BDB13" s="247"/>
      <c r="BDC13" s="247"/>
      <c r="BDD13" s="247"/>
      <c r="BDE13" s="247"/>
      <c r="BDF13" s="247"/>
      <c r="BDG13" s="247"/>
      <c r="BDH13" s="247"/>
      <c r="BDI13" s="247"/>
      <c r="BDJ13" s="247"/>
      <c r="BDK13" s="247"/>
      <c r="BDL13" s="247"/>
      <c r="BDM13" s="247"/>
      <c r="BDN13" s="247"/>
      <c r="BDO13" s="247"/>
      <c r="BDP13" s="247"/>
      <c r="BDQ13" s="247"/>
      <c r="BDR13" s="247"/>
      <c r="BDS13" s="247"/>
      <c r="BDT13" s="247"/>
      <c r="BDU13" s="247"/>
      <c r="BDV13" s="247"/>
      <c r="BDW13" s="247"/>
      <c r="BDX13" s="247"/>
      <c r="BDY13" s="247"/>
      <c r="BDZ13" s="247"/>
      <c r="BEA13" s="247"/>
      <c r="BEB13" s="247"/>
      <c r="BEC13" s="247"/>
      <c r="BED13" s="247"/>
      <c r="BEE13" s="247"/>
      <c r="BEF13" s="247"/>
      <c r="BEG13" s="247"/>
      <c r="BEH13" s="247"/>
      <c r="BEI13" s="247"/>
      <c r="BEJ13" s="247"/>
      <c r="BEK13" s="247"/>
      <c r="BEL13" s="247"/>
      <c r="BEM13" s="247"/>
      <c r="BEN13" s="247"/>
      <c r="BEO13" s="247"/>
      <c r="BEP13" s="247"/>
      <c r="BEQ13" s="247"/>
      <c r="BER13" s="247"/>
      <c r="BES13" s="247"/>
      <c r="BET13" s="247"/>
      <c r="BEU13" s="247"/>
      <c r="BEV13" s="247"/>
      <c r="BEW13" s="248"/>
      <c r="BEX13" s="246" t="s">
        <v>50</v>
      </c>
      <c r="BEY13" s="247"/>
      <c r="BEZ13" s="247"/>
      <c r="BFA13" s="247"/>
      <c r="BFB13" s="247"/>
      <c r="BFC13" s="247"/>
      <c r="BFD13" s="247"/>
      <c r="BFE13" s="247"/>
      <c r="BFF13" s="247"/>
      <c r="BFG13" s="247"/>
      <c r="BFH13" s="247"/>
      <c r="BFI13" s="247"/>
      <c r="BFJ13" s="247"/>
      <c r="BFK13" s="247"/>
      <c r="BFL13" s="247"/>
      <c r="BFM13" s="247"/>
      <c r="BFN13" s="247"/>
      <c r="BFO13" s="247"/>
      <c r="BFP13" s="247"/>
      <c r="BFQ13" s="247"/>
      <c r="BFR13" s="247"/>
      <c r="BFS13" s="247"/>
      <c r="BFT13" s="247"/>
      <c r="BFU13" s="247"/>
      <c r="BFV13" s="247"/>
      <c r="BFW13" s="247"/>
      <c r="BFX13" s="247"/>
      <c r="BFY13" s="247"/>
      <c r="BFZ13" s="247"/>
      <c r="BGA13" s="247"/>
      <c r="BGB13" s="247"/>
      <c r="BGC13" s="247"/>
      <c r="BGD13" s="247"/>
      <c r="BGE13" s="247"/>
      <c r="BGF13" s="247"/>
      <c r="BGG13" s="247"/>
      <c r="BGH13" s="247"/>
      <c r="BGI13" s="247"/>
      <c r="BGJ13" s="247"/>
      <c r="BGK13" s="247"/>
      <c r="BGL13" s="247"/>
      <c r="BGM13" s="247"/>
      <c r="BGN13" s="247"/>
      <c r="BGO13" s="247"/>
      <c r="BGP13" s="247"/>
      <c r="BGQ13" s="247"/>
      <c r="BGR13" s="247"/>
      <c r="BGS13" s="247"/>
      <c r="BGT13" s="247"/>
      <c r="BGU13" s="247"/>
      <c r="BGV13" s="247"/>
      <c r="BGW13" s="247"/>
      <c r="BGX13" s="247"/>
      <c r="BGY13" s="247"/>
      <c r="BGZ13" s="247"/>
      <c r="BHA13" s="247"/>
      <c r="BHB13" s="247"/>
      <c r="BHC13" s="247"/>
      <c r="BHD13" s="247"/>
      <c r="BHE13" s="248"/>
      <c r="BHF13" s="90"/>
      <c r="BJN13" s="3" t="s">
        <v>49</v>
      </c>
      <c r="BLV13" s="3" t="s">
        <v>48</v>
      </c>
      <c r="BOD13" s="3" t="s">
        <v>47</v>
      </c>
      <c r="BQL13" s="3" t="s">
        <v>46</v>
      </c>
      <c r="BST13" s="3" t="s">
        <v>45</v>
      </c>
    </row>
    <row r="14" spans="1:1866" ht="12.75" customHeight="1" thickBot="1" x14ac:dyDescent="0.35">
      <c r="B14" s="96"/>
      <c r="C14" s="264"/>
      <c r="D14" s="144"/>
      <c r="E14" s="242"/>
      <c r="F14" s="102"/>
      <c r="G14" s="103"/>
      <c r="H14" s="103"/>
      <c r="I14" s="103"/>
      <c r="J14" s="245" t="s">
        <v>34</v>
      </c>
      <c r="K14" s="245"/>
      <c r="L14" s="245"/>
      <c r="M14" s="245"/>
      <c r="N14" s="103"/>
      <c r="O14" s="103"/>
      <c r="P14" s="244" t="s">
        <v>24</v>
      </c>
      <c r="Q14" s="244"/>
      <c r="R14" s="244"/>
      <c r="S14" s="244"/>
      <c r="T14" s="128"/>
      <c r="U14" s="128"/>
      <c r="V14" s="245" t="s">
        <v>35</v>
      </c>
      <c r="W14" s="245"/>
      <c r="X14" s="245"/>
      <c r="Y14" s="245"/>
      <c r="Z14" s="103"/>
      <c r="AA14" s="103"/>
      <c r="AB14" s="244" t="s">
        <v>25</v>
      </c>
      <c r="AC14" s="244"/>
      <c r="AD14" s="244"/>
      <c r="AE14" s="244"/>
      <c r="AF14" s="128"/>
      <c r="AG14" s="128"/>
      <c r="AH14" s="245" t="s">
        <v>36</v>
      </c>
      <c r="AI14" s="245"/>
      <c r="AJ14" s="245"/>
      <c r="AK14" s="245"/>
      <c r="AL14" s="103"/>
      <c r="AM14" s="103"/>
      <c r="AN14" s="244" t="s">
        <v>26</v>
      </c>
      <c r="AO14" s="244"/>
      <c r="AP14" s="244"/>
      <c r="AQ14" s="244"/>
      <c r="AR14" s="128"/>
      <c r="AS14" s="128"/>
      <c r="AT14" s="245" t="s">
        <v>37</v>
      </c>
      <c r="AU14" s="245"/>
      <c r="AV14" s="245"/>
      <c r="AW14" s="245"/>
      <c r="AX14" s="103"/>
      <c r="AY14" s="103"/>
      <c r="AZ14" s="244" t="s">
        <v>27</v>
      </c>
      <c r="BA14" s="244"/>
      <c r="BB14" s="244"/>
      <c r="BC14" s="244"/>
      <c r="BD14" s="128"/>
      <c r="BE14" s="128"/>
      <c r="BF14" s="245" t="s">
        <v>38</v>
      </c>
      <c r="BG14" s="245"/>
      <c r="BH14" s="245"/>
      <c r="BI14" s="245"/>
      <c r="BJ14" s="103"/>
      <c r="BK14" s="103"/>
      <c r="BL14" s="103"/>
      <c r="BM14" s="104"/>
      <c r="BN14" s="102"/>
      <c r="BO14" s="103"/>
      <c r="BP14" s="103"/>
      <c r="BQ14" s="103"/>
      <c r="BR14" s="245" t="s">
        <v>34</v>
      </c>
      <c r="BS14" s="245"/>
      <c r="BT14" s="245"/>
      <c r="BU14" s="245"/>
      <c r="BV14" s="103"/>
      <c r="BW14" s="103"/>
      <c r="BX14" s="244" t="s">
        <v>24</v>
      </c>
      <c r="BY14" s="244"/>
      <c r="BZ14" s="244"/>
      <c r="CA14" s="244"/>
      <c r="CB14" s="128"/>
      <c r="CC14" s="128"/>
      <c r="CD14" s="245" t="s">
        <v>35</v>
      </c>
      <c r="CE14" s="245"/>
      <c r="CF14" s="245"/>
      <c r="CG14" s="245"/>
      <c r="CH14" s="103"/>
      <c r="CI14" s="103"/>
      <c r="CJ14" s="244" t="s">
        <v>25</v>
      </c>
      <c r="CK14" s="244"/>
      <c r="CL14" s="244"/>
      <c r="CM14" s="244"/>
      <c r="CN14" s="128"/>
      <c r="CO14" s="128"/>
      <c r="CP14" s="245" t="s">
        <v>36</v>
      </c>
      <c r="CQ14" s="245"/>
      <c r="CR14" s="245"/>
      <c r="CS14" s="245"/>
      <c r="CT14" s="103"/>
      <c r="CU14" s="103"/>
      <c r="CV14" s="244" t="s">
        <v>26</v>
      </c>
      <c r="CW14" s="244"/>
      <c r="CX14" s="244"/>
      <c r="CY14" s="244"/>
      <c r="CZ14" s="128"/>
      <c r="DA14" s="128"/>
      <c r="DB14" s="245" t="s">
        <v>37</v>
      </c>
      <c r="DC14" s="245"/>
      <c r="DD14" s="245"/>
      <c r="DE14" s="245"/>
      <c r="DF14" s="103"/>
      <c r="DG14" s="103"/>
      <c r="DH14" s="244" t="s">
        <v>27</v>
      </c>
      <c r="DI14" s="244"/>
      <c r="DJ14" s="244"/>
      <c r="DK14" s="244"/>
      <c r="DL14" s="128"/>
      <c r="DM14" s="128"/>
      <c r="DN14" s="245" t="s">
        <v>38</v>
      </c>
      <c r="DO14" s="245"/>
      <c r="DP14" s="245"/>
      <c r="DQ14" s="245"/>
      <c r="DR14" s="103"/>
      <c r="DS14" s="103"/>
      <c r="DT14" s="103"/>
      <c r="DU14" s="104"/>
      <c r="DV14" s="102"/>
      <c r="DW14" s="103"/>
      <c r="DX14" s="103"/>
      <c r="DY14" s="103"/>
      <c r="DZ14" s="245" t="s">
        <v>34</v>
      </c>
      <c r="EA14" s="245"/>
      <c r="EB14" s="245"/>
      <c r="EC14" s="245"/>
      <c r="ED14" s="103"/>
      <c r="EE14" s="103"/>
      <c r="EF14" s="244" t="s">
        <v>24</v>
      </c>
      <c r="EG14" s="244"/>
      <c r="EH14" s="244"/>
      <c r="EI14" s="244"/>
      <c r="EJ14" s="128"/>
      <c r="EK14" s="128"/>
      <c r="EL14" s="245" t="s">
        <v>35</v>
      </c>
      <c r="EM14" s="245"/>
      <c r="EN14" s="245"/>
      <c r="EO14" s="245"/>
      <c r="EP14" s="103"/>
      <c r="EQ14" s="103"/>
      <c r="ER14" s="244" t="s">
        <v>25</v>
      </c>
      <c r="ES14" s="244"/>
      <c r="ET14" s="244"/>
      <c r="EU14" s="244"/>
      <c r="EV14" s="128"/>
      <c r="EW14" s="128"/>
      <c r="EX14" s="245" t="s">
        <v>36</v>
      </c>
      <c r="EY14" s="245"/>
      <c r="EZ14" s="245"/>
      <c r="FA14" s="245"/>
      <c r="FB14" s="103"/>
      <c r="FC14" s="103"/>
      <c r="FD14" s="244" t="s">
        <v>26</v>
      </c>
      <c r="FE14" s="244"/>
      <c r="FF14" s="244"/>
      <c r="FG14" s="244"/>
      <c r="FH14" s="128"/>
      <c r="FI14" s="128"/>
      <c r="FJ14" s="245" t="s">
        <v>37</v>
      </c>
      <c r="FK14" s="245"/>
      <c r="FL14" s="245"/>
      <c r="FM14" s="245"/>
      <c r="FN14" s="103"/>
      <c r="FO14" s="103"/>
      <c r="FP14" s="244" t="s">
        <v>27</v>
      </c>
      <c r="FQ14" s="244"/>
      <c r="FR14" s="244"/>
      <c r="FS14" s="244"/>
      <c r="FT14" s="128"/>
      <c r="FU14" s="128"/>
      <c r="FV14" s="245" t="s">
        <v>38</v>
      </c>
      <c r="FW14" s="245"/>
      <c r="FX14" s="245"/>
      <c r="FY14" s="245"/>
      <c r="FZ14" s="103"/>
      <c r="GA14" s="103"/>
      <c r="GB14" s="103"/>
      <c r="GC14" s="104"/>
      <c r="GD14" s="102"/>
      <c r="GE14" s="103"/>
      <c r="GF14" s="103"/>
      <c r="GG14" s="103"/>
      <c r="GH14" s="245" t="s">
        <v>34</v>
      </c>
      <c r="GI14" s="245"/>
      <c r="GJ14" s="245"/>
      <c r="GK14" s="245"/>
      <c r="GL14" s="103"/>
      <c r="GM14" s="103"/>
      <c r="GN14" s="244" t="s">
        <v>24</v>
      </c>
      <c r="GO14" s="244"/>
      <c r="GP14" s="244"/>
      <c r="GQ14" s="244"/>
      <c r="GR14" s="128"/>
      <c r="GS14" s="128"/>
      <c r="GT14" s="245" t="s">
        <v>35</v>
      </c>
      <c r="GU14" s="245"/>
      <c r="GV14" s="245"/>
      <c r="GW14" s="245"/>
      <c r="GX14" s="103"/>
      <c r="GY14" s="103"/>
      <c r="GZ14" s="244" t="s">
        <v>25</v>
      </c>
      <c r="HA14" s="244"/>
      <c r="HB14" s="244"/>
      <c r="HC14" s="244"/>
      <c r="HD14" s="128"/>
      <c r="HE14" s="128"/>
      <c r="HF14" s="245" t="s">
        <v>36</v>
      </c>
      <c r="HG14" s="245"/>
      <c r="HH14" s="245"/>
      <c r="HI14" s="245"/>
      <c r="HJ14" s="103"/>
      <c r="HK14" s="103"/>
      <c r="HL14" s="244" t="s">
        <v>26</v>
      </c>
      <c r="HM14" s="244"/>
      <c r="HN14" s="244"/>
      <c r="HO14" s="244"/>
      <c r="HP14" s="128"/>
      <c r="HQ14" s="128"/>
      <c r="HR14" s="245" t="s">
        <v>37</v>
      </c>
      <c r="HS14" s="245"/>
      <c r="HT14" s="245"/>
      <c r="HU14" s="245"/>
      <c r="HV14" s="103"/>
      <c r="HW14" s="103"/>
      <c r="HX14" s="244" t="s">
        <v>27</v>
      </c>
      <c r="HY14" s="244"/>
      <c r="HZ14" s="244"/>
      <c r="IA14" s="244"/>
      <c r="IB14" s="128"/>
      <c r="IC14" s="128"/>
      <c r="ID14" s="245" t="s">
        <v>38</v>
      </c>
      <c r="IE14" s="245"/>
      <c r="IF14" s="245"/>
      <c r="IG14" s="245"/>
      <c r="IH14" s="103"/>
      <c r="II14" s="103"/>
      <c r="IJ14" s="103"/>
      <c r="IK14" s="104"/>
      <c r="IL14" s="102"/>
      <c r="IM14" s="103"/>
      <c r="IN14" s="103"/>
      <c r="IO14" s="103"/>
      <c r="IP14" s="245" t="s">
        <v>34</v>
      </c>
      <c r="IQ14" s="245"/>
      <c r="IR14" s="245"/>
      <c r="IS14" s="245"/>
      <c r="IT14" s="103"/>
      <c r="IU14" s="103"/>
      <c r="IV14" s="244" t="s">
        <v>24</v>
      </c>
      <c r="IW14" s="244"/>
      <c r="IX14" s="244"/>
      <c r="IY14" s="244"/>
      <c r="IZ14" s="128"/>
      <c r="JA14" s="128"/>
      <c r="JB14" s="245" t="s">
        <v>35</v>
      </c>
      <c r="JC14" s="245"/>
      <c r="JD14" s="245"/>
      <c r="JE14" s="245"/>
      <c r="JF14" s="103"/>
      <c r="JG14" s="103"/>
      <c r="JH14" s="244" t="s">
        <v>25</v>
      </c>
      <c r="JI14" s="244"/>
      <c r="JJ14" s="244"/>
      <c r="JK14" s="244"/>
      <c r="JL14" s="128"/>
      <c r="JM14" s="128"/>
      <c r="JN14" s="245" t="s">
        <v>36</v>
      </c>
      <c r="JO14" s="245"/>
      <c r="JP14" s="245"/>
      <c r="JQ14" s="245"/>
      <c r="JR14" s="103"/>
      <c r="JS14" s="103"/>
      <c r="JT14" s="244" t="s">
        <v>26</v>
      </c>
      <c r="JU14" s="244"/>
      <c r="JV14" s="244"/>
      <c r="JW14" s="244"/>
      <c r="JX14" s="128"/>
      <c r="JY14" s="128"/>
      <c r="JZ14" s="245" t="s">
        <v>37</v>
      </c>
      <c r="KA14" s="245"/>
      <c r="KB14" s="245"/>
      <c r="KC14" s="245"/>
      <c r="KD14" s="103"/>
      <c r="KE14" s="103"/>
      <c r="KF14" s="244" t="s">
        <v>27</v>
      </c>
      <c r="KG14" s="244"/>
      <c r="KH14" s="244"/>
      <c r="KI14" s="244"/>
      <c r="KJ14" s="128"/>
      <c r="KK14" s="128"/>
      <c r="KL14" s="245" t="s">
        <v>38</v>
      </c>
      <c r="KM14" s="245"/>
      <c r="KN14" s="245"/>
      <c r="KO14" s="245"/>
      <c r="KP14" s="103"/>
      <c r="KQ14" s="103"/>
      <c r="KR14" s="103"/>
      <c r="KS14" s="104"/>
      <c r="KT14" s="102"/>
      <c r="KU14" s="103"/>
      <c r="KV14" s="103"/>
      <c r="KW14" s="103"/>
      <c r="KX14" s="245" t="s">
        <v>34</v>
      </c>
      <c r="KY14" s="245"/>
      <c r="KZ14" s="245"/>
      <c r="LA14" s="245"/>
      <c r="LB14" s="103"/>
      <c r="LC14" s="103"/>
      <c r="LD14" s="244" t="s">
        <v>24</v>
      </c>
      <c r="LE14" s="244"/>
      <c r="LF14" s="244"/>
      <c r="LG14" s="244"/>
      <c r="LH14" s="128"/>
      <c r="LI14" s="128"/>
      <c r="LJ14" s="245" t="s">
        <v>35</v>
      </c>
      <c r="LK14" s="245"/>
      <c r="LL14" s="245"/>
      <c r="LM14" s="245"/>
      <c r="LN14" s="103"/>
      <c r="LO14" s="103"/>
      <c r="LP14" s="244" t="s">
        <v>25</v>
      </c>
      <c r="LQ14" s="244"/>
      <c r="LR14" s="244"/>
      <c r="LS14" s="244"/>
      <c r="LT14" s="128"/>
      <c r="LU14" s="128"/>
      <c r="LV14" s="245" t="s">
        <v>36</v>
      </c>
      <c r="LW14" s="245"/>
      <c r="LX14" s="245"/>
      <c r="LY14" s="245"/>
      <c r="LZ14" s="103"/>
      <c r="MA14" s="103"/>
      <c r="MB14" s="244" t="s">
        <v>26</v>
      </c>
      <c r="MC14" s="244"/>
      <c r="MD14" s="244"/>
      <c r="ME14" s="244"/>
      <c r="MF14" s="128"/>
      <c r="MG14" s="128"/>
      <c r="MH14" s="245" t="s">
        <v>37</v>
      </c>
      <c r="MI14" s="245"/>
      <c r="MJ14" s="245"/>
      <c r="MK14" s="245"/>
      <c r="ML14" s="103"/>
      <c r="MM14" s="103"/>
      <c r="MN14" s="244" t="s">
        <v>27</v>
      </c>
      <c r="MO14" s="244"/>
      <c r="MP14" s="244"/>
      <c r="MQ14" s="244"/>
      <c r="MR14" s="128"/>
      <c r="MS14" s="128"/>
      <c r="MT14" s="245" t="s">
        <v>38</v>
      </c>
      <c r="MU14" s="245"/>
      <c r="MV14" s="245"/>
      <c r="MW14" s="245"/>
      <c r="MX14" s="103"/>
      <c r="MY14" s="103"/>
      <c r="MZ14" s="103"/>
      <c r="NA14" s="104"/>
      <c r="NB14" s="102"/>
      <c r="NC14" s="103"/>
      <c r="ND14" s="103"/>
      <c r="NE14" s="103"/>
      <c r="NF14" s="245" t="s">
        <v>34</v>
      </c>
      <c r="NG14" s="245"/>
      <c r="NH14" s="245"/>
      <c r="NI14" s="245"/>
      <c r="NJ14" s="103"/>
      <c r="NK14" s="103"/>
      <c r="NL14" s="244" t="s">
        <v>24</v>
      </c>
      <c r="NM14" s="244"/>
      <c r="NN14" s="244"/>
      <c r="NO14" s="244"/>
      <c r="NP14" s="128"/>
      <c r="NQ14" s="128"/>
      <c r="NR14" s="245" t="s">
        <v>35</v>
      </c>
      <c r="NS14" s="245"/>
      <c r="NT14" s="245"/>
      <c r="NU14" s="245"/>
      <c r="NV14" s="103"/>
      <c r="NW14" s="103"/>
      <c r="NX14" s="244" t="s">
        <v>25</v>
      </c>
      <c r="NY14" s="244"/>
      <c r="NZ14" s="244"/>
      <c r="OA14" s="244"/>
      <c r="OB14" s="128"/>
      <c r="OC14" s="128"/>
      <c r="OD14" s="245" t="s">
        <v>36</v>
      </c>
      <c r="OE14" s="245"/>
      <c r="OF14" s="245"/>
      <c r="OG14" s="245"/>
      <c r="OH14" s="103"/>
      <c r="OI14" s="103"/>
      <c r="OJ14" s="244" t="s">
        <v>26</v>
      </c>
      <c r="OK14" s="244"/>
      <c r="OL14" s="244"/>
      <c r="OM14" s="244"/>
      <c r="ON14" s="128"/>
      <c r="OO14" s="128"/>
      <c r="OP14" s="245" t="s">
        <v>37</v>
      </c>
      <c r="OQ14" s="245"/>
      <c r="OR14" s="245"/>
      <c r="OS14" s="245"/>
      <c r="OT14" s="103"/>
      <c r="OU14" s="103"/>
      <c r="OV14" s="244" t="s">
        <v>27</v>
      </c>
      <c r="OW14" s="244"/>
      <c r="OX14" s="244"/>
      <c r="OY14" s="244"/>
      <c r="OZ14" s="128"/>
      <c r="PA14" s="128"/>
      <c r="PB14" s="245" t="s">
        <v>38</v>
      </c>
      <c r="PC14" s="245"/>
      <c r="PD14" s="245"/>
      <c r="PE14" s="245"/>
      <c r="PF14" s="103"/>
      <c r="PG14" s="103"/>
      <c r="PH14" s="103"/>
      <c r="PI14" s="104"/>
      <c r="PJ14" s="102"/>
      <c r="PK14" s="103"/>
      <c r="PL14" s="103"/>
      <c r="PM14" s="103"/>
      <c r="PN14" s="245" t="s">
        <v>34</v>
      </c>
      <c r="PO14" s="245"/>
      <c r="PP14" s="245"/>
      <c r="PQ14" s="245"/>
      <c r="PR14" s="103"/>
      <c r="PS14" s="103"/>
      <c r="PT14" s="244" t="s">
        <v>24</v>
      </c>
      <c r="PU14" s="244"/>
      <c r="PV14" s="244"/>
      <c r="PW14" s="244"/>
      <c r="PX14" s="128"/>
      <c r="PY14" s="128"/>
      <c r="PZ14" s="245" t="s">
        <v>35</v>
      </c>
      <c r="QA14" s="245"/>
      <c r="QB14" s="245"/>
      <c r="QC14" s="245"/>
      <c r="QD14" s="103"/>
      <c r="QE14" s="103"/>
      <c r="QF14" s="244" t="s">
        <v>25</v>
      </c>
      <c r="QG14" s="244"/>
      <c r="QH14" s="244"/>
      <c r="QI14" s="244"/>
      <c r="QJ14" s="128"/>
      <c r="QK14" s="128"/>
      <c r="QL14" s="245" t="s">
        <v>36</v>
      </c>
      <c r="QM14" s="245"/>
      <c r="QN14" s="245"/>
      <c r="QO14" s="245"/>
      <c r="QP14" s="103"/>
      <c r="QQ14" s="103"/>
      <c r="QR14" s="244" t="s">
        <v>26</v>
      </c>
      <c r="QS14" s="244"/>
      <c r="QT14" s="244"/>
      <c r="QU14" s="244"/>
      <c r="QV14" s="128"/>
      <c r="QW14" s="128"/>
      <c r="QX14" s="245" t="s">
        <v>37</v>
      </c>
      <c r="QY14" s="245"/>
      <c r="QZ14" s="245"/>
      <c r="RA14" s="245"/>
      <c r="RB14" s="103"/>
      <c r="RC14" s="103"/>
      <c r="RD14" s="244" t="s">
        <v>27</v>
      </c>
      <c r="RE14" s="244"/>
      <c r="RF14" s="244"/>
      <c r="RG14" s="244"/>
      <c r="RH14" s="128"/>
      <c r="RI14" s="128"/>
      <c r="RJ14" s="245" t="s">
        <v>38</v>
      </c>
      <c r="RK14" s="245"/>
      <c r="RL14" s="245"/>
      <c r="RM14" s="245"/>
      <c r="RN14" s="103"/>
      <c r="RO14" s="103"/>
      <c r="RP14" s="103"/>
      <c r="RQ14" s="104"/>
      <c r="RR14" s="102"/>
      <c r="RS14" s="103"/>
      <c r="RT14" s="103"/>
      <c r="RU14" s="103"/>
      <c r="RV14" s="245" t="s">
        <v>34</v>
      </c>
      <c r="RW14" s="245"/>
      <c r="RX14" s="245"/>
      <c r="RY14" s="245"/>
      <c r="RZ14" s="103"/>
      <c r="SA14" s="103"/>
      <c r="SB14" s="244" t="s">
        <v>24</v>
      </c>
      <c r="SC14" s="244"/>
      <c r="SD14" s="244"/>
      <c r="SE14" s="244"/>
      <c r="SF14" s="128"/>
      <c r="SG14" s="128"/>
      <c r="SH14" s="245" t="s">
        <v>35</v>
      </c>
      <c r="SI14" s="245"/>
      <c r="SJ14" s="245"/>
      <c r="SK14" s="245"/>
      <c r="SL14" s="103"/>
      <c r="SM14" s="103"/>
      <c r="SN14" s="244" t="s">
        <v>25</v>
      </c>
      <c r="SO14" s="244"/>
      <c r="SP14" s="244"/>
      <c r="SQ14" s="244"/>
      <c r="SR14" s="128"/>
      <c r="SS14" s="128"/>
      <c r="ST14" s="245" t="s">
        <v>36</v>
      </c>
      <c r="SU14" s="245"/>
      <c r="SV14" s="245"/>
      <c r="SW14" s="245"/>
      <c r="SX14" s="103"/>
      <c r="SY14" s="103"/>
      <c r="SZ14" s="244" t="s">
        <v>26</v>
      </c>
      <c r="TA14" s="244"/>
      <c r="TB14" s="244"/>
      <c r="TC14" s="244"/>
      <c r="TD14" s="128"/>
      <c r="TE14" s="128"/>
      <c r="TF14" s="245" t="s">
        <v>37</v>
      </c>
      <c r="TG14" s="245"/>
      <c r="TH14" s="245"/>
      <c r="TI14" s="245"/>
      <c r="TJ14" s="103"/>
      <c r="TK14" s="103"/>
      <c r="TL14" s="244" t="s">
        <v>27</v>
      </c>
      <c r="TM14" s="244"/>
      <c r="TN14" s="244"/>
      <c r="TO14" s="244"/>
      <c r="TP14" s="128"/>
      <c r="TQ14" s="128"/>
      <c r="TR14" s="245" t="s">
        <v>38</v>
      </c>
      <c r="TS14" s="245"/>
      <c r="TT14" s="245"/>
      <c r="TU14" s="245"/>
      <c r="TV14" s="103"/>
      <c r="TW14" s="103"/>
      <c r="TX14" s="103"/>
      <c r="TY14" s="104"/>
      <c r="TZ14" s="102"/>
      <c r="UA14" s="103"/>
      <c r="UB14" s="103"/>
      <c r="UC14" s="103"/>
      <c r="UD14" s="245" t="s">
        <v>34</v>
      </c>
      <c r="UE14" s="245"/>
      <c r="UF14" s="245"/>
      <c r="UG14" s="245"/>
      <c r="UH14" s="103"/>
      <c r="UI14" s="103"/>
      <c r="UJ14" s="244" t="s">
        <v>24</v>
      </c>
      <c r="UK14" s="244"/>
      <c r="UL14" s="244"/>
      <c r="UM14" s="244"/>
      <c r="UN14" s="128"/>
      <c r="UO14" s="128"/>
      <c r="UP14" s="245" t="s">
        <v>35</v>
      </c>
      <c r="UQ14" s="245"/>
      <c r="UR14" s="245"/>
      <c r="US14" s="245"/>
      <c r="UT14" s="103"/>
      <c r="UU14" s="103"/>
      <c r="UV14" s="244" t="s">
        <v>25</v>
      </c>
      <c r="UW14" s="244"/>
      <c r="UX14" s="244"/>
      <c r="UY14" s="244"/>
      <c r="UZ14" s="128"/>
      <c r="VA14" s="128"/>
      <c r="VB14" s="245" t="s">
        <v>36</v>
      </c>
      <c r="VC14" s="245"/>
      <c r="VD14" s="245"/>
      <c r="VE14" s="245"/>
      <c r="VF14" s="103"/>
      <c r="VG14" s="103"/>
      <c r="VH14" s="244" t="s">
        <v>26</v>
      </c>
      <c r="VI14" s="244"/>
      <c r="VJ14" s="244"/>
      <c r="VK14" s="244"/>
      <c r="VL14" s="128"/>
      <c r="VM14" s="128"/>
      <c r="VN14" s="245" t="s">
        <v>37</v>
      </c>
      <c r="VO14" s="245"/>
      <c r="VP14" s="245"/>
      <c r="VQ14" s="245"/>
      <c r="VR14" s="103"/>
      <c r="VS14" s="103"/>
      <c r="VT14" s="244" t="s">
        <v>27</v>
      </c>
      <c r="VU14" s="244"/>
      <c r="VV14" s="244"/>
      <c r="VW14" s="244"/>
      <c r="VX14" s="128"/>
      <c r="VY14" s="128"/>
      <c r="VZ14" s="245" t="s">
        <v>38</v>
      </c>
      <c r="WA14" s="245"/>
      <c r="WB14" s="245"/>
      <c r="WC14" s="245"/>
      <c r="WD14" s="103"/>
      <c r="WE14" s="103"/>
      <c r="WF14" s="103"/>
      <c r="WG14" s="104"/>
      <c r="WH14" s="102"/>
      <c r="WI14" s="103"/>
      <c r="WJ14" s="103"/>
      <c r="WK14" s="103"/>
      <c r="WL14" s="245" t="s">
        <v>34</v>
      </c>
      <c r="WM14" s="245"/>
      <c r="WN14" s="245"/>
      <c r="WO14" s="245"/>
      <c r="WP14" s="103"/>
      <c r="WQ14" s="103"/>
      <c r="WR14" s="244" t="s">
        <v>24</v>
      </c>
      <c r="WS14" s="244"/>
      <c r="WT14" s="244"/>
      <c r="WU14" s="244"/>
      <c r="WV14" s="128"/>
      <c r="WW14" s="128"/>
      <c r="WX14" s="245" t="s">
        <v>35</v>
      </c>
      <c r="WY14" s="245"/>
      <c r="WZ14" s="245"/>
      <c r="XA14" s="245"/>
      <c r="XB14" s="103"/>
      <c r="XC14" s="103"/>
      <c r="XD14" s="244" t="s">
        <v>25</v>
      </c>
      <c r="XE14" s="244"/>
      <c r="XF14" s="244"/>
      <c r="XG14" s="244"/>
      <c r="XH14" s="128"/>
      <c r="XI14" s="128"/>
      <c r="XJ14" s="245" t="s">
        <v>36</v>
      </c>
      <c r="XK14" s="245"/>
      <c r="XL14" s="245"/>
      <c r="XM14" s="245"/>
      <c r="XN14" s="103"/>
      <c r="XO14" s="103"/>
      <c r="XP14" s="244" t="s">
        <v>26</v>
      </c>
      <c r="XQ14" s="244"/>
      <c r="XR14" s="244"/>
      <c r="XS14" s="244"/>
      <c r="XT14" s="128"/>
      <c r="XU14" s="128"/>
      <c r="XV14" s="245" t="s">
        <v>37</v>
      </c>
      <c r="XW14" s="245"/>
      <c r="XX14" s="245"/>
      <c r="XY14" s="245"/>
      <c r="XZ14" s="103"/>
      <c r="YA14" s="103"/>
      <c r="YB14" s="244" t="s">
        <v>27</v>
      </c>
      <c r="YC14" s="244"/>
      <c r="YD14" s="244"/>
      <c r="YE14" s="244"/>
      <c r="YF14" s="128"/>
      <c r="YG14" s="128"/>
      <c r="YH14" s="245" t="s">
        <v>38</v>
      </c>
      <c r="YI14" s="245"/>
      <c r="YJ14" s="245"/>
      <c r="YK14" s="245"/>
      <c r="YL14" s="103"/>
      <c r="YM14" s="103"/>
      <c r="YN14" s="103"/>
      <c r="YO14" s="104"/>
      <c r="YP14" s="102"/>
      <c r="YQ14" s="103"/>
      <c r="YR14" s="103"/>
      <c r="YS14" s="103"/>
      <c r="YT14" s="245" t="s">
        <v>34</v>
      </c>
      <c r="YU14" s="245"/>
      <c r="YV14" s="245"/>
      <c r="YW14" s="245"/>
      <c r="YX14" s="103"/>
      <c r="YY14" s="103"/>
      <c r="YZ14" s="244" t="s">
        <v>24</v>
      </c>
      <c r="ZA14" s="244"/>
      <c r="ZB14" s="244"/>
      <c r="ZC14" s="244"/>
      <c r="ZD14" s="128"/>
      <c r="ZE14" s="128"/>
      <c r="ZF14" s="245" t="s">
        <v>35</v>
      </c>
      <c r="ZG14" s="245"/>
      <c r="ZH14" s="245"/>
      <c r="ZI14" s="245"/>
      <c r="ZJ14" s="103"/>
      <c r="ZK14" s="103"/>
      <c r="ZL14" s="244" t="s">
        <v>25</v>
      </c>
      <c r="ZM14" s="244"/>
      <c r="ZN14" s="244"/>
      <c r="ZO14" s="244"/>
      <c r="ZP14" s="128"/>
      <c r="ZQ14" s="128"/>
      <c r="ZR14" s="245" t="s">
        <v>36</v>
      </c>
      <c r="ZS14" s="245"/>
      <c r="ZT14" s="245"/>
      <c r="ZU14" s="245"/>
      <c r="ZV14" s="103"/>
      <c r="ZW14" s="103"/>
      <c r="ZX14" s="244" t="s">
        <v>26</v>
      </c>
      <c r="ZY14" s="244"/>
      <c r="ZZ14" s="244"/>
      <c r="AAA14" s="244"/>
      <c r="AAB14" s="128"/>
      <c r="AAC14" s="128"/>
      <c r="AAD14" s="245" t="s">
        <v>37</v>
      </c>
      <c r="AAE14" s="245"/>
      <c r="AAF14" s="245"/>
      <c r="AAG14" s="245"/>
      <c r="AAH14" s="103"/>
      <c r="AAI14" s="103"/>
      <c r="AAJ14" s="244" t="s">
        <v>27</v>
      </c>
      <c r="AAK14" s="244"/>
      <c r="AAL14" s="244"/>
      <c r="AAM14" s="244"/>
      <c r="AAN14" s="128"/>
      <c r="AAO14" s="128"/>
      <c r="AAP14" s="245" t="s">
        <v>38</v>
      </c>
      <c r="AAQ14" s="245"/>
      <c r="AAR14" s="245"/>
      <c r="AAS14" s="245"/>
      <c r="AAT14" s="103"/>
      <c r="AAU14" s="103"/>
      <c r="AAV14" s="103"/>
      <c r="AAW14" s="104"/>
      <c r="AAX14" s="102"/>
      <c r="AAY14" s="103"/>
      <c r="AAZ14" s="103"/>
      <c r="ABA14" s="103"/>
      <c r="ABB14" s="245" t="s">
        <v>34</v>
      </c>
      <c r="ABC14" s="245"/>
      <c r="ABD14" s="245"/>
      <c r="ABE14" s="245"/>
      <c r="ABF14" s="103"/>
      <c r="ABG14" s="103"/>
      <c r="ABH14" s="244" t="s">
        <v>24</v>
      </c>
      <c r="ABI14" s="244"/>
      <c r="ABJ14" s="244"/>
      <c r="ABK14" s="244"/>
      <c r="ABL14" s="128"/>
      <c r="ABM14" s="128"/>
      <c r="ABN14" s="245" t="s">
        <v>35</v>
      </c>
      <c r="ABO14" s="245"/>
      <c r="ABP14" s="245"/>
      <c r="ABQ14" s="245"/>
      <c r="ABR14" s="103"/>
      <c r="ABS14" s="103"/>
      <c r="ABT14" s="244" t="s">
        <v>25</v>
      </c>
      <c r="ABU14" s="244"/>
      <c r="ABV14" s="244"/>
      <c r="ABW14" s="244"/>
      <c r="ABX14" s="128"/>
      <c r="ABY14" s="128"/>
      <c r="ABZ14" s="245" t="s">
        <v>36</v>
      </c>
      <c r="ACA14" s="245"/>
      <c r="ACB14" s="245"/>
      <c r="ACC14" s="245"/>
      <c r="ACD14" s="103"/>
      <c r="ACE14" s="103"/>
      <c r="ACF14" s="244" t="s">
        <v>26</v>
      </c>
      <c r="ACG14" s="244"/>
      <c r="ACH14" s="244"/>
      <c r="ACI14" s="244"/>
      <c r="ACJ14" s="128"/>
      <c r="ACK14" s="128"/>
      <c r="ACL14" s="245" t="s">
        <v>37</v>
      </c>
      <c r="ACM14" s="245"/>
      <c r="ACN14" s="245"/>
      <c r="ACO14" s="245"/>
      <c r="ACP14" s="103"/>
      <c r="ACQ14" s="103"/>
      <c r="ACR14" s="244" t="s">
        <v>27</v>
      </c>
      <c r="ACS14" s="244"/>
      <c r="ACT14" s="244"/>
      <c r="ACU14" s="244"/>
      <c r="ACV14" s="128"/>
      <c r="ACW14" s="128"/>
      <c r="ACX14" s="245" t="s">
        <v>38</v>
      </c>
      <c r="ACY14" s="245"/>
      <c r="ACZ14" s="245"/>
      <c r="ADA14" s="245"/>
      <c r="ADB14" s="103"/>
      <c r="ADC14" s="103"/>
      <c r="ADD14" s="103"/>
      <c r="ADE14" s="104"/>
      <c r="ADF14" s="102"/>
      <c r="ADG14" s="103"/>
      <c r="ADH14" s="103"/>
      <c r="ADI14" s="103"/>
      <c r="ADJ14" s="245" t="s">
        <v>34</v>
      </c>
      <c r="ADK14" s="245"/>
      <c r="ADL14" s="245"/>
      <c r="ADM14" s="245"/>
      <c r="ADN14" s="103"/>
      <c r="ADO14" s="103"/>
      <c r="ADP14" s="244" t="s">
        <v>24</v>
      </c>
      <c r="ADQ14" s="244"/>
      <c r="ADR14" s="244"/>
      <c r="ADS14" s="244"/>
      <c r="ADT14" s="128"/>
      <c r="ADU14" s="128"/>
      <c r="ADV14" s="245" t="s">
        <v>35</v>
      </c>
      <c r="ADW14" s="245"/>
      <c r="ADX14" s="245"/>
      <c r="ADY14" s="245"/>
      <c r="ADZ14" s="103"/>
      <c r="AEA14" s="103"/>
      <c r="AEB14" s="244" t="s">
        <v>25</v>
      </c>
      <c r="AEC14" s="244"/>
      <c r="AED14" s="244"/>
      <c r="AEE14" s="244"/>
      <c r="AEF14" s="128"/>
      <c r="AEG14" s="128"/>
      <c r="AEH14" s="245" t="s">
        <v>36</v>
      </c>
      <c r="AEI14" s="245"/>
      <c r="AEJ14" s="245"/>
      <c r="AEK14" s="245"/>
      <c r="AEL14" s="103"/>
      <c r="AEM14" s="103"/>
      <c r="AEN14" s="244" t="s">
        <v>26</v>
      </c>
      <c r="AEO14" s="244"/>
      <c r="AEP14" s="244"/>
      <c r="AEQ14" s="244"/>
      <c r="AER14" s="128"/>
      <c r="AES14" s="128"/>
      <c r="AET14" s="245" t="s">
        <v>37</v>
      </c>
      <c r="AEU14" s="245"/>
      <c r="AEV14" s="245"/>
      <c r="AEW14" s="245"/>
      <c r="AEX14" s="103"/>
      <c r="AEY14" s="103"/>
      <c r="AEZ14" s="244" t="s">
        <v>27</v>
      </c>
      <c r="AFA14" s="244"/>
      <c r="AFB14" s="244"/>
      <c r="AFC14" s="244"/>
      <c r="AFD14" s="128"/>
      <c r="AFE14" s="128"/>
      <c r="AFF14" s="245" t="s">
        <v>38</v>
      </c>
      <c r="AFG14" s="245"/>
      <c r="AFH14" s="245"/>
      <c r="AFI14" s="245"/>
      <c r="AFJ14" s="103"/>
      <c r="AFK14" s="103"/>
      <c r="AFL14" s="103"/>
      <c r="AFM14" s="104"/>
      <c r="AFN14" s="102"/>
      <c r="AFO14" s="103"/>
      <c r="AFP14" s="103"/>
      <c r="AFQ14" s="103"/>
      <c r="AFR14" s="245" t="s">
        <v>34</v>
      </c>
      <c r="AFS14" s="245"/>
      <c r="AFT14" s="245"/>
      <c r="AFU14" s="245"/>
      <c r="AFV14" s="103"/>
      <c r="AFW14" s="103"/>
      <c r="AFX14" s="244" t="s">
        <v>24</v>
      </c>
      <c r="AFY14" s="244"/>
      <c r="AFZ14" s="244"/>
      <c r="AGA14" s="244"/>
      <c r="AGB14" s="128"/>
      <c r="AGC14" s="128"/>
      <c r="AGD14" s="245" t="s">
        <v>35</v>
      </c>
      <c r="AGE14" s="245"/>
      <c r="AGF14" s="245"/>
      <c r="AGG14" s="245"/>
      <c r="AGH14" s="103"/>
      <c r="AGI14" s="103"/>
      <c r="AGJ14" s="244" t="s">
        <v>25</v>
      </c>
      <c r="AGK14" s="244"/>
      <c r="AGL14" s="244"/>
      <c r="AGM14" s="244"/>
      <c r="AGN14" s="128"/>
      <c r="AGO14" s="128"/>
      <c r="AGP14" s="245" t="s">
        <v>36</v>
      </c>
      <c r="AGQ14" s="245"/>
      <c r="AGR14" s="245"/>
      <c r="AGS14" s="245"/>
      <c r="AGT14" s="103"/>
      <c r="AGU14" s="103"/>
      <c r="AGV14" s="244" t="s">
        <v>26</v>
      </c>
      <c r="AGW14" s="244"/>
      <c r="AGX14" s="244"/>
      <c r="AGY14" s="244"/>
      <c r="AGZ14" s="128"/>
      <c r="AHA14" s="128"/>
      <c r="AHB14" s="245" t="s">
        <v>37</v>
      </c>
      <c r="AHC14" s="245"/>
      <c r="AHD14" s="245"/>
      <c r="AHE14" s="245"/>
      <c r="AHF14" s="103"/>
      <c r="AHG14" s="103"/>
      <c r="AHH14" s="244" t="s">
        <v>27</v>
      </c>
      <c r="AHI14" s="244"/>
      <c r="AHJ14" s="244"/>
      <c r="AHK14" s="244"/>
      <c r="AHL14" s="128"/>
      <c r="AHM14" s="128"/>
      <c r="AHN14" s="245" t="s">
        <v>38</v>
      </c>
      <c r="AHO14" s="245"/>
      <c r="AHP14" s="245"/>
      <c r="AHQ14" s="245"/>
      <c r="AHR14" s="103"/>
      <c r="AHS14" s="103"/>
      <c r="AHT14" s="103"/>
      <c r="AHU14" s="104"/>
      <c r="AHV14" s="102"/>
      <c r="AHW14" s="103"/>
      <c r="AHX14" s="103"/>
      <c r="AHY14" s="103"/>
      <c r="AHZ14" s="245" t="s">
        <v>34</v>
      </c>
      <c r="AIA14" s="245"/>
      <c r="AIB14" s="245"/>
      <c r="AIC14" s="245"/>
      <c r="AID14" s="103"/>
      <c r="AIE14" s="103"/>
      <c r="AIF14" s="244" t="s">
        <v>24</v>
      </c>
      <c r="AIG14" s="244"/>
      <c r="AIH14" s="244"/>
      <c r="AII14" s="244"/>
      <c r="AIJ14" s="128"/>
      <c r="AIK14" s="128"/>
      <c r="AIL14" s="245" t="s">
        <v>35</v>
      </c>
      <c r="AIM14" s="245"/>
      <c r="AIN14" s="245"/>
      <c r="AIO14" s="245"/>
      <c r="AIP14" s="103"/>
      <c r="AIQ14" s="103"/>
      <c r="AIR14" s="244" t="s">
        <v>25</v>
      </c>
      <c r="AIS14" s="244"/>
      <c r="AIT14" s="244"/>
      <c r="AIU14" s="244"/>
      <c r="AIV14" s="128"/>
      <c r="AIW14" s="128"/>
      <c r="AIX14" s="245" t="s">
        <v>36</v>
      </c>
      <c r="AIY14" s="245"/>
      <c r="AIZ14" s="245"/>
      <c r="AJA14" s="245"/>
      <c r="AJB14" s="103"/>
      <c r="AJC14" s="103"/>
      <c r="AJD14" s="244" t="s">
        <v>26</v>
      </c>
      <c r="AJE14" s="244"/>
      <c r="AJF14" s="244"/>
      <c r="AJG14" s="244"/>
      <c r="AJH14" s="128"/>
      <c r="AJI14" s="128"/>
      <c r="AJJ14" s="245" t="s">
        <v>37</v>
      </c>
      <c r="AJK14" s="245"/>
      <c r="AJL14" s="245"/>
      <c r="AJM14" s="245"/>
      <c r="AJN14" s="103"/>
      <c r="AJO14" s="103"/>
      <c r="AJP14" s="244" t="s">
        <v>27</v>
      </c>
      <c r="AJQ14" s="244"/>
      <c r="AJR14" s="244"/>
      <c r="AJS14" s="244"/>
      <c r="AJT14" s="128"/>
      <c r="AJU14" s="128"/>
      <c r="AJV14" s="245" t="s">
        <v>38</v>
      </c>
      <c r="AJW14" s="245"/>
      <c r="AJX14" s="245"/>
      <c r="AJY14" s="245"/>
      <c r="AJZ14" s="103"/>
      <c r="AKA14" s="103"/>
      <c r="AKB14" s="103"/>
      <c r="AKC14" s="104"/>
      <c r="AKD14" s="102"/>
      <c r="AKE14" s="103"/>
      <c r="AKF14" s="103"/>
      <c r="AKG14" s="103"/>
      <c r="AKH14" s="245" t="s">
        <v>34</v>
      </c>
      <c r="AKI14" s="245"/>
      <c r="AKJ14" s="245"/>
      <c r="AKK14" s="245"/>
      <c r="AKL14" s="103"/>
      <c r="AKM14" s="103"/>
      <c r="AKN14" s="244" t="s">
        <v>24</v>
      </c>
      <c r="AKO14" s="244"/>
      <c r="AKP14" s="244"/>
      <c r="AKQ14" s="244"/>
      <c r="AKR14" s="128"/>
      <c r="AKS14" s="128"/>
      <c r="AKT14" s="245" t="s">
        <v>35</v>
      </c>
      <c r="AKU14" s="245"/>
      <c r="AKV14" s="245"/>
      <c r="AKW14" s="245"/>
      <c r="AKX14" s="103"/>
      <c r="AKY14" s="103"/>
      <c r="AKZ14" s="244" t="s">
        <v>25</v>
      </c>
      <c r="ALA14" s="244"/>
      <c r="ALB14" s="244"/>
      <c r="ALC14" s="244"/>
      <c r="ALD14" s="128"/>
      <c r="ALE14" s="128"/>
      <c r="ALF14" s="245" t="s">
        <v>36</v>
      </c>
      <c r="ALG14" s="245"/>
      <c r="ALH14" s="245"/>
      <c r="ALI14" s="245"/>
      <c r="ALJ14" s="103"/>
      <c r="ALK14" s="103"/>
      <c r="ALL14" s="244" t="s">
        <v>26</v>
      </c>
      <c r="ALM14" s="244"/>
      <c r="ALN14" s="244"/>
      <c r="ALO14" s="244"/>
      <c r="ALP14" s="128"/>
      <c r="ALQ14" s="128"/>
      <c r="ALR14" s="245" t="s">
        <v>37</v>
      </c>
      <c r="ALS14" s="245"/>
      <c r="ALT14" s="245"/>
      <c r="ALU14" s="245"/>
      <c r="ALV14" s="103"/>
      <c r="ALW14" s="103"/>
      <c r="ALX14" s="244" t="s">
        <v>27</v>
      </c>
      <c r="ALY14" s="244"/>
      <c r="ALZ14" s="244"/>
      <c r="AMA14" s="244"/>
      <c r="AMB14" s="128"/>
      <c r="AMC14" s="128"/>
      <c r="AMD14" s="245" t="s">
        <v>38</v>
      </c>
      <c r="AME14" s="245"/>
      <c r="AMF14" s="245"/>
      <c r="AMG14" s="245"/>
      <c r="AMH14" s="103"/>
      <c r="AMI14" s="103"/>
      <c r="AMJ14" s="103"/>
      <c r="AMK14" s="104"/>
      <c r="AML14" s="102"/>
      <c r="AMM14" s="103"/>
      <c r="AMN14" s="103"/>
      <c r="AMO14" s="103"/>
      <c r="AMP14" s="245" t="s">
        <v>34</v>
      </c>
      <c r="AMQ14" s="245"/>
      <c r="AMR14" s="245"/>
      <c r="AMS14" s="245"/>
      <c r="AMT14" s="103"/>
      <c r="AMU14" s="103"/>
      <c r="AMV14" s="244" t="s">
        <v>24</v>
      </c>
      <c r="AMW14" s="244"/>
      <c r="AMX14" s="244"/>
      <c r="AMY14" s="244"/>
      <c r="AMZ14" s="128"/>
      <c r="ANA14" s="128"/>
      <c r="ANB14" s="245" t="s">
        <v>35</v>
      </c>
      <c r="ANC14" s="245"/>
      <c r="AND14" s="245"/>
      <c r="ANE14" s="245"/>
      <c r="ANF14" s="103"/>
      <c r="ANG14" s="103"/>
      <c r="ANH14" s="244" t="s">
        <v>25</v>
      </c>
      <c r="ANI14" s="244"/>
      <c r="ANJ14" s="244"/>
      <c r="ANK14" s="244"/>
      <c r="ANL14" s="128"/>
      <c r="ANM14" s="128"/>
      <c r="ANN14" s="245" t="s">
        <v>36</v>
      </c>
      <c r="ANO14" s="245"/>
      <c r="ANP14" s="245"/>
      <c r="ANQ14" s="245"/>
      <c r="ANR14" s="103"/>
      <c r="ANS14" s="103"/>
      <c r="ANT14" s="244" t="s">
        <v>26</v>
      </c>
      <c r="ANU14" s="244"/>
      <c r="ANV14" s="244"/>
      <c r="ANW14" s="244"/>
      <c r="ANX14" s="128"/>
      <c r="ANY14" s="128"/>
      <c r="ANZ14" s="245" t="s">
        <v>37</v>
      </c>
      <c r="AOA14" s="245"/>
      <c r="AOB14" s="245"/>
      <c r="AOC14" s="245"/>
      <c r="AOD14" s="103"/>
      <c r="AOE14" s="103"/>
      <c r="AOF14" s="244" t="s">
        <v>27</v>
      </c>
      <c r="AOG14" s="244"/>
      <c r="AOH14" s="244"/>
      <c r="AOI14" s="244"/>
      <c r="AOJ14" s="128"/>
      <c r="AOK14" s="128"/>
      <c r="AOL14" s="245" t="s">
        <v>38</v>
      </c>
      <c r="AOM14" s="245"/>
      <c r="AON14" s="245"/>
      <c r="AOO14" s="245"/>
      <c r="AOP14" s="103"/>
      <c r="AOQ14" s="103"/>
      <c r="AOR14" s="103"/>
      <c r="AOS14" s="104"/>
      <c r="AOT14" s="102"/>
      <c r="AOU14" s="103"/>
      <c r="AOV14" s="103"/>
      <c r="AOW14" s="103"/>
      <c r="AOX14" s="245" t="s">
        <v>34</v>
      </c>
      <c r="AOY14" s="245"/>
      <c r="AOZ14" s="245"/>
      <c r="APA14" s="245"/>
      <c r="APB14" s="103"/>
      <c r="APC14" s="103"/>
      <c r="APD14" s="244" t="s">
        <v>24</v>
      </c>
      <c r="APE14" s="244"/>
      <c r="APF14" s="244"/>
      <c r="APG14" s="244"/>
      <c r="APH14" s="128"/>
      <c r="API14" s="128"/>
      <c r="APJ14" s="245" t="s">
        <v>35</v>
      </c>
      <c r="APK14" s="245"/>
      <c r="APL14" s="245"/>
      <c r="APM14" s="245"/>
      <c r="APN14" s="103"/>
      <c r="APO14" s="103"/>
      <c r="APP14" s="244" t="s">
        <v>25</v>
      </c>
      <c r="APQ14" s="244"/>
      <c r="APR14" s="244"/>
      <c r="APS14" s="244"/>
      <c r="APT14" s="128"/>
      <c r="APU14" s="128"/>
      <c r="APV14" s="245" t="s">
        <v>36</v>
      </c>
      <c r="APW14" s="245"/>
      <c r="APX14" s="245"/>
      <c r="APY14" s="245"/>
      <c r="APZ14" s="103"/>
      <c r="AQA14" s="103"/>
      <c r="AQB14" s="244" t="s">
        <v>26</v>
      </c>
      <c r="AQC14" s="244"/>
      <c r="AQD14" s="244"/>
      <c r="AQE14" s="244"/>
      <c r="AQF14" s="128"/>
      <c r="AQG14" s="128"/>
      <c r="AQH14" s="245" t="s">
        <v>37</v>
      </c>
      <c r="AQI14" s="245"/>
      <c r="AQJ14" s="245"/>
      <c r="AQK14" s="245"/>
      <c r="AQL14" s="103"/>
      <c r="AQM14" s="103"/>
      <c r="AQN14" s="244" t="s">
        <v>27</v>
      </c>
      <c r="AQO14" s="244"/>
      <c r="AQP14" s="244"/>
      <c r="AQQ14" s="244"/>
      <c r="AQR14" s="128"/>
      <c r="AQS14" s="128"/>
      <c r="AQT14" s="245" t="s">
        <v>38</v>
      </c>
      <c r="AQU14" s="245"/>
      <c r="AQV14" s="245"/>
      <c r="AQW14" s="245"/>
      <c r="AQX14" s="103"/>
      <c r="AQY14" s="103"/>
      <c r="AQZ14" s="103"/>
      <c r="ARA14" s="104"/>
      <c r="ARB14" s="102"/>
      <c r="ARC14" s="103"/>
      <c r="ARD14" s="103"/>
      <c r="ARE14" s="103"/>
      <c r="ARF14" s="245" t="s">
        <v>34</v>
      </c>
      <c r="ARG14" s="245"/>
      <c r="ARH14" s="245"/>
      <c r="ARI14" s="245"/>
      <c r="ARJ14" s="103"/>
      <c r="ARK14" s="103"/>
      <c r="ARL14" s="244" t="s">
        <v>24</v>
      </c>
      <c r="ARM14" s="244"/>
      <c r="ARN14" s="244"/>
      <c r="ARO14" s="244"/>
      <c r="ARP14" s="128"/>
      <c r="ARQ14" s="128"/>
      <c r="ARR14" s="245" t="s">
        <v>35</v>
      </c>
      <c r="ARS14" s="245"/>
      <c r="ART14" s="245"/>
      <c r="ARU14" s="245"/>
      <c r="ARV14" s="103"/>
      <c r="ARW14" s="103"/>
      <c r="ARX14" s="244" t="s">
        <v>25</v>
      </c>
      <c r="ARY14" s="244"/>
      <c r="ARZ14" s="244"/>
      <c r="ASA14" s="244"/>
      <c r="ASB14" s="128"/>
      <c r="ASC14" s="128"/>
      <c r="ASD14" s="245" t="s">
        <v>36</v>
      </c>
      <c r="ASE14" s="245"/>
      <c r="ASF14" s="245"/>
      <c r="ASG14" s="245"/>
      <c r="ASH14" s="103"/>
      <c r="ASI14" s="103"/>
      <c r="ASJ14" s="244" t="s">
        <v>26</v>
      </c>
      <c r="ASK14" s="244"/>
      <c r="ASL14" s="244"/>
      <c r="ASM14" s="244"/>
      <c r="ASN14" s="128"/>
      <c r="ASO14" s="128"/>
      <c r="ASP14" s="245" t="s">
        <v>37</v>
      </c>
      <c r="ASQ14" s="245"/>
      <c r="ASR14" s="245"/>
      <c r="ASS14" s="245"/>
      <c r="AST14" s="103"/>
      <c r="ASU14" s="103"/>
      <c r="ASV14" s="244" t="s">
        <v>27</v>
      </c>
      <c r="ASW14" s="244"/>
      <c r="ASX14" s="244"/>
      <c r="ASY14" s="244"/>
      <c r="ASZ14" s="128"/>
      <c r="ATA14" s="128"/>
      <c r="ATB14" s="245" t="s">
        <v>38</v>
      </c>
      <c r="ATC14" s="245"/>
      <c r="ATD14" s="245"/>
      <c r="ATE14" s="245"/>
      <c r="ATF14" s="103"/>
      <c r="ATG14" s="103"/>
      <c r="ATH14" s="103"/>
      <c r="ATI14" s="104"/>
      <c r="ATJ14" s="102"/>
      <c r="ATK14" s="103"/>
      <c r="ATL14" s="103"/>
      <c r="ATM14" s="103"/>
      <c r="ATN14" s="245" t="s">
        <v>34</v>
      </c>
      <c r="ATO14" s="245"/>
      <c r="ATP14" s="245"/>
      <c r="ATQ14" s="245"/>
      <c r="ATR14" s="103"/>
      <c r="ATS14" s="103"/>
      <c r="ATT14" s="244" t="s">
        <v>24</v>
      </c>
      <c r="ATU14" s="244"/>
      <c r="ATV14" s="244"/>
      <c r="ATW14" s="244"/>
      <c r="ATX14" s="128"/>
      <c r="ATY14" s="128"/>
      <c r="ATZ14" s="245" t="s">
        <v>35</v>
      </c>
      <c r="AUA14" s="245"/>
      <c r="AUB14" s="245"/>
      <c r="AUC14" s="245"/>
      <c r="AUD14" s="103"/>
      <c r="AUE14" s="103"/>
      <c r="AUF14" s="244" t="s">
        <v>25</v>
      </c>
      <c r="AUG14" s="244"/>
      <c r="AUH14" s="244"/>
      <c r="AUI14" s="244"/>
      <c r="AUJ14" s="128"/>
      <c r="AUK14" s="128"/>
      <c r="AUL14" s="245" t="s">
        <v>36</v>
      </c>
      <c r="AUM14" s="245"/>
      <c r="AUN14" s="245"/>
      <c r="AUO14" s="245"/>
      <c r="AUP14" s="103"/>
      <c r="AUQ14" s="103"/>
      <c r="AUR14" s="244" t="s">
        <v>26</v>
      </c>
      <c r="AUS14" s="244"/>
      <c r="AUT14" s="244"/>
      <c r="AUU14" s="244"/>
      <c r="AUV14" s="128"/>
      <c r="AUW14" s="128"/>
      <c r="AUX14" s="245" t="s">
        <v>37</v>
      </c>
      <c r="AUY14" s="245"/>
      <c r="AUZ14" s="245"/>
      <c r="AVA14" s="245"/>
      <c r="AVB14" s="103"/>
      <c r="AVC14" s="103"/>
      <c r="AVD14" s="244" t="s">
        <v>27</v>
      </c>
      <c r="AVE14" s="244"/>
      <c r="AVF14" s="244"/>
      <c r="AVG14" s="244"/>
      <c r="AVH14" s="128"/>
      <c r="AVI14" s="128"/>
      <c r="AVJ14" s="245" t="s">
        <v>38</v>
      </c>
      <c r="AVK14" s="245"/>
      <c r="AVL14" s="245"/>
      <c r="AVM14" s="245"/>
      <c r="AVN14" s="103"/>
      <c r="AVO14" s="103"/>
      <c r="AVP14" s="103"/>
      <c r="AVQ14" s="104"/>
      <c r="AVR14" s="102"/>
      <c r="AVS14" s="103"/>
      <c r="AVT14" s="103"/>
      <c r="AVU14" s="103"/>
      <c r="AVV14" s="245" t="s">
        <v>34</v>
      </c>
      <c r="AVW14" s="245"/>
      <c r="AVX14" s="245"/>
      <c r="AVY14" s="245"/>
      <c r="AVZ14" s="103"/>
      <c r="AWA14" s="103"/>
      <c r="AWB14" s="244" t="s">
        <v>24</v>
      </c>
      <c r="AWC14" s="244"/>
      <c r="AWD14" s="244"/>
      <c r="AWE14" s="244"/>
      <c r="AWF14" s="128"/>
      <c r="AWG14" s="128"/>
      <c r="AWH14" s="245" t="s">
        <v>35</v>
      </c>
      <c r="AWI14" s="245"/>
      <c r="AWJ14" s="245"/>
      <c r="AWK14" s="245"/>
      <c r="AWL14" s="103"/>
      <c r="AWM14" s="103"/>
      <c r="AWN14" s="244" t="s">
        <v>25</v>
      </c>
      <c r="AWO14" s="244"/>
      <c r="AWP14" s="244"/>
      <c r="AWQ14" s="244"/>
      <c r="AWR14" s="128"/>
      <c r="AWS14" s="128"/>
      <c r="AWT14" s="245" t="s">
        <v>36</v>
      </c>
      <c r="AWU14" s="245"/>
      <c r="AWV14" s="245"/>
      <c r="AWW14" s="245"/>
      <c r="AWX14" s="103"/>
      <c r="AWY14" s="103"/>
      <c r="AWZ14" s="244" t="s">
        <v>26</v>
      </c>
      <c r="AXA14" s="244"/>
      <c r="AXB14" s="244"/>
      <c r="AXC14" s="244"/>
      <c r="AXD14" s="128"/>
      <c r="AXE14" s="128"/>
      <c r="AXF14" s="245" t="s">
        <v>37</v>
      </c>
      <c r="AXG14" s="245"/>
      <c r="AXH14" s="245"/>
      <c r="AXI14" s="245"/>
      <c r="AXJ14" s="103"/>
      <c r="AXK14" s="103"/>
      <c r="AXL14" s="244" t="s">
        <v>27</v>
      </c>
      <c r="AXM14" s="244"/>
      <c r="AXN14" s="244"/>
      <c r="AXO14" s="244"/>
      <c r="AXP14" s="128"/>
      <c r="AXQ14" s="128"/>
      <c r="AXR14" s="245" t="s">
        <v>38</v>
      </c>
      <c r="AXS14" s="245"/>
      <c r="AXT14" s="245"/>
      <c r="AXU14" s="245"/>
      <c r="AXV14" s="103"/>
      <c r="AXW14" s="103"/>
      <c r="AXX14" s="103"/>
      <c r="AXY14" s="104"/>
      <c r="AXZ14" s="102"/>
      <c r="AYA14" s="103"/>
      <c r="AYB14" s="103"/>
      <c r="AYC14" s="103"/>
      <c r="AYD14" s="245" t="s">
        <v>34</v>
      </c>
      <c r="AYE14" s="245"/>
      <c r="AYF14" s="245"/>
      <c r="AYG14" s="245"/>
      <c r="AYH14" s="103"/>
      <c r="AYI14" s="103"/>
      <c r="AYJ14" s="244" t="s">
        <v>24</v>
      </c>
      <c r="AYK14" s="244"/>
      <c r="AYL14" s="244"/>
      <c r="AYM14" s="244"/>
      <c r="AYN14" s="128"/>
      <c r="AYO14" s="128"/>
      <c r="AYP14" s="245" t="s">
        <v>35</v>
      </c>
      <c r="AYQ14" s="245"/>
      <c r="AYR14" s="245"/>
      <c r="AYS14" s="245"/>
      <c r="AYT14" s="103"/>
      <c r="AYU14" s="103"/>
      <c r="AYV14" s="244" t="s">
        <v>25</v>
      </c>
      <c r="AYW14" s="244"/>
      <c r="AYX14" s="244"/>
      <c r="AYY14" s="244"/>
      <c r="AYZ14" s="128"/>
      <c r="AZA14" s="128"/>
      <c r="AZB14" s="245" t="s">
        <v>36</v>
      </c>
      <c r="AZC14" s="245"/>
      <c r="AZD14" s="245"/>
      <c r="AZE14" s="245"/>
      <c r="AZF14" s="103"/>
      <c r="AZG14" s="103"/>
      <c r="AZH14" s="244" t="s">
        <v>26</v>
      </c>
      <c r="AZI14" s="244"/>
      <c r="AZJ14" s="244"/>
      <c r="AZK14" s="244"/>
      <c r="AZL14" s="128"/>
      <c r="AZM14" s="128"/>
      <c r="AZN14" s="245" t="s">
        <v>37</v>
      </c>
      <c r="AZO14" s="245"/>
      <c r="AZP14" s="245"/>
      <c r="AZQ14" s="245"/>
      <c r="AZR14" s="103"/>
      <c r="AZS14" s="103"/>
      <c r="AZT14" s="244" t="s">
        <v>27</v>
      </c>
      <c r="AZU14" s="244"/>
      <c r="AZV14" s="244"/>
      <c r="AZW14" s="244"/>
      <c r="AZX14" s="128"/>
      <c r="AZY14" s="128"/>
      <c r="AZZ14" s="245" t="s">
        <v>38</v>
      </c>
      <c r="BAA14" s="245"/>
      <c r="BAB14" s="245"/>
      <c r="BAC14" s="245"/>
      <c r="BAD14" s="103"/>
      <c r="BAE14" s="103"/>
      <c r="BAF14" s="103"/>
      <c r="BAG14" s="104"/>
      <c r="BAH14" s="102"/>
      <c r="BAI14" s="103"/>
      <c r="BAJ14" s="103"/>
      <c r="BAK14" s="103"/>
      <c r="BAL14" s="245" t="s">
        <v>34</v>
      </c>
      <c r="BAM14" s="245"/>
      <c r="BAN14" s="245"/>
      <c r="BAO14" s="245"/>
      <c r="BAP14" s="103"/>
      <c r="BAQ14" s="103"/>
      <c r="BAR14" s="244" t="s">
        <v>24</v>
      </c>
      <c r="BAS14" s="244"/>
      <c r="BAT14" s="244"/>
      <c r="BAU14" s="244"/>
      <c r="BAV14" s="128"/>
      <c r="BAW14" s="128"/>
      <c r="BAX14" s="245" t="s">
        <v>35</v>
      </c>
      <c r="BAY14" s="245"/>
      <c r="BAZ14" s="245"/>
      <c r="BBA14" s="245"/>
      <c r="BBB14" s="103"/>
      <c r="BBC14" s="103"/>
      <c r="BBD14" s="244" t="s">
        <v>25</v>
      </c>
      <c r="BBE14" s="244"/>
      <c r="BBF14" s="244"/>
      <c r="BBG14" s="244"/>
      <c r="BBH14" s="128"/>
      <c r="BBI14" s="128"/>
      <c r="BBJ14" s="245" t="s">
        <v>36</v>
      </c>
      <c r="BBK14" s="245"/>
      <c r="BBL14" s="245"/>
      <c r="BBM14" s="245"/>
      <c r="BBN14" s="103"/>
      <c r="BBO14" s="103"/>
      <c r="BBP14" s="244" t="s">
        <v>26</v>
      </c>
      <c r="BBQ14" s="244"/>
      <c r="BBR14" s="244"/>
      <c r="BBS14" s="244"/>
      <c r="BBT14" s="128"/>
      <c r="BBU14" s="128"/>
      <c r="BBV14" s="245" t="s">
        <v>37</v>
      </c>
      <c r="BBW14" s="245"/>
      <c r="BBX14" s="245"/>
      <c r="BBY14" s="245"/>
      <c r="BBZ14" s="103"/>
      <c r="BCA14" s="103"/>
      <c r="BCB14" s="244" t="s">
        <v>27</v>
      </c>
      <c r="BCC14" s="244"/>
      <c r="BCD14" s="244"/>
      <c r="BCE14" s="244"/>
      <c r="BCF14" s="128"/>
      <c r="BCG14" s="128"/>
      <c r="BCH14" s="245" t="s">
        <v>38</v>
      </c>
      <c r="BCI14" s="245"/>
      <c r="BCJ14" s="245"/>
      <c r="BCK14" s="245"/>
      <c r="BCL14" s="103"/>
      <c r="BCM14" s="103"/>
      <c r="BCN14" s="103"/>
      <c r="BCO14" s="104"/>
      <c r="BCP14" s="102"/>
      <c r="BCQ14" s="103"/>
      <c r="BCR14" s="103"/>
      <c r="BCS14" s="103"/>
      <c r="BCT14" s="245" t="s">
        <v>34</v>
      </c>
      <c r="BCU14" s="245"/>
      <c r="BCV14" s="245"/>
      <c r="BCW14" s="245"/>
      <c r="BCX14" s="103"/>
      <c r="BCY14" s="103"/>
      <c r="BCZ14" s="244" t="s">
        <v>24</v>
      </c>
      <c r="BDA14" s="244"/>
      <c r="BDB14" s="244"/>
      <c r="BDC14" s="244"/>
      <c r="BDD14" s="128"/>
      <c r="BDE14" s="128"/>
      <c r="BDF14" s="245" t="s">
        <v>35</v>
      </c>
      <c r="BDG14" s="245"/>
      <c r="BDH14" s="245"/>
      <c r="BDI14" s="245"/>
      <c r="BDJ14" s="103"/>
      <c r="BDK14" s="103"/>
      <c r="BDL14" s="244" t="s">
        <v>25</v>
      </c>
      <c r="BDM14" s="244"/>
      <c r="BDN14" s="244"/>
      <c r="BDO14" s="244"/>
      <c r="BDP14" s="128"/>
      <c r="BDQ14" s="128"/>
      <c r="BDR14" s="245" t="s">
        <v>36</v>
      </c>
      <c r="BDS14" s="245"/>
      <c r="BDT14" s="245"/>
      <c r="BDU14" s="245"/>
      <c r="BDV14" s="103"/>
      <c r="BDW14" s="103"/>
      <c r="BDX14" s="244" t="s">
        <v>26</v>
      </c>
      <c r="BDY14" s="244"/>
      <c r="BDZ14" s="244"/>
      <c r="BEA14" s="244"/>
      <c r="BEB14" s="128"/>
      <c r="BEC14" s="128"/>
      <c r="BED14" s="245" t="s">
        <v>37</v>
      </c>
      <c r="BEE14" s="245"/>
      <c r="BEF14" s="245"/>
      <c r="BEG14" s="245"/>
      <c r="BEH14" s="103"/>
      <c r="BEI14" s="103"/>
      <c r="BEJ14" s="244" t="s">
        <v>27</v>
      </c>
      <c r="BEK14" s="244"/>
      <c r="BEL14" s="244"/>
      <c r="BEM14" s="244"/>
      <c r="BEN14" s="128"/>
      <c r="BEO14" s="128"/>
      <c r="BEP14" s="245" t="s">
        <v>38</v>
      </c>
      <c r="BEQ14" s="245"/>
      <c r="BER14" s="245"/>
      <c r="BES14" s="245"/>
      <c r="BET14" s="103"/>
      <c r="BEU14" s="103"/>
      <c r="BEV14" s="103"/>
      <c r="BEW14" s="104"/>
      <c r="BEX14" s="102"/>
      <c r="BEY14" s="103"/>
      <c r="BEZ14" s="103"/>
      <c r="BFA14" s="103"/>
      <c r="BFB14" s="245" t="s">
        <v>34</v>
      </c>
      <c r="BFC14" s="245"/>
      <c r="BFD14" s="245"/>
      <c r="BFE14" s="245"/>
      <c r="BFF14" s="103"/>
      <c r="BFG14" s="103"/>
      <c r="BFH14" s="244" t="s">
        <v>24</v>
      </c>
      <c r="BFI14" s="244"/>
      <c r="BFJ14" s="244"/>
      <c r="BFK14" s="244"/>
      <c r="BFL14" s="128"/>
      <c r="BFM14" s="128"/>
      <c r="BFN14" s="245" t="s">
        <v>35</v>
      </c>
      <c r="BFO14" s="245"/>
      <c r="BFP14" s="245"/>
      <c r="BFQ14" s="245"/>
      <c r="BFR14" s="103"/>
      <c r="BFS14" s="103"/>
      <c r="BFT14" s="244" t="s">
        <v>25</v>
      </c>
      <c r="BFU14" s="244"/>
      <c r="BFV14" s="244"/>
      <c r="BFW14" s="244"/>
      <c r="BFX14" s="128"/>
      <c r="BFY14" s="128"/>
      <c r="BFZ14" s="245" t="s">
        <v>36</v>
      </c>
      <c r="BGA14" s="245"/>
      <c r="BGB14" s="245"/>
      <c r="BGC14" s="245"/>
      <c r="BGD14" s="103"/>
      <c r="BGE14" s="103"/>
      <c r="BGF14" s="244" t="s">
        <v>26</v>
      </c>
      <c r="BGG14" s="244"/>
      <c r="BGH14" s="244"/>
      <c r="BGI14" s="244"/>
      <c r="BGJ14" s="128"/>
      <c r="BGK14" s="128"/>
      <c r="BGL14" s="245" t="s">
        <v>37</v>
      </c>
      <c r="BGM14" s="245"/>
      <c r="BGN14" s="245"/>
      <c r="BGO14" s="245"/>
      <c r="BGP14" s="103"/>
      <c r="BGQ14" s="103"/>
      <c r="BGR14" s="244" t="s">
        <v>27</v>
      </c>
      <c r="BGS14" s="244"/>
      <c r="BGT14" s="244"/>
      <c r="BGU14" s="244"/>
      <c r="BGV14" s="128"/>
      <c r="BGW14" s="128"/>
      <c r="BGX14" s="245" t="s">
        <v>38</v>
      </c>
      <c r="BGY14" s="245"/>
      <c r="BGZ14" s="245"/>
      <c r="BHA14" s="245"/>
      <c r="BHB14" s="103"/>
      <c r="BHC14" s="103"/>
      <c r="BHD14" s="103"/>
      <c r="BHE14" s="104"/>
      <c r="BHF14" s="90"/>
    </row>
    <row r="15" spans="1:1866" ht="20.100000000000001" customHeight="1" x14ac:dyDescent="0.25">
      <c r="A15" s="100" t="s">
        <v>20</v>
      </c>
      <c r="B15" s="63" t="str">
        <f>IF(LEN(C15)=0,"",C15)</f>
        <v xml:space="preserve">Absences - imprévus </v>
      </c>
      <c r="C15" s="235"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43"/>
      <c r="D16" s="146" t="str">
        <f t="shared" ref="D16:D56" si="0">setValueToTime(E16)</f>
        <v>2h5min</v>
      </c>
      <c r="E16" s="35">
        <v>25</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28"/>
      <c r="WI16" s="67"/>
      <c r="WJ16" s="67"/>
      <c r="WK16" s="67"/>
      <c r="WL16" s="29"/>
      <c r="WM16" s="130"/>
      <c r="WN16" s="29"/>
      <c r="WO16" s="29"/>
      <c r="WP16" s="29"/>
      <c r="WQ16" s="29"/>
      <c r="WR16" s="29"/>
      <c r="WS16" s="135"/>
      <c r="WT16" s="29"/>
      <c r="WU16" s="29"/>
      <c r="WV16" s="29"/>
      <c r="WW16" s="29"/>
      <c r="WX16" s="29"/>
      <c r="WY16" s="73"/>
      <c r="WZ16" s="29"/>
      <c r="XA16" s="29"/>
      <c r="XB16" s="29"/>
      <c r="XC16" s="29"/>
      <c r="XD16" s="29"/>
      <c r="XE16" s="135"/>
      <c r="XF16" s="29"/>
      <c r="XG16" s="29"/>
      <c r="XH16" s="29"/>
      <c r="XI16" s="29"/>
      <c r="XJ16" s="185"/>
      <c r="XK16" s="222"/>
      <c r="XL16" s="184"/>
      <c r="XM16" s="184"/>
      <c r="XN16" s="184"/>
      <c r="XO16" s="184"/>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183"/>
      <c r="YQ16" s="184"/>
      <c r="YR16" s="184"/>
      <c r="YS16" s="184"/>
      <c r="YT16" s="185"/>
      <c r="YU16" s="186"/>
      <c r="YV16" s="185"/>
      <c r="YW16" s="185"/>
      <c r="YX16" s="185"/>
      <c r="YY16" s="185"/>
      <c r="YZ16" s="185"/>
      <c r="ZA16" s="221"/>
      <c r="ZB16" s="185"/>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183"/>
      <c r="ADG16" s="184"/>
      <c r="ADH16" s="184"/>
      <c r="ADI16" s="184"/>
      <c r="ADJ16" s="185"/>
      <c r="ADK16" s="186"/>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28"/>
      <c r="BEY16" s="67"/>
      <c r="BEZ16" s="67"/>
      <c r="BFA16" s="67"/>
      <c r="BFB16" s="29"/>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35" t="s">
        <v>87</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43"/>
      <c r="D18" s="147" t="str">
        <f t="shared" si="0"/>
        <v>3h15min</v>
      </c>
      <c r="E18" s="35">
        <v>39</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35" t="s">
        <v>88</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36"/>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35" t="s">
        <v>89</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36"/>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35"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36"/>
      <c r="D24" s="146" t="str">
        <f t="shared" si="0"/>
        <v>2h35min</v>
      </c>
      <c r="E24" s="27">
        <v>31</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185"/>
      <c r="CN24" s="185"/>
      <c r="CO24" s="29"/>
      <c r="CP24" s="29"/>
      <c r="CQ24" s="73"/>
      <c r="CR24" s="67"/>
      <c r="CS24" s="67"/>
      <c r="CT24" s="67"/>
      <c r="CU24" s="67"/>
      <c r="CV24" s="29"/>
      <c r="CW24" s="135"/>
      <c r="CX24" s="29"/>
      <c r="CY24" s="185"/>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21"/>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21"/>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221"/>
      <c r="MD24" s="185"/>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221"/>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185"/>
      <c r="QS24" s="221"/>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185"/>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221"/>
      <c r="VV24" s="29"/>
      <c r="VW24" s="29"/>
      <c r="VX24" s="29"/>
      <c r="VY24" s="29"/>
      <c r="VZ24" s="29"/>
      <c r="WA24" s="73"/>
      <c r="WB24" s="29"/>
      <c r="WC24" s="29"/>
      <c r="WD24" s="29"/>
      <c r="WE24" s="29"/>
      <c r="WF24" s="29"/>
      <c r="WG24" s="30"/>
      <c r="WH24" s="28"/>
      <c r="WI24" s="67"/>
      <c r="WJ24" s="67"/>
      <c r="WK24" s="67"/>
      <c r="WL24" s="29"/>
      <c r="WM24" s="130"/>
      <c r="WN24" s="29"/>
      <c r="WO24" s="29"/>
      <c r="WP24" s="29"/>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185"/>
      <c r="XS24" s="185"/>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185"/>
      <c r="AAK24" s="221"/>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185"/>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184"/>
      <c r="AGS24" s="184"/>
      <c r="AGT24" s="184"/>
      <c r="AGU24" s="184"/>
      <c r="AGV24" s="185"/>
      <c r="AGW24" s="221"/>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29"/>
      <c r="AJP24" s="29"/>
      <c r="AJQ24" s="221"/>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135"/>
      <c r="ALN24" s="29"/>
      <c r="ALO24" s="29"/>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135"/>
      <c r="ANV24" s="29"/>
      <c r="ANW24" s="29"/>
      <c r="ANX24" s="29"/>
      <c r="ANY24" s="29"/>
      <c r="ANZ24" s="29"/>
      <c r="AOA24" s="73"/>
      <c r="AOB24" s="29"/>
      <c r="AOC24" s="29"/>
      <c r="AOD24" s="29"/>
      <c r="AOE24" s="29"/>
      <c r="AOF24" s="29"/>
      <c r="AOG24" s="135"/>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135"/>
      <c r="AQD24" s="29"/>
      <c r="AQE24" s="29"/>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67"/>
      <c r="ASH24" s="67"/>
      <c r="ASI24" s="67"/>
      <c r="ASJ24" s="29"/>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135"/>
      <c r="AUT24" s="29"/>
      <c r="AUU24" s="29"/>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29"/>
      <c r="AXK24" s="29"/>
      <c r="AXL24" s="29"/>
      <c r="AXM24" s="135"/>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29"/>
      <c r="AZI24" s="135"/>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29"/>
      <c r="BCA24" s="29"/>
      <c r="BCB24" s="29"/>
      <c r="BCC24" s="135"/>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29"/>
      <c r="BEA24" s="29"/>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29"/>
      <c r="BFI24" s="135"/>
      <c r="BFJ24" s="29"/>
      <c r="BFK24" s="29"/>
      <c r="BFL24" s="29"/>
      <c r="BFM24" s="29"/>
      <c r="BFN24" s="29"/>
      <c r="BFO24" s="73"/>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35"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43"/>
      <c r="D26" s="147" t="str">
        <f t="shared" si="0"/>
        <v>4h25min</v>
      </c>
      <c r="E26" s="35">
        <v>53</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189"/>
      <c r="LL26" s="187"/>
      <c r="LM26" s="18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182"/>
      <c r="NC26" s="190"/>
      <c r="ND26" s="190"/>
      <c r="NE26" s="190"/>
      <c r="NF26" s="187"/>
      <c r="NG26" s="191"/>
      <c r="NH26" s="187"/>
      <c r="NI26" s="187"/>
      <c r="NJ26" s="187"/>
      <c r="NK26" s="187"/>
      <c r="NL26" s="18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187"/>
      <c r="ADU26" s="187"/>
      <c r="ADV26" s="187"/>
      <c r="ADW26" s="189"/>
      <c r="ADX26" s="187"/>
      <c r="ADY26" s="187"/>
      <c r="ADZ26" s="187"/>
      <c r="AEA26" s="187"/>
      <c r="AEB26" s="187"/>
      <c r="AEC26" s="188"/>
      <c r="AED26" s="187"/>
      <c r="AEE26" s="187"/>
      <c r="AEF26" s="187"/>
      <c r="AEG26" s="18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187"/>
      <c r="AGN26" s="187"/>
      <c r="AGO26" s="187"/>
      <c r="AGP26" s="187"/>
      <c r="AGQ26" s="189"/>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182"/>
      <c r="AKE26" s="190"/>
      <c r="AKF26" s="65"/>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36"/>
      <c r="AMM26" s="65"/>
      <c r="AMN26" s="65"/>
      <c r="AMO26" s="65"/>
      <c r="AMP26" s="37"/>
      <c r="AMQ26" s="132"/>
      <c r="AMR26" s="37"/>
      <c r="AMS26" s="37"/>
      <c r="AMT26" s="37"/>
      <c r="AMU26" s="37"/>
      <c r="AMV26" s="37"/>
      <c r="AMW26" s="137"/>
      <c r="AMX26" s="37"/>
      <c r="AMY26" s="37"/>
      <c r="AMZ26" s="37"/>
      <c r="ANA26" s="37"/>
      <c r="ANB26" s="37"/>
      <c r="ANC26" s="75"/>
      <c r="AND26" s="37"/>
      <c r="ANE26" s="37"/>
      <c r="ANF26" s="37"/>
      <c r="ANG26" s="37"/>
      <c r="ANH26" s="37"/>
      <c r="ANI26" s="137"/>
      <c r="ANJ26" s="37"/>
      <c r="ANK26" s="37"/>
      <c r="ANL26" s="37"/>
      <c r="ANM26" s="3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37"/>
      <c r="AUM26" s="75"/>
      <c r="AUN26" s="65"/>
      <c r="AUO26" s="65"/>
      <c r="AUP26" s="65"/>
      <c r="AUQ26" s="65"/>
      <c r="AUR26" s="3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37"/>
      <c r="AWC26" s="137"/>
      <c r="AWD26" s="37"/>
      <c r="AWE26" s="37"/>
      <c r="AWF26" s="37"/>
      <c r="AWG26" s="37"/>
      <c r="AWH26" s="37"/>
      <c r="AWI26" s="75"/>
      <c r="AWJ26" s="37"/>
      <c r="AWK26" s="37"/>
      <c r="AWL26" s="37"/>
      <c r="AWM26" s="37"/>
      <c r="AWN26" s="37"/>
      <c r="AWO26" s="137"/>
      <c r="AWP26" s="37"/>
      <c r="AWQ26" s="37"/>
      <c r="AWR26" s="37"/>
      <c r="AWS26" s="37"/>
      <c r="AWT26" s="37"/>
      <c r="AWU26" s="75"/>
      <c r="AWV26" s="65"/>
      <c r="AWW26" s="65"/>
      <c r="AWX26" s="65"/>
      <c r="AWY26" s="65"/>
      <c r="AWZ26" s="3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37"/>
      <c r="AZB26" s="37"/>
      <c r="AZC26" s="75"/>
      <c r="AZD26" s="65"/>
      <c r="AZE26" s="65"/>
      <c r="AZF26" s="65"/>
      <c r="AZG26" s="65"/>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37"/>
      <c r="BAO26" s="37"/>
      <c r="BAP26" s="37"/>
      <c r="BAQ26" s="37"/>
      <c r="BAR26" s="37"/>
      <c r="BAS26" s="137"/>
      <c r="BAT26" s="37"/>
      <c r="BAU26" s="37"/>
      <c r="BAV26" s="37"/>
      <c r="BAW26" s="37"/>
      <c r="BAX26" s="37"/>
      <c r="BAY26" s="75"/>
      <c r="BAZ26" s="37"/>
      <c r="BBA26" s="37"/>
      <c r="BBB26" s="37"/>
      <c r="BBC26" s="37"/>
      <c r="BBD26" s="37"/>
      <c r="BBE26" s="137"/>
      <c r="BBF26" s="37"/>
      <c r="BBG26" s="37"/>
      <c r="BBH26" s="37"/>
      <c r="BBI26" s="37"/>
      <c r="BBJ26" s="37"/>
      <c r="BBK26" s="75"/>
      <c r="BBL26" s="65"/>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36"/>
      <c r="BCQ26" s="65"/>
      <c r="BCR26" s="65"/>
      <c r="BCS26" s="65"/>
      <c r="BCT26" s="37"/>
      <c r="BCU26" s="132"/>
      <c r="BCV26" s="37"/>
      <c r="BCW26" s="37"/>
      <c r="BCX26" s="37"/>
      <c r="BCY26" s="37"/>
      <c r="BCZ26" s="37"/>
      <c r="BDA26" s="137"/>
      <c r="BDB26" s="37"/>
      <c r="BDC26" s="37"/>
      <c r="BDD26" s="3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37"/>
      <c r="BFQ26" s="37"/>
      <c r="BFR26" s="37"/>
      <c r="BFS26" s="37"/>
      <c r="BFT26" s="37"/>
      <c r="BFU26" s="137"/>
      <c r="BFV26" s="37"/>
      <c r="BFW26" s="37"/>
      <c r="BFX26" s="37"/>
      <c r="BFY26" s="37"/>
      <c r="BFZ26" s="37"/>
      <c r="BGA26" s="75"/>
      <c r="BGB26" s="65"/>
      <c r="BGC26" s="65"/>
      <c r="BGD26" s="65"/>
      <c r="BGE26" s="65"/>
      <c r="BGF26" s="37"/>
      <c r="BGG26" s="137"/>
      <c r="BGH26" s="37"/>
      <c r="BGI26" s="37"/>
      <c r="BGJ26" s="37"/>
      <c r="BGK26" s="37"/>
      <c r="BGL26" s="37"/>
      <c r="BGM26" s="75"/>
      <c r="BGN26" s="37"/>
      <c r="BGO26" s="37"/>
      <c r="BGP26" s="37"/>
      <c r="BGQ26" s="37"/>
      <c r="BGR26" s="37"/>
      <c r="BGS26" s="137"/>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35" t="s">
        <v>90</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43"/>
      <c r="D28" s="147" t="str">
        <f t="shared" si="0"/>
        <v>2h5min</v>
      </c>
      <c r="E28" s="27">
        <v>25</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21"/>
      <c r="HB28" s="185"/>
      <c r="HC28" s="185"/>
      <c r="HD28" s="185"/>
      <c r="HE28" s="185"/>
      <c r="HF28" s="185"/>
      <c r="HG28" s="222"/>
      <c r="HH28" s="184"/>
      <c r="HI28" s="184"/>
      <c r="HJ28" s="184"/>
      <c r="HK28" s="184"/>
      <c r="HL28" s="185"/>
      <c r="HM28" s="221"/>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22"/>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222"/>
      <c r="VP28" s="185"/>
      <c r="VQ28" s="185"/>
      <c r="VR28" s="185"/>
      <c r="VS28" s="185"/>
      <c r="VT28" s="185"/>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35" t="s">
        <v>91</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43"/>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35" t="s">
        <v>92</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43"/>
      <c r="D32" s="147" t="str">
        <f t="shared" si="0"/>
        <v>4h15min</v>
      </c>
      <c r="E32" s="27">
        <v>51</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185"/>
      <c r="CP32" s="185"/>
      <c r="CQ32" s="222"/>
      <c r="CR32" s="184"/>
      <c r="CS32" s="184"/>
      <c r="CT32" s="184"/>
      <c r="CU32" s="184"/>
      <c r="CV32" s="185"/>
      <c r="CW32" s="221"/>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21"/>
      <c r="EH32" s="185"/>
      <c r="EI32" s="185"/>
      <c r="EJ32" s="185"/>
      <c r="EK32" s="185"/>
      <c r="EL32" s="185"/>
      <c r="EM32" s="222"/>
      <c r="EN32" s="185"/>
      <c r="EO32" s="185"/>
      <c r="EP32" s="185"/>
      <c r="EQ32" s="185"/>
      <c r="ER32" s="185"/>
      <c r="ES32" s="221"/>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21"/>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185"/>
      <c r="LG32" s="185"/>
      <c r="LH32" s="185"/>
      <c r="LI32" s="185"/>
      <c r="LJ32" s="185"/>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35" t="s">
        <v>93</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str">
        <f>IF(LEN(C53)=0,"",C53)</f>
        <v/>
      </c>
      <c r="C34" s="243"/>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str">
        <f>IF(LEN(C55)=0,"",C55)</f>
        <v/>
      </c>
      <c r="C35" s="235" t="s">
        <v>94</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36"/>
      <c r="D36" s="146" t="str">
        <f t="shared" si="0"/>
        <v>13h50min</v>
      </c>
      <c r="E36" s="27">
        <v>166</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222"/>
      <c r="NT36" s="185"/>
      <c r="NU36" s="185"/>
      <c r="NV36" s="185"/>
      <c r="NW36" s="185"/>
      <c r="NX36" s="185"/>
      <c r="NY36" s="221"/>
      <c r="NZ36" s="185"/>
      <c r="OA36" s="185"/>
      <c r="OB36" s="185"/>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183"/>
      <c r="UA36" s="184"/>
      <c r="UB36" s="184"/>
      <c r="UC36" s="184"/>
      <c r="UD36" s="185"/>
      <c r="UE36" s="186"/>
      <c r="UF36" s="185"/>
      <c r="UG36" s="185"/>
      <c r="UH36" s="185"/>
      <c r="UI36" s="185"/>
      <c r="UJ36" s="185"/>
      <c r="UK36" s="221"/>
      <c r="UL36" s="185"/>
      <c r="UM36" s="185"/>
      <c r="UN36" s="185"/>
      <c r="UO36" s="185"/>
      <c r="UP36" s="185"/>
      <c r="UQ36" s="222"/>
      <c r="UR36" s="185"/>
      <c r="US36" s="185"/>
      <c r="UT36" s="185"/>
      <c r="UU36" s="185"/>
      <c r="UV36" s="185"/>
      <c r="UW36" s="221"/>
      <c r="UX36" s="185"/>
      <c r="UY36" s="185"/>
      <c r="UZ36" s="185"/>
      <c r="VA36" s="185"/>
      <c r="VB36" s="185"/>
      <c r="VC36" s="222"/>
      <c r="VD36" s="184"/>
      <c r="VE36" s="184"/>
      <c r="VF36" s="184"/>
      <c r="VG36" s="184"/>
      <c r="VH36" s="185"/>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183"/>
      <c r="WI36" s="184"/>
      <c r="WJ36" s="184"/>
      <c r="WK36" s="184"/>
      <c r="WL36" s="185"/>
      <c r="WM36" s="186"/>
      <c r="WN36" s="185"/>
      <c r="WO36" s="185"/>
      <c r="WP36" s="185"/>
      <c r="WQ36" s="185"/>
      <c r="WR36" s="185"/>
      <c r="WS36" s="221"/>
      <c r="WT36" s="185"/>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185"/>
      <c r="ZD36" s="185"/>
      <c r="ZE36" s="185"/>
      <c r="ZF36" s="185"/>
      <c r="ZG36" s="222"/>
      <c r="ZH36" s="185"/>
      <c r="ZI36" s="185"/>
      <c r="ZJ36" s="185"/>
      <c r="ZK36" s="185"/>
      <c r="ZL36" s="185"/>
      <c r="ZM36" s="221"/>
      <c r="ZN36" s="185"/>
      <c r="ZO36" s="185"/>
      <c r="ZP36" s="185"/>
      <c r="ZQ36" s="185"/>
      <c r="ZR36" s="185"/>
      <c r="ZS36" s="222"/>
      <c r="ZT36" s="184"/>
      <c r="ZU36" s="184"/>
      <c r="ZV36" s="184"/>
      <c r="ZW36" s="184"/>
      <c r="ZX36" s="185"/>
      <c r="ZY36" s="221"/>
      <c r="ZZ36" s="185"/>
      <c r="AAA36" s="185"/>
      <c r="AAB36" s="185"/>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183"/>
      <c r="AAY36" s="184"/>
      <c r="AAZ36" s="184"/>
      <c r="ABA36" s="184"/>
      <c r="ABB36" s="185"/>
      <c r="ABC36" s="186"/>
      <c r="ABD36" s="185"/>
      <c r="ABE36" s="185"/>
      <c r="ABF36" s="185"/>
      <c r="ABG36" s="185"/>
      <c r="ABH36" s="185"/>
      <c r="ABI36" s="221"/>
      <c r="ABJ36" s="185"/>
      <c r="ABK36" s="185"/>
      <c r="ABL36" s="185"/>
      <c r="ABM36" s="185"/>
      <c r="ABN36" s="185"/>
      <c r="ABO36" s="222"/>
      <c r="ABP36" s="185"/>
      <c r="ABQ36" s="185"/>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183"/>
      <c r="AFO36" s="184"/>
      <c r="AFP36" s="184"/>
      <c r="AFQ36" s="184"/>
      <c r="AFR36" s="185"/>
      <c r="AFS36" s="186"/>
      <c r="AFT36" s="185"/>
      <c r="AFU36" s="185"/>
      <c r="AFV36" s="185"/>
      <c r="AFW36" s="185"/>
      <c r="AFX36" s="185"/>
      <c r="AFY36" s="221"/>
      <c r="AFZ36" s="185"/>
      <c r="AGA36" s="185"/>
      <c r="AGB36" s="185"/>
      <c r="AGC36" s="185"/>
      <c r="AGD36" s="185"/>
      <c r="AGE36" s="222"/>
      <c r="AGF36" s="185"/>
      <c r="AGG36" s="185"/>
      <c r="AGH36" s="185"/>
      <c r="AGI36" s="185"/>
      <c r="AGJ36" s="185"/>
      <c r="AGK36" s="221"/>
      <c r="AGL36" s="185"/>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183"/>
      <c r="AHW36" s="184"/>
      <c r="AHX36" s="184"/>
      <c r="AHY36" s="184"/>
      <c r="AHZ36" s="185"/>
      <c r="AIA36" s="186"/>
      <c r="AIB36" s="185"/>
      <c r="AIC36" s="185"/>
      <c r="AID36" s="185"/>
      <c r="AIE36" s="185"/>
      <c r="AIF36" s="185"/>
      <c r="AIG36" s="221"/>
      <c r="AIH36" s="185"/>
      <c r="AII36" s="185"/>
      <c r="AIJ36" s="185"/>
      <c r="AIK36" s="185"/>
      <c r="AIL36" s="185"/>
      <c r="AIM36" s="222"/>
      <c r="AIN36" s="185"/>
      <c r="AIO36" s="185"/>
      <c r="AIP36" s="185"/>
      <c r="AIQ36" s="185"/>
      <c r="AIR36" s="185"/>
      <c r="AIS36" s="221"/>
      <c r="AIT36" s="185"/>
      <c r="AIU36" s="185"/>
      <c r="AIV36" s="185"/>
      <c r="AIW36" s="185"/>
      <c r="AIX36" s="185"/>
      <c r="AIY36" s="222"/>
      <c r="AIZ36" s="184"/>
      <c r="AJA36" s="184"/>
      <c r="AJB36" s="184"/>
      <c r="AJC36" s="184"/>
      <c r="AJD36" s="185"/>
      <c r="AJE36" s="221"/>
      <c r="AJF36" s="185"/>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67"/>
      <c r="AKH36" s="29"/>
      <c r="AKI36" s="130"/>
      <c r="AKJ36" s="29"/>
      <c r="AKK36" s="29"/>
      <c r="AKL36" s="29"/>
      <c r="AKM36" s="29"/>
      <c r="AKN36" s="29"/>
      <c r="AKO36" s="135"/>
      <c r="AKP36" s="29"/>
      <c r="AKQ36" s="29"/>
      <c r="AKR36" s="29"/>
      <c r="AKS36" s="29"/>
      <c r="AKT36" s="29"/>
      <c r="AKU36" s="73"/>
      <c r="AKV36" s="29"/>
      <c r="AKW36" s="29"/>
      <c r="AKX36" s="29"/>
      <c r="AKY36" s="29"/>
      <c r="AKZ36" s="29"/>
      <c r="ALA36" s="135"/>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29"/>
      <c r="APB36" s="29"/>
      <c r="APC36" s="29"/>
      <c r="APD36" s="29"/>
      <c r="APE36" s="135"/>
      <c r="APF36" s="29"/>
      <c r="APG36" s="29"/>
      <c r="APH36" s="29"/>
      <c r="API36" s="29"/>
      <c r="APJ36" s="29"/>
      <c r="APK36" s="73"/>
      <c r="APL36" s="29"/>
      <c r="APM36" s="29"/>
      <c r="APN36" s="29"/>
      <c r="APO36" s="29"/>
      <c r="APP36" s="29"/>
      <c r="APQ36" s="135"/>
      <c r="APR36" s="29"/>
      <c r="APS36" s="29"/>
      <c r="APT36" s="29"/>
      <c r="APU36" s="29"/>
      <c r="APV36" s="29"/>
      <c r="APW36" s="73"/>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28"/>
      <c r="ARC36" s="67"/>
      <c r="ARD36" s="67"/>
      <c r="ARE36" s="67"/>
      <c r="ARF36" s="29"/>
      <c r="ARG36" s="130"/>
      <c r="ARH36" s="29"/>
      <c r="ARI36" s="29"/>
      <c r="ARJ36" s="29"/>
      <c r="ARK36" s="29"/>
      <c r="ARL36" s="29"/>
      <c r="ARM36" s="135"/>
      <c r="ARN36" s="29"/>
      <c r="ARO36" s="29"/>
      <c r="ARP36" s="29"/>
      <c r="ARQ36" s="29"/>
      <c r="ARR36" s="29"/>
      <c r="ARS36" s="73"/>
      <c r="ART36" s="29"/>
      <c r="ARU36" s="29"/>
      <c r="ARV36" s="29"/>
      <c r="ARW36" s="29"/>
      <c r="ARX36" s="29"/>
      <c r="ARY36" s="135"/>
      <c r="ARZ36" s="29"/>
      <c r="ASA36" s="29"/>
      <c r="ASB36" s="29"/>
      <c r="ASC36" s="29"/>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28"/>
      <c r="ATK36" s="67"/>
      <c r="ATL36" s="67"/>
      <c r="ATM36" s="67"/>
      <c r="ATN36" s="29"/>
      <c r="ATO36" s="130"/>
      <c r="ATP36" s="29"/>
      <c r="ATQ36" s="29"/>
      <c r="ATR36" s="29"/>
      <c r="ATS36" s="29"/>
      <c r="ATT36" s="29"/>
      <c r="ATU36" s="135"/>
      <c r="ATV36" s="29"/>
      <c r="ATW36" s="29"/>
      <c r="ATX36" s="29"/>
      <c r="ATY36" s="29"/>
      <c r="ATZ36" s="29"/>
      <c r="AUA36" s="73"/>
      <c r="AUB36" s="29"/>
      <c r="AUC36" s="29"/>
      <c r="AUD36" s="29"/>
      <c r="AUE36" s="29"/>
      <c r="AUF36" s="29"/>
      <c r="AUG36" s="135"/>
      <c r="AUH36" s="29"/>
      <c r="AUI36" s="29"/>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135"/>
      <c r="AXB36" s="29"/>
      <c r="AXC36" s="29"/>
      <c r="AXD36" s="29"/>
      <c r="AXE36" s="29"/>
      <c r="AXF36" s="29"/>
      <c r="AXG36" s="73"/>
      <c r="AXH36" s="29"/>
      <c r="AXI36" s="29"/>
      <c r="AXJ36" s="29"/>
      <c r="AXK36" s="29"/>
      <c r="AXL36" s="29"/>
      <c r="AXM36" s="135"/>
      <c r="AXN36" s="29"/>
      <c r="AXO36" s="29"/>
      <c r="AXP36" s="29"/>
      <c r="AXQ36" s="29"/>
      <c r="AXR36" s="29"/>
      <c r="AXS36" s="73"/>
      <c r="AXT36" s="29"/>
      <c r="AXU36" s="29"/>
      <c r="AXV36" s="29"/>
      <c r="AXW36" s="29"/>
      <c r="AXX36" s="29"/>
      <c r="AXY36" s="30"/>
      <c r="AXZ36" s="28"/>
      <c r="AYA36" s="67"/>
      <c r="AYB36" s="67"/>
      <c r="AYC36" s="67"/>
      <c r="AYD36" s="29"/>
      <c r="AYE36" s="130"/>
      <c r="AYF36" s="29"/>
      <c r="AYG36" s="29"/>
      <c r="AYH36" s="29"/>
      <c r="AYI36" s="29"/>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67"/>
      <c r="BBN36" s="67"/>
      <c r="BBO36" s="67"/>
      <c r="BBP36" s="29"/>
      <c r="BBQ36" s="135"/>
      <c r="BBR36" s="29"/>
      <c r="BBS36" s="29"/>
      <c r="BBT36" s="29"/>
      <c r="BBU36" s="29"/>
      <c r="BBV36" s="29"/>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35" t="s">
        <v>95</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43"/>
      <c r="D38" s="147" t="str">
        <f t="shared" si="0"/>
        <v>2h25min</v>
      </c>
      <c r="E38" s="35">
        <v>29</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187"/>
      <c r="SH38" s="187"/>
      <c r="SI38" s="189"/>
      <c r="SJ38" s="18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187"/>
      <c r="AAD38" s="187"/>
      <c r="AAE38" s="189"/>
      <c r="AAF38" s="187"/>
      <c r="AAG38" s="187"/>
      <c r="AAH38" s="187"/>
      <c r="AAI38" s="18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187"/>
      <c r="ADM38" s="187"/>
      <c r="ADN38" s="187"/>
      <c r="ADO38" s="187"/>
      <c r="ADP38" s="187"/>
      <c r="ADQ38" s="188"/>
      <c r="ADR38" s="187"/>
      <c r="ADS38" s="18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37"/>
      <c r="AJG38" s="187"/>
      <c r="AJH38" s="187"/>
      <c r="AJI38" s="187"/>
      <c r="AJJ38" s="187"/>
      <c r="AJK38" s="189"/>
      <c r="AJL38" s="187"/>
      <c r="AJM38" s="187"/>
      <c r="AJN38" s="187"/>
      <c r="AJO38" s="187"/>
      <c r="AJP38" s="18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65"/>
      <c r="APY38" s="65"/>
      <c r="APZ38" s="65"/>
      <c r="AQA38" s="65"/>
      <c r="AQB38" s="3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37"/>
      <c r="ASE38" s="75"/>
      <c r="ASF38" s="65"/>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37"/>
      <c r="AUK38" s="3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75"/>
      <c r="AXH38" s="37"/>
      <c r="AXI38" s="3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37"/>
      <c r="AYZ38" s="3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75"/>
      <c r="BBX38" s="37"/>
      <c r="BBY38" s="3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65"/>
      <c r="BDU38" s="65"/>
      <c r="BDV38" s="65"/>
      <c r="BDW38" s="65"/>
      <c r="BDX38" s="37"/>
      <c r="BDY38" s="137"/>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35" t="s">
        <v>96</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36"/>
      <c r="D40" s="146" t="str">
        <f t="shared" si="0"/>
        <v>9h40min</v>
      </c>
      <c r="E40" s="27">
        <v>116</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222"/>
      <c r="OF40" s="184"/>
      <c r="OG40" s="184"/>
      <c r="OH40" s="184"/>
      <c r="OI40" s="184"/>
      <c r="OJ40" s="185"/>
      <c r="OK40" s="221"/>
      <c r="OL40" s="185"/>
      <c r="OM40" s="185"/>
      <c r="ON40" s="185"/>
      <c r="OO40" s="185"/>
      <c r="OP40" s="185"/>
      <c r="OQ40" s="222"/>
      <c r="OR40" s="185"/>
      <c r="OS40" s="185"/>
      <c r="OT40" s="185"/>
      <c r="OU40" s="185"/>
      <c r="OV40" s="185"/>
      <c r="OW40" s="135"/>
      <c r="OX40" s="29"/>
      <c r="OY40" s="29"/>
      <c r="OZ40" s="29"/>
      <c r="PA40" s="29"/>
      <c r="PB40" s="29"/>
      <c r="PC40" s="73"/>
      <c r="PD40" s="29"/>
      <c r="PE40" s="29"/>
      <c r="PF40" s="29"/>
      <c r="PG40" s="29"/>
      <c r="PH40" s="29"/>
      <c r="PI40" s="30"/>
      <c r="PJ40" s="183"/>
      <c r="PK40" s="184"/>
      <c r="PL40" s="184"/>
      <c r="PM40" s="184"/>
      <c r="PN40" s="185"/>
      <c r="PO40" s="186"/>
      <c r="PP40" s="185"/>
      <c r="PQ40" s="185"/>
      <c r="PR40" s="185"/>
      <c r="PS40" s="185"/>
      <c r="PT40" s="185"/>
      <c r="PU40" s="221"/>
      <c r="PV40" s="185"/>
      <c r="PW40" s="185"/>
      <c r="PX40" s="185"/>
      <c r="PY40" s="185"/>
      <c r="PZ40" s="185"/>
      <c r="QA40" s="222"/>
      <c r="QB40" s="185"/>
      <c r="QC40" s="185"/>
      <c r="QD40" s="185"/>
      <c r="QE40" s="185"/>
      <c r="QF40" s="185"/>
      <c r="QG40" s="221"/>
      <c r="QH40" s="185"/>
      <c r="QI40" s="185"/>
      <c r="QJ40" s="185"/>
      <c r="QK40" s="185"/>
      <c r="QL40" s="185"/>
      <c r="QM40" s="222"/>
      <c r="QN40" s="184"/>
      <c r="QO40" s="184"/>
      <c r="QP40" s="184"/>
      <c r="QQ40" s="184"/>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183"/>
      <c r="RS40" s="184"/>
      <c r="RT40" s="184"/>
      <c r="RU40" s="184"/>
      <c r="RV40" s="185"/>
      <c r="RW40" s="186"/>
      <c r="RX40" s="185"/>
      <c r="RY40" s="185"/>
      <c r="RZ40" s="185"/>
      <c r="SA40" s="185"/>
      <c r="SB40" s="185"/>
      <c r="SC40" s="221"/>
      <c r="SD40" s="185"/>
      <c r="SE40" s="185"/>
      <c r="SF40" s="185"/>
      <c r="SG40" s="29"/>
      <c r="SH40" s="29"/>
      <c r="SI40" s="73"/>
      <c r="SJ40" s="29"/>
      <c r="SK40" s="29"/>
      <c r="SL40" s="29"/>
      <c r="SM40" s="29"/>
      <c r="SN40" s="29"/>
      <c r="SO40" s="135"/>
      <c r="SP40" s="29"/>
      <c r="SQ40" s="29"/>
      <c r="SR40" s="29"/>
      <c r="SS40" s="29"/>
      <c r="ST40" s="29"/>
      <c r="SU40" s="73"/>
      <c r="SV40" s="67"/>
      <c r="SW40" s="184"/>
      <c r="SX40" s="184"/>
      <c r="SY40" s="184"/>
      <c r="SZ40" s="185"/>
      <c r="TA40" s="221"/>
      <c r="TB40" s="185"/>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221"/>
      <c r="VJ40" s="185"/>
      <c r="VK40" s="185"/>
      <c r="VL40" s="185"/>
      <c r="VM40" s="185"/>
      <c r="VN40" s="185"/>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185"/>
      <c r="WV40" s="185"/>
      <c r="WW40" s="185"/>
      <c r="WX40" s="185"/>
      <c r="WY40" s="222"/>
      <c r="WZ40" s="185"/>
      <c r="XA40" s="185"/>
      <c r="XB40" s="185"/>
      <c r="XC40" s="185"/>
      <c r="XD40" s="185"/>
      <c r="XE40" s="221"/>
      <c r="XF40" s="185"/>
      <c r="XG40" s="185"/>
      <c r="XH40" s="185"/>
      <c r="XI40" s="185"/>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185"/>
      <c r="ABS40" s="185"/>
      <c r="ABT40" s="185"/>
      <c r="ABU40" s="221"/>
      <c r="ABV40" s="185"/>
      <c r="ABW40" s="185"/>
      <c r="ABX40" s="185"/>
      <c r="ABY40" s="185"/>
      <c r="ABZ40" s="185"/>
      <c r="ACA40" s="222"/>
      <c r="ACB40" s="184"/>
      <c r="ACC40" s="184"/>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185"/>
      <c r="AEI40" s="222"/>
      <c r="AEJ40" s="184"/>
      <c r="AEK40" s="184"/>
      <c r="AEL40" s="184"/>
      <c r="AEM40" s="184"/>
      <c r="AEN40" s="185"/>
      <c r="AEO40" s="221"/>
      <c r="AEP40" s="185"/>
      <c r="AEQ40" s="185"/>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29"/>
      <c r="ALC40" s="29"/>
      <c r="ALD40" s="29"/>
      <c r="ALE40" s="29"/>
      <c r="ALF40" s="29"/>
      <c r="ALG40" s="73"/>
      <c r="ALH40" s="67"/>
      <c r="ALI40" s="67"/>
      <c r="ALJ40" s="67"/>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29"/>
      <c r="ANI40" s="135"/>
      <c r="ANJ40" s="29"/>
      <c r="ANK40" s="29"/>
      <c r="ANL40" s="29"/>
      <c r="ANM40" s="29"/>
      <c r="ANN40" s="29"/>
      <c r="ANO40" s="73"/>
      <c r="ANP40" s="67"/>
      <c r="ANQ40" s="67"/>
      <c r="ANR40" s="67"/>
      <c r="ANS40" s="67"/>
      <c r="ANT40" s="29"/>
      <c r="ANU40" s="135"/>
      <c r="ANV40" s="29"/>
      <c r="ANW40" s="29"/>
      <c r="ANX40" s="29"/>
      <c r="ANY40" s="29"/>
      <c r="ANZ40" s="29"/>
      <c r="AOA40" s="73"/>
      <c r="AOB40" s="29"/>
      <c r="AOC40" s="29"/>
      <c r="AOD40" s="29"/>
      <c r="AOE40" s="29"/>
      <c r="AOF40" s="29"/>
      <c r="AOG40" s="135"/>
      <c r="AOH40" s="29"/>
      <c r="AOI40" s="29"/>
      <c r="AOJ40" s="29"/>
      <c r="AOK40" s="29"/>
      <c r="AOL40" s="29"/>
      <c r="AOM40" s="73"/>
      <c r="AON40" s="29"/>
      <c r="AOO40" s="29"/>
      <c r="AOP40" s="29"/>
      <c r="AOQ40" s="29"/>
      <c r="AOR40" s="29"/>
      <c r="AOS40" s="30"/>
      <c r="AOT40" s="28"/>
      <c r="AOU40" s="67"/>
      <c r="AOV40" s="67"/>
      <c r="AOW40" s="67"/>
      <c r="AOX40" s="29"/>
      <c r="AOY40" s="130"/>
      <c r="AOZ40" s="29"/>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35" t="s">
        <v>97</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36"/>
      <c r="D42" s="147" t="str">
        <f t="shared" si="0"/>
        <v>3h45min</v>
      </c>
      <c r="E42" s="35">
        <v>45</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182"/>
      <c r="KU42" s="190"/>
      <c r="KV42" s="190"/>
      <c r="KW42" s="190"/>
      <c r="KX42" s="187"/>
      <c r="KY42" s="191"/>
      <c r="KZ42" s="187"/>
      <c r="LA42" s="187"/>
      <c r="LB42" s="187"/>
      <c r="LC42" s="187"/>
      <c r="LD42" s="187"/>
      <c r="LE42" s="188"/>
      <c r="LF42" s="37"/>
      <c r="LG42" s="37"/>
      <c r="LH42" s="37"/>
      <c r="LI42" s="37"/>
      <c r="LJ42" s="37"/>
      <c r="LK42" s="75"/>
      <c r="LL42" s="37"/>
      <c r="LM42" s="37"/>
      <c r="LN42" s="187"/>
      <c r="LO42" s="187"/>
      <c r="LP42" s="187"/>
      <c r="LQ42" s="188"/>
      <c r="LR42" s="187"/>
      <c r="LS42" s="187"/>
      <c r="LT42" s="187"/>
      <c r="LU42" s="187"/>
      <c r="LV42" s="187"/>
      <c r="LW42" s="189"/>
      <c r="LX42" s="190"/>
      <c r="LY42" s="190"/>
      <c r="LZ42" s="190"/>
      <c r="MA42" s="190"/>
      <c r="MB42" s="18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88"/>
      <c r="NN42" s="187"/>
      <c r="NO42" s="187"/>
      <c r="NP42" s="187"/>
      <c r="NQ42" s="187"/>
      <c r="NR42" s="18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187"/>
      <c r="SL42" s="187"/>
      <c r="SM42" s="187"/>
      <c r="SN42" s="187"/>
      <c r="SO42" s="188"/>
      <c r="SP42" s="187"/>
      <c r="SQ42" s="187"/>
      <c r="SR42" s="187"/>
      <c r="SS42" s="187"/>
      <c r="ST42" s="187"/>
      <c r="SU42" s="189"/>
      <c r="SV42" s="190"/>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35" t="s">
        <v>98</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36"/>
      <c r="D44" s="147" t="str">
        <f t="shared" si="0"/>
        <v>0h</v>
      </c>
      <c r="E44" s="35">
        <v>0</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36"/>
      <c r="AVS44" s="65"/>
      <c r="AVT44" s="65"/>
      <c r="AVU44" s="65"/>
      <c r="AVV44" s="37"/>
      <c r="AVW44" s="132"/>
      <c r="AVX44" s="37"/>
      <c r="AVY44" s="37"/>
      <c r="AVZ44" s="37"/>
      <c r="AWA44" s="3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37"/>
      <c r="AYK44" s="137"/>
      <c r="AYL44" s="37"/>
      <c r="AYM44" s="37"/>
      <c r="AYN44" s="37"/>
      <c r="AYO44" s="37"/>
      <c r="AYP44" s="37"/>
      <c r="AYQ44" s="75"/>
      <c r="AYR44" s="37"/>
      <c r="AYS44" s="37"/>
      <c r="AYT44" s="37"/>
      <c r="AYU44" s="37"/>
      <c r="AYV44" s="37"/>
      <c r="AYW44" s="137"/>
      <c r="AYX44" s="3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36"/>
      <c r="BAI44" s="65"/>
      <c r="BAJ44" s="65"/>
      <c r="BAK44" s="65"/>
      <c r="BAL44" s="37"/>
      <c r="BAM44" s="132"/>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35" t="s">
        <v>99</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36"/>
      <c r="D46" s="146" t="str">
        <f t="shared" si="0"/>
        <v>0h</v>
      </c>
      <c r="E46" s="35">
        <v>0</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37"/>
      <c r="ASL46" s="37"/>
      <c r="ASM46" s="3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37"/>
      <c r="BDF46" s="37"/>
      <c r="BDG46" s="75"/>
      <c r="BDH46" s="37"/>
      <c r="BDI46" s="37"/>
      <c r="BDJ46" s="37"/>
      <c r="BDK46" s="37"/>
      <c r="BDL46" s="37"/>
      <c r="BDM46" s="137"/>
      <c r="BDN46" s="37"/>
      <c r="BDO46" s="37"/>
      <c r="BDP46" s="37"/>
      <c r="BDQ46" s="37"/>
      <c r="BDR46" s="37"/>
      <c r="BDS46" s="75"/>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35" t="s">
        <v>100</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36"/>
      <c r="D48" s="147" t="str">
        <f t="shared" si="0"/>
        <v>0h30min</v>
      </c>
      <c r="E48" s="27">
        <v>6</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185"/>
      <c r="OD48" s="185"/>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35" t="s">
        <v>101</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36"/>
      <c r="D50" s="147" t="str">
        <f t="shared" si="0"/>
        <v>1h35min</v>
      </c>
      <c r="E50" s="35">
        <v>19</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187"/>
      <c r="CY50" s="37"/>
      <c r="CZ50" s="37"/>
      <c r="DA50" s="37"/>
      <c r="DB50" s="37"/>
      <c r="DC50" s="75"/>
      <c r="DD50" s="37"/>
      <c r="DE50" s="37"/>
      <c r="DF50" s="37"/>
      <c r="DG50" s="37"/>
      <c r="DH50" s="3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18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187"/>
      <c r="QU50" s="18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37"/>
      <c r="WO50" s="3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187"/>
      <c r="XQ50" s="188"/>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190"/>
      <c r="ACE50" s="190"/>
      <c r="ACF50" s="187"/>
      <c r="ACG50" s="188"/>
      <c r="ACH50" s="18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187"/>
      <c r="AGY50" s="18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65"/>
      <c r="ALL50" s="3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37"/>
      <c r="AZK50" s="3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32"/>
      <c r="BFD50" s="37"/>
      <c r="BFE50" s="37"/>
      <c r="BFF50" s="37"/>
      <c r="BFG50" s="3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35" t="s">
        <v>102</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36"/>
      <c r="D52" s="146" t="str">
        <f t="shared" si="0"/>
        <v>0h</v>
      </c>
      <c r="E52" s="27">
        <v>0</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67"/>
      <c r="BGC52" s="67"/>
      <c r="BGD52" s="67"/>
      <c r="BGE52" s="67"/>
      <c r="BGF52" s="29"/>
      <c r="BGG52" s="135"/>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35"/>
      <c r="D53" s="145" t="str">
        <f t="shared" si="0"/>
        <v>0h</v>
      </c>
      <c r="E53" s="31">
        <v>0</v>
      </c>
      <c r="F53" s="32"/>
      <c r="G53" s="64"/>
      <c r="H53" s="64"/>
      <c r="I53" s="64"/>
      <c r="J53" s="33"/>
      <c r="K53" s="131"/>
      <c r="L53" s="33"/>
      <c r="M53" s="33"/>
      <c r="N53" s="33"/>
      <c r="O53" s="33"/>
      <c r="P53" s="33"/>
      <c r="Q53" s="136"/>
      <c r="R53" s="33"/>
      <c r="S53" s="33"/>
      <c r="T53" s="33"/>
      <c r="U53" s="33"/>
      <c r="V53" s="33"/>
      <c r="W53" s="74"/>
      <c r="X53" s="33"/>
      <c r="Y53" s="33"/>
      <c r="Z53" s="33"/>
      <c r="AA53" s="33"/>
      <c r="AB53" s="33"/>
      <c r="AC53" s="136"/>
      <c r="AD53" s="33"/>
      <c r="AE53" s="33"/>
      <c r="AF53" s="33"/>
      <c r="AG53" s="33"/>
      <c r="AH53" s="33"/>
      <c r="AI53" s="74"/>
      <c r="AJ53" s="64"/>
      <c r="AK53" s="64"/>
      <c r="AL53" s="64"/>
      <c r="AM53" s="64"/>
      <c r="AN53" s="33"/>
      <c r="AO53" s="136"/>
      <c r="AP53" s="33"/>
      <c r="AQ53" s="33"/>
      <c r="AR53" s="33"/>
      <c r="AS53" s="33"/>
      <c r="AT53" s="33"/>
      <c r="AU53" s="74"/>
      <c r="AV53" s="33"/>
      <c r="AW53" s="33"/>
      <c r="AX53" s="33"/>
      <c r="AY53" s="33"/>
      <c r="AZ53" s="33"/>
      <c r="BA53" s="136"/>
      <c r="BB53" s="33"/>
      <c r="BC53" s="33"/>
      <c r="BD53" s="33"/>
      <c r="BE53" s="33"/>
      <c r="BF53" s="33"/>
      <c r="BG53" s="74"/>
      <c r="BH53" s="33"/>
      <c r="BI53" s="33"/>
      <c r="BJ53" s="33"/>
      <c r="BK53" s="33"/>
      <c r="BL53" s="33"/>
      <c r="BM53" s="34"/>
      <c r="BN53" s="32"/>
      <c r="BO53" s="64"/>
      <c r="BP53" s="64"/>
      <c r="BQ53" s="64"/>
      <c r="BR53" s="33"/>
      <c r="BS53" s="131"/>
      <c r="BT53" s="33"/>
      <c r="BU53" s="33"/>
      <c r="BV53" s="33"/>
      <c r="BW53" s="33"/>
      <c r="BX53" s="33"/>
      <c r="BY53" s="136"/>
      <c r="BZ53" s="33"/>
      <c r="CA53" s="33"/>
      <c r="CB53" s="33"/>
      <c r="CC53" s="33"/>
      <c r="CD53" s="33"/>
      <c r="CE53" s="74"/>
      <c r="CF53" s="33"/>
      <c r="CG53" s="33"/>
      <c r="CH53" s="33"/>
      <c r="CI53" s="33"/>
      <c r="CJ53" s="33"/>
      <c r="CK53" s="136"/>
      <c r="CL53" s="33"/>
      <c r="CM53" s="33"/>
      <c r="CN53" s="33"/>
      <c r="CO53" s="33"/>
      <c r="CP53" s="33"/>
      <c r="CQ53" s="74"/>
      <c r="CR53" s="64"/>
      <c r="CS53" s="64"/>
      <c r="CT53" s="64"/>
      <c r="CU53" s="64"/>
      <c r="CV53" s="33"/>
      <c r="CW53" s="136"/>
      <c r="CX53" s="33"/>
      <c r="CY53" s="33"/>
      <c r="CZ53" s="33"/>
      <c r="DA53" s="33"/>
      <c r="DB53" s="33"/>
      <c r="DC53" s="74"/>
      <c r="DD53" s="33"/>
      <c r="DE53" s="33"/>
      <c r="DF53" s="33"/>
      <c r="DG53" s="33"/>
      <c r="DH53" s="33"/>
      <c r="DI53" s="136"/>
      <c r="DJ53" s="33"/>
      <c r="DK53" s="33"/>
      <c r="DL53" s="33"/>
      <c r="DM53" s="33"/>
      <c r="DN53" s="33"/>
      <c r="DO53" s="74"/>
      <c r="DP53" s="33"/>
      <c r="DQ53" s="33"/>
      <c r="DR53" s="33"/>
      <c r="DS53" s="33"/>
      <c r="DT53" s="33"/>
      <c r="DU53" s="34"/>
      <c r="DV53" s="32"/>
      <c r="DW53" s="64"/>
      <c r="DX53" s="64"/>
      <c r="DY53" s="64"/>
      <c r="DZ53" s="33"/>
      <c r="EA53" s="131"/>
      <c r="EB53" s="33"/>
      <c r="EC53" s="33"/>
      <c r="ED53" s="33"/>
      <c r="EE53" s="33"/>
      <c r="EF53" s="33"/>
      <c r="EG53" s="136"/>
      <c r="EH53" s="33"/>
      <c r="EI53" s="33"/>
      <c r="EJ53" s="33"/>
      <c r="EK53" s="33"/>
      <c r="EL53" s="33"/>
      <c r="EM53" s="74"/>
      <c r="EN53" s="33"/>
      <c r="EO53" s="33"/>
      <c r="EP53" s="33"/>
      <c r="EQ53" s="33"/>
      <c r="ER53" s="33"/>
      <c r="ES53" s="136"/>
      <c r="ET53" s="33"/>
      <c r="EU53" s="33"/>
      <c r="EV53" s="33"/>
      <c r="EW53" s="33"/>
      <c r="EX53" s="33"/>
      <c r="EY53" s="74"/>
      <c r="EZ53" s="64"/>
      <c r="FA53" s="64"/>
      <c r="FB53" s="64"/>
      <c r="FC53" s="64"/>
      <c r="FD53" s="33"/>
      <c r="FE53" s="136"/>
      <c r="FF53" s="33"/>
      <c r="FG53" s="33"/>
      <c r="FH53" s="33"/>
      <c r="FI53" s="33"/>
      <c r="FJ53" s="33"/>
      <c r="FK53" s="74"/>
      <c r="FL53" s="33"/>
      <c r="FM53" s="33"/>
      <c r="FN53" s="33"/>
      <c r="FO53" s="33"/>
      <c r="FP53" s="33"/>
      <c r="FQ53" s="136"/>
      <c r="FR53" s="33"/>
      <c r="FS53" s="33"/>
      <c r="FT53" s="33"/>
      <c r="FU53" s="33"/>
      <c r="FV53" s="33"/>
      <c r="FW53" s="74"/>
      <c r="FX53" s="33"/>
      <c r="FY53" s="33"/>
      <c r="FZ53" s="33"/>
      <c r="GA53" s="33"/>
      <c r="GB53" s="33"/>
      <c r="GC53" s="34"/>
      <c r="GD53" s="32"/>
      <c r="GE53" s="64"/>
      <c r="GF53" s="64"/>
      <c r="GG53" s="64"/>
      <c r="GH53" s="33"/>
      <c r="GI53" s="131"/>
      <c r="GJ53" s="33"/>
      <c r="GK53" s="33"/>
      <c r="GL53" s="33"/>
      <c r="GM53" s="33"/>
      <c r="GN53" s="33"/>
      <c r="GO53" s="136"/>
      <c r="GP53" s="33"/>
      <c r="GQ53" s="33"/>
      <c r="GR53" s="33"/>
      <c r="GS53" s="33"/>
      <c r="GT53" s="33"/>
      <c r="GU53" s="74"/>
      <c r="GV53" s="33"/>
      <c r="GW53" s="33"/>
      <c r="GX53" s="33"/>
      <c r="GY53" s="33"/>
      <c r="GZ53" s="33"/>
      <c r="HA53" s="136"/>
      <c r="HB53" s="33"/>
      <c r="HC53" s="33"/>
      <c r="HD53" s="33"/>
      <c r="HE53" s="33"/>
      <c r="HF53" s="33"/>
      <c r="HG53" s="74"/>
      <c r="HH53" s="64"/>
      <c r="HI53" s="64"/>
      <c r="HJ53" s="64"/>
      <c r="HK53" s="64"/>
      <c r="HL53" s="33"/>
      <c r="HM53" s="136"/>
      <c r="HN53" s="33"/>
      <c r="HO53" s="33"/>
      <c r="HP53" s="33"/>
      <c r="HQ53" s="33"/>
      <c r="HR53" s="33"/>
      <c r="HS53" s="74"/>
      <c r="HT53" s="33"/>
      <c r="HU53" s="33"/>
      <c r="HV53" s="33"/>
      <c r="HW53" s="33"/>
      <c r="HX53" s="33"/>
      <c r="HY53" s="136"/>
      <c r="HZ53" s="33"/>
      <c r="IA53" s="33"/>
      <c r="IB53" s="33"/>
      <c r="IC53" s="33"/>
      <c r="ID53" s="33"/>
      <c r="IE53" s="74"/>
      <c r="IF53" s="33"/>
      <c r="IG53" s="33"/>
      <c r="IH53" s="33"/>
      <c r="II53" s="33"/>
      <c r="IJ53" s="33"/>
      <c r="IK53" s="34"/>
      <c r="IL53" s="32"/>
      <c r="IM53" s="64"/>
      <c r="IN53" s="64"/>
      <c r="IO53" s="64"/>
      <c r="IP53" s="33"/>
      <c r="IQ53" s="131"/>
      <c r="IR53" s="33"/>
      <c r="IS53" s="33"/>
      <c r="IT53" s="33"/>
      <c r="IU53" s="33"/>
      <c r="IV53" s="33"/>
      <c r="IW53" s="136"/>
      <c r="IX53" s="33"/>
      <c r="IY53" s="33"/>
      <c r="IZ53" s="33"/>
      <c r="JA53" s="33"/>
      <c r="JB53" s="33"/>
      <c r="JC53" s="74"/>
      <c r="JD53" s="33"/>
      <c r="JE53" s="33"/>
      <c r="JF53" s="33"/>
      <c r="JG53" s="33"/>
      <c r="JH53" s="33"/>
      <c r="JI53" s="136"/>
      <c r="JJ53" s="33"/>
      <c r="JK53" s="33"/>
      <c r="JL53" s="33"/>
      <c r="JM53" s="33"/>
      <c r="JN53" s="33"/>
      <c r="JO53" s="74"/>
      <c r="JP53" s="64"/>
      <c r="JQ53" s="64"/>
      <c r="JR53" s="64"/>
      <c r="JS53" s="64"/>
      <c r="JT53" s="33"/>
      <c r="JU53" s="136"/>
      <c r="JV53" s="33"/>
      <c r="JW53" s="33"/>
      <c r="JX53" s="33"/>
      <c r="JY53" s="33"/>
      <c r="JZ53" s="33"/>
      <c r="KA53" s="74"/>
      <c r="KB53" s="33"/>
      <c r="KC53" s="33"/>
      <c r="KD53" s="33"/>
      <c r="KE53" s="33"/>
      <c r="KF53" s="33"/>
      <c r="KG53" s="136"/>
      <c r="KH53" s="33"/>
      <c r="KI53" s="33"/>
      <c r="KJ53" s="33"/>
      <c r="KK53" s="33"/>
      <c r="KL53" s="33"/>
      <c r="KM53" s="74"/>
      <c r="KN53" s="33"/>
      <c r="KO53" s="33"/>
      <c r="KP53" s="33"/>
      <c r="KQ53" s="33"/>
      <c r="KR53" s="33"/>
      <c r="KS53" s="34"/>
      <c r="KT53" s="32"/>
      <c r="KU53" s="64"/>
      <c r="KV53" s="64"/>
      <c r="KW53" s="64"/>
      <c r="KX53" s="33"/>
      <c r="KY53" s="131"/>
      <c r="KZ53" s="33"/>
      <c r="LA53" s="33"/>
      <c r="LB53" s="33"/>
      <c r="LC53" s="33"/>
      <c r="LD53" s="33"/>
      <c r="LE53" s="136"/>
      <c r="LF53" s="33"/>
      <c r="LG53" s="33"/>
      <c r="LH53" s="33"/>
      <c r="LI53" s="33"/>
      <c r="LJ53" s="33"/>
      <c r="LK53" s="74"/>
      <c r="LL53" s="33"/>
      <c r="LM53" s="33"/>
      <c r="LN53" s="33"/>
      <c r="LO53" s="33"/>
      <c r="LP53" s="33"/>
      <c r="LQ53" s="136"/>
      <c r="LR53" s="33"/>
      <c r="LS53" s="33"/>
      <c r="LT53" s="33"/>
      <c r="LU53" s="33"/>
      <c r="LV53" s="33"/>
      <c r="LW53" s="74"/>
      <c r="LX53" s="64"/>
      <c r="LY53" s="64"/>
      <c r="LZ53" s="64"/>
      <c r="MA53" s="64"/>
      <c r="MB53" s="33"/>
      <c r="MC53" s="136"/>
      <c r="MD53" s="33"/>
      <c r="ME53" s="33"/>
      <c r="MF53" s="33"/>
      <c r="MG53" s="33"/>
      <c r="MH53" s="33"/>
      <c r="MI53" s="74"/>
      <c r="MJ53" s="33"/>
      <c r="MK53" s="33"/>
      <c r="ML53" s="33"/>
      <c r="MM53" s="33"/>
      <c r="MN53" s="33"/>
      <c r="MO53" s="136"/>
      <c r="MP53" s="33"/>
      <c r="MQ53" s="33"/>
      <c r="MR53" s="33"/>
      <c r="MS53" s="33"/>
      <c r="MT53" s="33"/>
      <c r="MU53" s="74"/>
      <c r="MV53" s="33"/>
      <c r="MW53" s="33"/>
      <c r="MX53" s="33"/>
      <c r="MY53" s="33"/>
      <c r="MZ53" s="33"/>
      <c r="NA53" s="34"/>
      <c r="NB53" s="32"/>
      <c r="NC53" s="64"/>
      <c r="ND53" s="64"/>
      <c r="NE53" s="64"/>
      <c r="NF53" s="33"/>
      <c r="NG53" s="131"/>
      <c r="NH53" s="33"/>
      <c r="NI53" s="33"/>
      <c r="NJ53" s="33"/>
      <c r="NK53" s="33"/>
      <c r="NL53" s="33"/>
      <c r="NM53" s="136"/>
      <c r="NN53" s="33"/>
      <c r="NO53" s="33"/>
      <c r="NP53" s="33"/>
      <c r="NQ53" s="33"/>
      <c r="NR53" s="33"/>
      <c r="NS53" s="74"/>
      <c r="NT53" s="33"/>
      <c r="NU53" s="33"/>
      <c r="NV53" s="33"/>
      <c r="NW53" s="33"/>
      <c r="NX53" s="33"/>
      <c r="NY53" s="136"/>
      <c r="NZ53" s="33"/>
      <c r="OA53" s="33"/>
      <c r="OB53" s="33"/>
      <c r="OC53" s="33"/>
      <c r="OD53" s="33"/>
      <c r="OE53" s="74"/>
      <c r="OF53" s="64"/>
      <c r="OG53" s="64"/>
      <c r="OH53" s="64"/>
      <c r="OI53" s="64"/>
      <c r="OJ53" s="33"/>
      <c r="OK53" s="136"/>
      <c r="OL53" s="33"/>
      <c r="OM53" s="33"/>
      <c r="ON53" s="33"/>
      <c r="OO53" s="33"/>
      <c r="OP53" s="33"/>
      <c r="OQ53" s="74"/>
      <c r="OR53" s="33"/>
      <c r="OS53" s="33"/>
      <c r="OT53" s="33"/>
      <c r="OU53" s="33"/>
      <c r="OV53" s="33"/>
      <c r="OW53" s="136"/>
      <c r="OX53" s="33"/>
      <c r="OY53" s="33"/>
      <c r="OZ53" s="33"/>
      <c r="PA53" s="33"/>
      <c r="PB53" s="33"/>
      <c r="PC53" s="74"/>
      <c r="PD53" s="33"/>
      <c r="PE53" s="33"/>
      <c r="PF53" s="33"/>
      <c r="PG53" s="33"/>
      <c r="PH53" s="33"/>
      <c r="PI53" s="34"/>
      <c r="PJ53" s="32"/>
      <c r="PK53" s="64"/>
      <c r="PL53" s="64"/>
      <c r="PM53" s="64"/>
      <c r="PN53" s="33"/>
      <c r="PO53" s="131"/>
      <c r="PP53" s="33"/>
      <c r="PQ53" s="33"/>
      <c r="PR53" s="33"/>
      <c r="PS53" s="33"/>
      <c r="PT53" s="33"/>
      <c r="PU53" s="136"/>
      <c r="PV53" s="33"/>
      <c r="PW53" s="33"/>
      <c r="PX53" s="33"/>
      <c r="PY53" s="33"/>
      <c r="PZ53" s="33"/>
      <c r="QA53" s="74"/>
      <c r="QB53" s="33"/>
      <c r="QC53" s="33"/>
      <c r="QD53" s="33"/>
      <c r="QE53" s="33"/>
      <c r="QF53" s="33"/>
      <c r="QG53" s="136"/>
      <c r="QH53" s="33"/>
      <c r="QI53" s="33"/>
      <c r="QJ53" s="33"/>
      <c r="QK53" s="33"/>
      <c r="QL53" s="33"/>
      <c r="QM53" s="74"/>
      <c r="QN53" s="64"/>
      <c r="QO53" s="64"/>
      <c r="QP53" s="64"/>
      <c r="QQ53" s="64"/>
      <c r="QR53" s="33"/>
      <c r="QS53" s="136"/>
      <c r="QT53" s="33"/>
      <c r="QU53" s="33"/>
      <c r="QV53" s="33"/>
      <c r="QW53" s="33"/>
      <c r="QX53" s="33"/>
      <c r="QY53" s="74"/>
      <c r="QZ53" s="33"/>
      <c r="RA53" s="33"/>
      <c r="RB53" s="33"/>
      <c r="RC53" s="33"/>
      <c r="RD53" s="33"/>
      <c r="RE53" s="136"/>
      <c r="RF53" s="33"/>
      <c r="RG53" s="33"/>
      <c r="RH53" s="33"/>
      <c r="RI53" s="33"/>
      <c r="RJ53" s="33"/>
      <c r="RK53" s="74"/>
      <c r="RL53" s="33"/>
      <c r="RM53" s="33"/>
      <c r="RN53" s="33"/>
      <c r="RO53" s="33"/>
      <c r="RP53" s="33"/>
      <c r="RQ53" s="34"/>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32"/>
      <c r="UA53" s="64"/>
      <c r="UB53" s="64"/>
      <c r="UC53" s="64"/>
      <c r="UD53" s="33"/>
      <c r="UE53" s="131"/>
      <c r="UF53" s="33"/>
      <c r="UG53" s="33"/>
      <c r="UH53" s="33"/>
      <c r="UI53" s="33"/>
      <c r="UJ53" s="33"/>
      <c r="UK53" s="136"/>
      <c r="UL53" s="33"/>
      <c r="UM53" s="33"/>
      <c r="UN53" s="33"/>
      <c r="UO53" s="33"/>
      <c r="UP53" s="33"/>
      <c r="UQ53" s="74"/>
      <c r="UR53" s="33"/>
      <c r="US53" s="33"/>
      <c r="UT53" s="33"/>
      <c r="UU53" s="33"/>
      <c r="UV53" s="33"/>
      <c r="UW53" s="136"/>
      <c r="UX53" s="33"/>
      <c r="UY53" s="33"/>
      <c r="UZ53" s="33"/>
      <c r="VA53" s="33"/>
      <c r="VB53" s="33"/>
      <c r="VC53" s="74"/>
      <c r="VD53" s="64"/>
      <c r="VE53" s="64"/>
      <c r="VF53" s="64"/>
      <c r="VG53" s="64"/>
      <c r="VH53" s="33"/>
      <c r="VI53" s="136"/>
      <c r="VJ53" s="33"/>
      <c r="VK53" s="33"/>
      <c r="VL53" s="33"/>
      <c r="VM53" s="33"/>
      <c r="VN53" s="33"/>
      <c r="VO53" s="74"/>
      <c r="VP53" s="33"/>
      <c r="VQ53" s="33"/>
      <c r="VR53" s="33"/>
      <c r="VS53" s="33"/>
      <c r="VT53" s="33"/>
      <c r="VU53" s="136"/>
      <c r="VV53" s="33"/>
      <c r="VW53" s="33"/>
      <c r="VX53" s="33"/>
      <c r="VY53" s="33"/>
      <c r="VZ53" s="33"/>
      <c r="WA53" s="74"/>
      <c r="WB53" s="33"/>
      <c r="WC53" s="33"/>
      <c r="WD53" s="33"/>
      <c r="WE53" s="33"/>
      <c r="WF53" s="33"/>
      <c r="WG53" s="34"/>
      <c r="WH53" s="32"/>
      <c r="WI53" s="64"/>
      <c r="WJ53" s="64"/>
      <c r="WK53" s="64"/>
      <c r="WL53" s="33"/>
      <c r="WM53" s="131"/>
      <c r="WN53" s="33"/>
      <c r="WO53" s="33"/>
      <c r="WP53" s="33"/>
      <c r="WQ53" s="33"/>
      <c r="WR53" s="33"/>
      <c r="WS53" s="136"/>
      <c r="WT53" s="33"/>
      <c r="WU53" s="33"/>
      <c r="WV53" s="33"/>
      <c r="WW53" s="33"/>
      <c r="WX53" s="33"/>
      <c r="WY53" s="74"/>
      <c r="WZ53" s="33"/>
      <c r="XA53" s="33"/>
      <c r="XB53" s="33"/>
      <c r="XC53" s="33"/>
      <c r="XD53" s="33"/>
      <c r="XE53" s="136"/>
      <c r="XF53" s="33"/>
      <c r="XG53" s="33"/>
      <c r="XH53" s="33"/>
      <c r="XI53" s="33"/>
      <c r="XJ53" s="33"/>
      <c r="XK53" s="74"/>
      <c r="XL53" s="64"/>
      <c r="XM53" s="64"/>
      <c r="XN53" s="64"/>
      <c r="XO53" s="64"/>
      <c r="XP53" s="33"/>
      <c r="XQ53" s="136"/>
      <c r="XR53" s="33"/>
      <c r="XS53" s="33"/>
      <c r="XT53" s="33"/>
      <c r="XU53" s="33"/>
      <c r="XV53" s="33"/>
      <c r="XW53" s="74"/>
      <c r="XX53" s="33"/>
      <c r="XY53" s="33"/>
      <c r="XZ53" s="33"/>
      <c r="YA53" s="33"/>
      <c r="YB53" s="33"/>
      <c r="YC53" s="136"/>
      <c r="YD53" s="33"/>
      <c r="YE53" s="33"/>
      <c r="YF53" s="33"/>
      <c r="YG53" s="33"/>
      <c r="YH53" s="33"/>
      <c r="YI53" s="74"/>
      <c r="YJ53" s="33"/>
      <c r="YK53" s="33"/>
      <c r="YL53" s="33"/>
      <c r="YM53" s="33"/>
      <c r="YN53" s="33"/>
      <c r="YO53" s="34"/>
      <c r="YP53" s="32"/>
      <c r="YQ53" s="64"/>
      <c r="YR53" s="64"/>
      <c r="YS53" s="64"/>
      <c r="YT53" s="33"/>
      <c r="YU53" s="131"/>
      <c r="YV53" s="33"/>
      <c r="YW53" s="33"/>
      <c r="YX53" s="33"/>
      <c r="YY53" s="33"/>
      <c r="YZ53" s="33"/>
      <c r="ZA53" s="136"/>
      <c r="ZB53" s="33"/>
      <c r="ZC53" s="33"/>
      <c r="ZD53" s="33"/>
      <c r="ZE53" s="33"/>
      <c r="ZF53" s="33"/>
      <c r="ZG53" s="74"/>
      <c r="ZH53" s="33"/>
      <c r="ZI53" s="33"/>
      <c r="ZJ53" s="33"/>
      <c r="ZK53" s="33"/>
      <c r="ZL53" s="33"/>
      <c r="ZM53" s="136"/>
      <c r="ZN53" s="33"/>
      <c r="ZO53" s="33"/>
      <c r="ZP53" s="33"/>
      <c r="ZQ53" s="33"/>
      <c r="ZR53" s="33"/>
      <c r="ZS53" s="74"/>
      <c r="ZT53" s="64"/>
      <c r="ZU53" s="64"/>
      <c r="ZV53" s="64"/>
      <c r="ZW53" s="64"/>
      <c r="ZX53" s="33"/>
      <c r="ZY53" s="136"/>
      <c r="ZZ53" s="33"/>
      <c r="AAA53" s="33"/>
      <c r="AAB53" s="33"/>
      <c r="AAC53" s="33"/>
      <c r="AAD53" s="33"/>
      <c r="AAE53" s="74"/>
      <c r="AAF53" s="33"/>
      <c r="AAG53" s="33"/>
      <c r="AAH53" s="33"/>
      <c r="AAI53" s="33"/>
      <c r="AAJ53" s="33"/>
      <c r="AAK53" s="136"/>
      <c r="AAL53" s="33"/>
      <c r="AAM53" s="33"/>
      <c r="AAN53" s="33"/>
      <c r="AAO53" s="33"/>
      <c r="AAP53" s="33"/>
      <c r="AAQ53" s="74"/>
      <c r="AAR53" s="33"/>
      <c r="AAS53" s="33"/>
      <c r="AAT53" s="33"/>
      <c r="AAU53" s="33"/>
      <c r="AAV53" s="33"/>
      <c r="AAW53" s="34"/>
      <c r="AAX53" s="32"/>
      <c r="AAY53" s="64"/>
      <c r="AAZ53" s="64"/>
      <c r="ABA53" s="64"/>
      <c r="ABB53" s="33"/>
      <c r="ABC53" s="131"/>
      <c r="ABD53" s="33"/>
      <c r="ABE53" s="33"/>
      <c r="ABF53" s="33"/>
      <c r="ABG53" s="33"/>
      <c r="ABH53" s="33"/>
      <c r="ABI53" s="136"/>
      <c r="ABJ53" s="33"/>
      <c r="ABK53" s="33"/>
      <c r="ABL53" s="33"/>
      <c r="ABM53" s="33"/>
      <c r="ABN53" s="33"/>
      <c r="ABO53" s="74"/>
      <c r="ABP53" s="33"/>
      <c r="ABQ53" s="33"/>
      <c r="ABR53" s="33"/>
      <c r="ABS53" s="33"/>
      <c r="ABT53" s="33"/>
      <c r="ABU53" s="136"/>
      <c r="ABV53" s="33"/>
      <c r="ABW53" s="33"/>
      <c r="ABX53" s="33"/>
      <c r="ABY53" s="33"/>
      <c r="ABZ53" s="33"/>
      <c r="ACA53" s="74"/>
      <c r="ACB53" s="64"/>
      <c r="ACC53" s="64"/>
      <c r="ACD53" s="64"/>
      <c r="ACE53" s="64"/>
      <c r="ACF53" s="33"/>
      <c r="ACG53" s="136"/>
      <c r="ACH53" s="33"/>
      <c r="ACI53" s="33"/>
      <c r="ACJ53" s="33"/>
      <c r="ACK53" s="33"/>
      <c r="ACL53" s="33"/>
      <c r="ACM53" s="74"/>
      <c r="ACN53" s="33"/>
      <c r="ACO53" s="33"/>
      <c r="ACP53" s="33"/>
      <c r="ACQ53" s="33"/>
      <c r="ACR53" s="33"/>
      <c r="ACS53" s="136"/>
      <c r="ACT53" s="33"/>
      <c r="ACU53" s="33"/>
      <c r="ACV53" s="33"/>
      <c r="ACW53" s="33"/>
      <c r="ACX53" s="33"/>
      <c r="ACY53" s="74"/>
      <c r="ACZ53" s="33"/>
      <c r="ADA53" s="33"/>
      <c r="ADB53" s="33"/>
      <c r="ADC53" s="33"/>
      <c r="ADD53" s="33"/>
      <c r="ADE53" s="34"/>
      <c r="ADF53" s="32"/>
      <c r="ADG53" s="64"/>
      <c r="ADH53" s="64"/>
      <c r="ADI53" s="64"/>
      <c r="ADJ53" s="33"/>
      <c r="ADK53" s="131"/>
      <c r="ADL53" s="33"/>
      <c r="ADM53" s="33"/>
      <c r="ADN53" s="33"/>
      <c r="ADO53" s="33"/>
      <c r="ADP53" s="33"/>
      <c r="ADQ53" s="136"/>
      <c r="ADR53" s="33"/>
      <c r="ADS53" s="33"/>
      <c r="ADT53" s="33"/>
      <c r="ADU53" s="33"/>
      <c r="ADV53" s="33"/>
      <c r="ADW53" s="74"/>
      <c r="ADX53" s="33"/>
      <c r="ADY53" s="33"/>
      <c r="ADZ53" s="33"/>
      <c r="AEA53" s="33"/>
      <c r="AEB53" s="33"/>
      <c r="AEC53" s="136"/>
      <c r="AED53" s="33"/>
      <c r="AEE53" s="33"/>
      <c r="AEF53" s="33"/>
      <c r="AEG53" s="33"/>
      <c r="AEH53" s="33"/>
      <c r="AEI53" s="74"/>
      <c r="AEJ53" s="64"/>
      <c r="AEK53" s="64"/>
      <c r="AEL53" s="64"/>
      <c r="AEM53" s="64"/>
      <c r="AEN53" s="33"/>
      <c r="AEO53" s="136"/>
      <c r="AEP53" s="33"/>
      <c r="AEQ53" s="33"/>
      <c r="AER53" s="33"/>
      <c r="AES53" s="33"/>
      <c r="AET53" s="33"/>
      <c r="AEU53" s="74"/>
      <c r="AEV53" s="33"/>
      <c r="AEW53" s="33"/>
      <c r="AEX53" s="33"/>
      <c r="AEY53" s="33"/>
      <c r="AEZ53" s="33"/>
      <c r="AFA53" s="136"/>
      <c r="AFB53" s="33"/>
      <c r="AFC53" s="33"/>
      <c r="AFD53" s="33"/>
      <c r="AFE53" s="33"/>
      <c r="AFF53" s="33"/>
      <c r="AFG53" s="74"/>
      <c r="AFH53" s="33"/>
      <c r="AFI53" s="33"/>
      <c r="AFJ53" s="33"/>
      <c r="AFK53" s="33"/>
      <c r="AFL53" s="33"/>
      <c r="AFM53" s="34"/>
      <c r="AFN53" s="32"/>
      <c r="AFO53" s="64"/>
      <c r="AFP53" s="64"/>
      <c r="AFQ53" s="64"/>
      <c r="AFR53" s="33"/>
      <c r="AFS53" s="131"/>
      <c r="AFT53" s="33"/>
      <c r="AFU53" s="33"/>
      <c r="AFV53" s="33"/>
      <c r="AFW53" s="33"/>
      <c r="AFX53" s="33"/>
      <c r="AFY53" s="136"/>
      <c r="AFZ53" s="33"/>
      <c r="AGA53" s="33"/>
      <c r="AGB53" s="33"/>
      <c r="AGC53" s="33"/>
      <c r="AGD53" s="33"/>
      <c r="AGE53" s="74"/>
      <c r="AGF53" s="33"/>
      <c r="AGG53" s="33"/>
      <c r="AGH53" s="33"/>
      <c r="AGI53" s="33"/>
      <c r="AGJ53" s="33"/>
      <c r="AGK53" s="136"/>
      <c r="AGL53" s="33"/>
      <c r="AGM53" s="33"/>
      <c r="AGN53" s="33"/>
      <c r="AGO53" s="33"/>
      <c r="AGP53" s="33"/>
      <c r="AGQ53" s="74"/>
      <c r="AGR53" s="64"/>
      <c r="AGS53" s="64"/>
      <c r="AGT53" s="64"/>
      <c r="AGU53" s="64"/>
      <c r="AGV53" s="33"/>
      <c r="AGW53" s="136"/>
      <c r="AGX53" s="33"/>
      <c r="AGY53" s="33"/>
      <c r="AGZ53" s="33"/>
      <c r="AHA53" s="33"/>
      <c r="AHB53" s="33"/>
      <c r="AHC53" s="74"/>
      <c r="AHD53" s="33"/>
      <c r="AHE53" s="33"/>
      <c r="AHF53" s="33"/>
      <c r="AHG53" s="33"/>
      <c r="AHH53" s="33"/>
      <c r="AHI53" s="136"/>
      <c r="AHJ53" s="33"/>
      <c r="AHK53" s="33"/>
      <c r="AHL53" s="33"/>
      <c r="AHM53" s="33"/>
      <c r="AHN53" s="33"/>
      <c r="AHO53" s="74"/>
      <c r="AHP53" s="33"/>
      <c r="AHQ53" s="33"/>
      <c r="AHR53" s="33"/>
      <c r="AHS53" s="33"/>
      <c r="AHT53" s="33"/>
      <c r="AHU53" s="34"/>
      <c r="AHV53" s="32"/>
      <c r="AHW53" s="64"/>
      <c r="AHX53" s="64"/>
      <c r="AHY53" s="64"/>
      <c r="AHZ53" s="33"/>
      <c r="AIA53" s="131"/>
      <c r="AIB53" s="33"/>
      <c r="AIC53" s="33"/>
      <c r="AID53" s="33"/>
      <c r="AIE53" s="33"/>
      <c r="AIF53" s="33"/>
      <c r="AIG53" s="136"/>
      <c r="AIH53" s="33"/>
      <c r="AII53" s="33"/>
      <c r="AIJ53" s="33"/>
      <c r="AIK53" s="33"/>
      <c r="AIL53" s="33"/>
      <c r="AIM53" s="74"/>
      <c r="AIN53" s="33"/>
      <c r="AIO53" s="33"/>
      <c r="AIP53" s="33"/>
      <c r="AIQ53" s="33"/>
      <c r="AIR53" s="33"/>
      <c r="AIS53" s="136"/>
      <c r="AIT53" s="33"/>
      <c r="AIU53" s="33"/>
      <c r="AIV53" s="33"/>
      <c r="AIW53" s="33"/>
      <c r="AIX53" s="33"/>
      <c r="AIY53" s="74"/>
      <c r="AIZ53" s="64"/>
      <c r="AJA53" s="64"/>
      <c r="AJB53" s="64"/>
      <c r="AJC53" s="64"/>
      <c r="AJD53" s="33"/>
      <c r="AJE53" s="136"/>
      <c r="AJF53" s="33"/>
      <c r="AJG53" s="33"/>
      <c r="AJH53" s="33"/>
      <c r="AJI53" s="33"/>
      <c r="AJJ53" s="33"/>
      <c r="AJK53" s="74"/>
      <c r="AJL53" s="33"/>
      <c r="AJM53" s="33"/>
      <c r="AJN53" s="33"/>
      <c r="AJO53" s="33"/>
      <c r="AJP53" s="33"/>
      <c r="AJQ53" s="136"/>
      <c r="AJR53" s="33"/>
      <c r="AJS53" s="33"/>
      <c r="AJT53" s="33"/>
      <c r="AJU53" s="33"/>
      <c r="AJV53" s="33"/>
      <c r="AJW53" s="74"/>
      <c r="AJX53" s="33"/>
      <c r="AJY53" s="33"/>
      <c r="AJZ53" s="33"/>
      <c r="AKA53" s="33"/>
      <c r="AKB53" s="33"/>
      <c r="AKC53" s="34"/>
      <c r="AKD53" s="32"/>
      <c r="AKE53" s="64"/>
      <c r="AKF53" s="64"/>
      <c r="AKG53" s="64"/>
      <c r="AKH53" s="33"/>
      <c r="AKI53" s="131"/>
      <c r="AKJ53" s="33"/>
      <c r="AKK53" s="33"/>
      <c r="AKL53" s="33"/>
      <c r="AKM53" s="33"/>
      <c r="AKN53" s="33"/>
      <c r="AKO53" s="136"/>
      <c r="AKP53" s="33"/>
      <c r="AKQ53" s="33"/>
      <c r="AKR53" s="33"/>
      <c r="AKS53" s="33"/>
      <c r="AKT53" s="33"/>
      <c r="AKU53" s="74"/>
      <c r="AKV53" s="33"/>
      <c r="AKW53" s="33"/>
      <c r="AKX53" s="33"/>
      <c r="AKY53" s="33"/>
      <c r="AKZ53" s="33"/>
      <c r="ALA53" s="136"/>
      <c r="ALB53" s="33"/>
      <c r="ALC53" s="33"/>
      <c r="ALD53" s="33"/>
      <c r="ALE53" s="33"/>
      <c r="ALF53" s="33"/>
      <c r="ALG53" s="74"/>
      <c r="ALH53" s="64"/>
      <c r="ALI53" s="64"/>
      <c r="ALJ53" s="64"/>
      <c r="ALK53" s="64"/>
      <c r="ALL53" s="33"/>
      <c r="ALM53" s="136"/>
      <c r="ALN53" s="33"/>
      <c r="ALO53" s="33"/>
      <c r="ALP53" s="33"/>
      <c r="ALQ53" s="33"/>
      <c r="ALR53" s="33"/>
      <c r="ALS53" s="74"/>
      <c r="ALT53" s="33"/>
      <c r="ALU53" s="33"/>
      <c r="ALV53" s="33"/>
      <c r="ALW53" s="33"/>
      <c r="ALX53" s="33"/>
      <c r="ALY53" s="136"/>
      <c r="ALZ53" s="33"/>
      <c r="AMA53" s="33"/>
      <c r="AMB53" s="33"/>
      <c r="AMC53" s="33"/>
      <c r="AMD53" s="33"/>
      <c r="AME53" s="74"/>
      <c r="AMF53" s="33"/>
      <c r="AMG53" s="33"/>
      <c r="AMH53" s="33"/>
      <c r="AMI53" s="33"/>
      <c r="AMJ53" s="33"/>
      <c r="AMK53" s="34"/>
      <c r="AML53" s="32"/>
      <c r="AMM53" s="64"/>
      <c r="AMN53" s="64"/>
      <c r="AMO53" s="64"/>
      <c r="AMP53" s="33"/>
      <c r="AMQ53" s="131"/>
      <c r="AMR53" s="33"/>
      <c r="AMS53" s="33"/>
      <c r="AMT53" s="33"/>
      <c r="AMU53" s="33"/>
      <c r="AMV53" s="33"/>
      <c r="AMW53" s="136"/>
      <c r="AMX53" s="33"/>
      <c r="AMY53" s="33"/>
      <c r="AMZ53" s="33"/>
      <c r="ANA53" s="33"/>
      <c r="ANB53" s="33"/>
      <c r="ANC53" s="74"/>
      <c r="AND53" s="33"/>
      <c r="ANE53" s="33"/>
      <c r="ANF53" s="33"/>
      <c r="ANG53" s="33"/>
      <c r="ANH53" s="33"/>
      <c r="ANI53" s="136"/>
      <c r="ANJ53" s="33"/>
      <c r="ANK53" s="33"/>
      <c r="ANL53" s="33"/>
      <c r="ANM53" s="33"/>
      <c r="ANN53" s="33"/>
      <c r="ANO53" s="74"/>
      <c r="ANP53" s="64"/>
      <c r="ANQ53" s="64"/>
      <c r="ANR53" s="64"/>
      <c r="ANS53" s="64"/>
      <c r="ANT53" s="33"/>
      <c r="ANU53" s="136"/>
      <c r="ANV53" s="33"/>
      <c r="ANW53" s="33"/>
      <c r="ANX53" s="33"/>
      <c r="ANY53" s="33"/>
      <c r="ANZ53" s="33"/>
      <c r="AOA53" s="74"/>
      <c r="AOB53" s="33"/>
      <c r="AOC53" s="33"/>
      <c r="AOD53" s="33"/>
      <c r="AOE53" s="33"/>
      <c r="AOF53" s="33"/>
      <c r="AOG53" s="136"/>
      <c r="AOH53" s="33"/>
      <c r="AOI53" s="33"/>
      <c r="AOJ53" s="33"/>
      <c r="AOK53" s="33"/>
      <c r="AOL53" s="33"/>
      <c r="AOM53" s="74"/>
      <c r="AON53" s="33"/>
      <c r="AOO53" s="33"/>
      <c r="AOP53" s="33"/>
      <c r="AOQ53" s="33"/>
      <c r="AOR53" s="33"/>
      <c r="AOS53" s="34"/>
      <c r="AOT53" s="32"/>
      <c r="AOU53" s="64"/>
      <c r="AOV53" s="64"/>
      <c r="AOW53" s="64"/>
      <c r="AOX53" s="33"/>
      <c r="AOY53" s="131"/>
      <c r="AOZ53" s="33"/>
      <c r="APA53" s="33"/>
      <c r="APB53" s="33"/>
      <c r="APC53" s="33"/>
      <c r="APD53" s="33"/>
      <c r="APE53" s="136"/>
      <c r="APF53" s="33"/>
      <c r="APG53" s="33"/>
      <c r="APH53" s="33"/>
      <c r="API53" s="33"/>
      <c r="APJ53" s="33"/>
      <c r="APK53" s="74"/>
      <c r="APL53" s="33"/>
      <c r="APM53" s="33"/>
      <c r="APN53" s="33"/>
      <c r="APO53" s="33"/>
      <c r="APP53" s="33"/>
      <c r="APQ53" s="136"/>
      <c r="APR53" s="33"/>
      <c r="APS53" s="33"/>
      <c r="APT53" s="33"/>
      <c r="APU53" s="33"/>
      <c r="APV53" s="33"/>
      <c r="APW53" s="74"/>
      <c r="APX53" s="64"/>
      <c r="APY53" s="64"/>
      <c r="APZ53" s="64"/>
      <c r="AQA53" s="64"/>
      <c r="AQB53" s="33"/>
      <c r="AQC53" s="136"/>
      <c r="AQD53" s="33"/>
      <c r="AQE53" s="33"/>
      <c r="AQF53" s="33"/>
      <c r="AQG53" s="33"/>
      <c r="AQH53" s="33"/>
      <c r="AQI53" s="74"/>
      <c r="AQJ53" s="33"/>
      <c r="AQK53" s="33"/>
      <c r="AQL53" s="33"/>
      <c r="AQM53" s="33"/>
      <c r="AQN53" s="33"/>
      <c r="AQO53" s="136"/>
      <c r="AQP53" s="33"/>
      <c r="AQQ53" s="33"/>
      <c r="AQR53" s="33"/>
      <c r="AQS53" s="33"/>
      <c r="AQT53" s="33"/>
      <c r="AQU53" s="74"/>
      <c r="AQV53" s="33"/>
      <c r="AQW53" s="33"/>
      <c r="AQX53" s="33"/>
      <c r="AQY53" s="33"/>
      <c r="AQZ53" s="33"/>
      <c r="ARA53" s="34"/>
      <c r="ARB53" s="32"/>
      <c r="ARC53" s="64"/>
      <c r="ARD53" s="64"/>
      <c r="ARE53" s="64"/>
      <c r="ARF53" s="33"/>
      <c r="ARG53" s="131"/>
      <c r="ARH53" s="33"/>
      <c r="ARI53" s="33"/>
      <c r="ARJ53" s="33"/>
      <c r="ARK53" s="33"/>
      <c r="ARL53" s="33"/>
      <c r="ARM53" s="136"/>
      <c r="ARN53" s="33"/>
      <c r="ARO53" s="33"/>
      <c r="ARP53" s="33"/>
      <c r="ARQ53" s="33"/>
      <c r="ARR53" s="33"/>
      <c r="ARS53" s="74"/>
      <c r="ART53" s="33"/>
      <c r="ARU53" s="33"/>
      <c r="ARV53" s="33"/>
      <c r="ARW53" s="33"/>
      <c r="ARX53" s="33"/>
      <c r="ARY53" s="136"/>
      <c r="ARZ53" s="33"/>
      <c r="ASA53" s="33"/>
      <c r="ASB53" s="33"/>
      <c r="ASC53" s="33"/>
      <c r="ASD53" s="33"/>
      <c r="ASE53" s="74"/>
      <c r="ASF53" s="64"/>
      <c r="ASG53" s="64"/>
      <c r="ASH53" s="64"/>
      <c r="ASI53" s="64"/>
      <c r="ASJ53" s="33"/>
      <c r="ASK53" s="136"/>
      <c r="ASL53" s="33"/>
      <c r="ASM53" s="33"/>
      <c r="ASN53" s="33"/>
      <c r="ASO53" s="33"/>
      <c r="ASP53" s="33"/>
      <c r="ASQ53" s="74"/>
      <c r="ASR53" s="33"/>
      <c r="ASS53" s="33"/>
      <c r="AST53" s="33"/>
      <c r="ASU53" s="33"/>
      <c r="ASV53" s="33"/>
      <c r="ASW53" s="136"/>
      <c r="ASX53" s="33"/>
      <c r="ASY53" s="33"/>
      <c r="ASZ53" s="33"/>
      <c r="ATA53" s="33"/>
      <c r="ATB53" s="33"/>
      <c r="ATC53" s="74"/>
      <c r="ATD53" s="33"/>
      <c r="ATE53" s="33"/>
      <c r="ATF53" s="33"/>
      <c r="ATG53" s="33"/>
      <c r="ATH53" s="33"/>
      <c r="ATI53" s="34"/>
      <c r="ATJ53" s="32"/>
      <c r="ATK53" s="64"/>
      <c r="ATL53" s="64"/>
      <c r="ATM53" s="64"/>
      <c r="ATN53" s="33"/>
      <c r="ATO53" s="131"/>
      <c r="ATP53" s="33"/>
      <c r="ATQ53" s="33"/>
      <c r="ATR53" s="33"/>
      <c r="ATS53" s="33"/>
      <c r="ATT53" s="33"/>
      <c r="ATU53" s="136"/>
      <c r="ATV53" s="33"/>
      <c r="ATW53" s="33"/>
      <c r="ATX53" s="33"/>
      <c r="ATY53" s="33"/>
      <c r="ATZ53" s="33"/>
      <c r="AUA53" s="74"/>
      <c r="AUB53" s="33"/>
      <c r="AUC53" s="33"/>
      <c r="AUD53" s="33"/>
      <c r="AUE53" s="33"/>
      <c r="AUF53" s="33"/>
      <c r="AUG53" s="136"/>
      <c r="AUH53" s="33"/>
      <c r="AUI53" s="33"/>
      <c r="AUJ53" s="33"/>
      <c r="AUK53" s="33"/>
      <c r="AUL53" s="33"/>
      <c r="AUM53" s="74"/>
      <c r="AUN53" s="64"/>
      <c r="AUO53" s="64"/>
      <c r="AUP53" s="64"/>
      <c r="AUQ53" s="64"/>
      <c r="AUR53" s="33"/>
      <c r="AUS53" s="136"/>
      <c r="AUT53" s="33"/>
      <c r="AUU53" s="33"/>
      <c r="AUV53" s="33"/>
      <c r="AUW53" s="33"/>
      <c r="AUX53" s="33"/>
      <c r="AUY53" s="74"/>
      <c r="AUZ53" s="33"/>
      <c r="AVA53" s="33"/>
      <c r="AVB53" s="33"/>
      <c r="AVC53" s="33"/>
      <c r="AVD53" s="33"/>
      <c r="AVE53" s="136"/>
      <c r="AVF53" s="33"/>
      <c r="AVG53" s="33"/>
      <c r="AVH53" s="33"/>
      <c r="AVI53" s="33"/>
      <c r="AVJ53" s="33"/>
      <c r="AVK53" s="74"/>
      <c r="AVL53" s="33"/>
      <c r="AVM53" s="33"/>
      <c r="AVN53" s="33"/>
      <c r="AVO53" s="33"/>
      <c r="AVP53" s="33"/>
      <c r="AVQ53" s="34"/>
      <c r="AVR53" s="32"/>
      <c r="AVS53" s="64"/>
      <c r="AVT53" s="64"/>
      <c r="AVU53" s="64"/>
      <c r="AVV53" s="33"/>
      <c r="AVW53" s="131"/>
      <c r="AVX53" s="33"/>
      <c r="AVY53" s="33"/>
      <c r="AVZ53" s="33"/>
      <c r="AWA53" s="33"/>
      <c r="AWB53" s="33"/>
      <c r="AWC53" s="136"/>
      <c r="AWD53" s="33"/>
      <c r="AWE53" s="33"/>
      <c r="AWF53" s="33"/>
      <c r="AWG53" s="33"/>
      <c r="AWH53" s="33"/>
      <c r="AWI53" s="74"/>
      <c r="AWJ53" s="33"/>
      <c r="AWK53" s="33"/>
      <c r="AWL53" s="33"/>
      <c r="AWM53" s="33"/>
      <c r="AWN53" s="33"/>
      <c r="AWO53" s="136"/>
      <c r="AWP53" s="33"/>
      <c r="AWQ53" s="33"/>
      <c r="AWR53" s="33"/>
      <c r="AWS53" s="33"/>
      <c r="AWT53" s="33"/>
      <c r="AWU53" s="74"/>
      <c r="AWV53" s="64"/>
      <c r="AWW53" s="64"/>
      <c r="AWX53" s="64"/>
      <c r="AWY53" s="64"/>
      <c r="AWZ53" s="33"/>
      <c r="AXA53" s="136"/>
      <c r="AXB53" s="33"/>
      <c r="AXC53" s="33"/>
      <c r="AXD53" s="33"/>
      <c r="AXE53" s="33"/>
      <c r="AXF53" s="33"/>
      <c r="AXG53" s="74"/>
      <c r="AXH53" s="33"/>
      <c r="AXI53" s="33"/>
      <c r="AXJ53" s="33"/>
      <c r="AXK53" s="33"/>
      <c r="AXL53" s="33"/>
      <c r="AXM53" s="136"/>
      <c r="AXN53" s="33"/>
      <c r="AXO53" s="33"/>
      <c r="AXP53" s="33"/>
      <c r="AXQ53" s="33"/>
      <c r="AXR53" s="33"/>
      <c r="AXS53" s="74"/>
      <c r="AXT53" s="33"/>
      <c r="AXU53" s="33"/>
      <c r="AXV53" s="33"/>
      <c r="AXW53" s="33"/>
      <c r="AXX53" s="33"/>
      <c r="AXY53" s="34"/>
      <c r="AXZ53" s="32"/>
      <c r="AYA53" s="64"/>
      <c r="AYB53" s="64"/>
      <c r="AYC53" s="64"/>
      <c r="AYD53" s="33"/>
      <c r="AYE53" s="131"/>
      <c r="AYF53" s="33"/>
      <c r="AYG53" s="33"/>
      <c r="AYH53" s="33"/>
      <c r="AYI53" s="33"/>
      <c r="AYJ53" s="33"/>
      <c r="AYK53" s="136"/>
      <c r="AYL53" s="33"/>
      <c r="AYM53" s="33"/>
      <c r="AYN53" s="33"/>
      <c r="AYO53" s="33"/>
      <c r="AYP53" s="33"/>
      <c r="AYQ53" s="74"/>
      <c r="AYR53" s="33"/>
      <c r="AYS53" s="33"/>
      <c r="AYT53" s="33"/>
      <c r="AYU53" s="33"/>
      <c r="AYV53" s="33"/>
      <c r="AYW53" s="136"/>
      <c r="AYX53" s="33"/>
      <c r="AYY53" s="33"/>
      <c r="AYZ53" s="33"/>
      <c r="AZA53" s="33"/>
      <c r="AZB53" s="33"/>
      <c r="AZC53" s="74"/>
      <c r="AZD53" s="64"/>
      <c r="AZE53" s="64"/>
      <c r="AZF53" s="64"/>
      <c r="AZG53" s="64"/>
      <c r="AZH53" s="33"/>
      <c r="AZI53" s="136"/>
      <c r="AZJ53" s="33"/>
      <c r="AZK53" s="33"/>
      <c r="AZL53" s="33"/>
      <c r="AZM53" s="33"/>
      <c r="AZN53" s="33"/>
      <c r="AZO53" s="74"/>
      <c r="AZP53" s="33"/>
      <c r="AZQ53" s="33"/>
      <c r="AZR53" s="33"/>
      <c r="AZS53" s="33"/>
      <c r="AZT53" s="33"/>
      <c r="AZU53" s="136"/>
      <c r="AZV53" s="33"/>
      <c r="AZW53" s="33"/>
      <c r="AZX53" s="33"/>
      <c r="AZY53" s="33"/>
      <c r="AZZ53" s="33"/>
      <c r="BAA53" s="74"/>
      <c r="BAB53" s="33"/>
      <c r="BAC53" s="33"/>
      <c r="BAD53" s="33"/>
      <c r="BAE53" s="33"/>
      <c r="BAF53" s="33"/>
      <c r="BAG53" s="34"/>
      <c r="BAH53" s="32"/>
      <c r="BAI53" s="64"/>
      <c r="BAJ53" s="64"/>
      <c r="BAK53" s="64"/>
      <c r="BAL53" s="33"/>
      <c r="BAM53" s="131"/>
      <c r="BAN53" s="33"/>
      <c r="BAO53" s="33"/>
      <c r="BAP53" s="33"/>
      <c r="BAQ53" s="33"/>
      <c r="BAR53" s="33"/>
      <c r="BAS53" s="136"/>
      <c r="BAT53" s="33"/>
      <c r="BAU53" s="33"/>
      <c r="BAV53" s="33"/>
      <c r="BAW53" s="33"/>
      <c r="BAX53" s="33"/>
      <c r="BAY53" s="74"/>
      <c r="BAZ53" s="33"/>
      <c r="BBA53" s="33"/>
      <c r="BBB53" s="33"/>
      <c r="BBC53" s="33"/>
      <c r="BBD53" s="33"/>
      <c r="BBE53" s="136"/>
      <c r="BBF53" s="33"/>
      <c r="BBG53" s="33"/>
      <c r="BBH53" s="33"/>
      <c r="BBI53" s="33"/>
      <c r="BBJ53" s="33"/>
      <c r="BBK53" s="74"/>
      <c r="BBL53" s="64"/>
      <c r="BBM53" s="64"/>
      <c r="BBN53" s="64"/>
      <c r="BBO53" s="64"/>
      <c r="BBP53" s="33"/>
      <c r="BBQ53" s="136"/>
      <c r="BBR53" s="33"/>
      <c r="BBS53" s="33"/>
      <c r="BBT53" s="33"/>
      <c r="BBU53" s="33"/>
      <c r="BBV53" s="33"/>
      <c r="BBW53" s="74"/>
      <c r="BBX53" s="33"/>
      <c r="BBY53" s="33"/>
      <c r="BBZ53" s="33"/>
      <c r="BCA53" s="33"/>
      <c r="BCB53" s="33"/>
      <c r="BCC53" s="136"/>
      <c r="BCD53" s="33"/>
      <c r="BCE53" s="33"/>
      <c r="BCF53" s="33"/>
      <c r="BCG53" s="33"/>
      <c r="BCH53" s="33"/>
      <c r="BCI53" s="74"/>
      <c r="BCJ53" s="33"/>
      <c r="BCK53" s="33"/>
      <c r="BCL53" s="33"/>
      <c r="BCM53" s="33"/>
      <c r="BCN53" s="33"/>
      <c r="BCO53" s="34"/>
      <c r="BCP53" s="32"/>
      <c r="BCQ53" s="64"/>
      <c r="BCR53" s="64"/>
      <c r="BCS53" s="64"/>
      <c r="BCT53" s="33"/>
      <c r="BCU53" s="131"/>
      <c r="BCV53" s="33"/>
      <c r="BCW53" s="33"/>
      <c r="BCX53" s="33"/>
      <c r="BCY53" s="33"/>
      <c r="BCZ53" s="33"/>
      <c r="BDA53" s="136"/>
      <c r="BDB53" s="33"/>
      <c r="BDC53" s="33"/>
      <c r="BDD53" s="33"/>
      <c r="BDE53" s="33"/>
      <c r="BDF53" s="33"/>
      <c r="BDG53" s="74"/>
      <c r="BDH53" s="33"/>
      <c r="BDI53" s="33"/>
      <c r="BDJ53" s="33"/>
      <c r="BDK53" s="33"/>
      <c r="BDL53" s="33"/>
      <c r="BDM53" s="136"/>
      <c r="BDN53" s="33"/>
      <c r="BDO53" s="33"/>
      <c r="BDP53" s="33"/>
      <c r="BDQ53" s="33"/>
      <c r="BDR53" s="33"/>
      <c r="BDS53" s="74"/>
      <c r="BDT53" s="64"/>
      <c r="BDU53" s="64"/>
      <c r="BDV53" s="64"/>
      <c r="BDW53" s="64"/>
      <c r="BDX53" s="33"/>
      <c r="BDY53" s="136"/>
      <c r="BDZ53" s="33"/>
      <c r="BEA53" s="33"/>
      <c r="BEB53" s="33"/>
      <c r="BEC53" s="33"/>
      <c r="BED53" s="33"/>
      <c r="BEE53" s="74"/>
      <c r="BEF53" s="33"/>
      <c r="BEG53" s="33"/>
      <c r="BEH53" s="33"/>
      <c r="BEI53" s="33"/>
      <c r="BEJ53" s="33"/>
      <c r="BEK53" s="136"/>
      <c r="BEL53" s="33"/>
      <c r="BEM53" s="33"/>
      <c r="BEN53" s="33"/>
      <c r="BEO53" s="33"/>
      <c r="BEP53" s="33"/>
      <c r="BEQ53" s="74"/>
      <c r="BER53" s="33"/>
      <c r="BES53" s="33"/>
      <c r="BET53" s="33"/>
      <c r="BEU53" s="33"/>
      <c r="BEV53" s="33"/>
      <c r="BEW53" s="34"/>
      <c r="BEX53" s="32"/>
      <c r="BEY53" s="64"/>
      <c r="BEZ53" s="64"/>
      <c r="BFA53" s="64"/>
      <c r="BFB53" s="33"/>
      <c r="BFC53" s="131"/>
      <c r="BFD53" s="33"/>
      <c r="BFE53" s="33"/>
      <c r="BFF53" s="33"/>
      <c r="BFG53" s="33"/>
      <c r="BFH53" s="33"/>
      <c r="BFI53" s="136"/>
      <c r="BFJ53" s="33"/>
      <c r="BFK53" s="33"/>
      <c r="BFL53" s="33"/>
      <c r="BFM53" s="33"/>
      <c r="BFN53" s="33"/>
      <c r="BFO53" s="74"/>
      <c r="BFP53" s="33"/>
      <c r="BFQ53" s="33"/>
      <c r="BFR53" s="33"/>
      <c r="BFS53" s="33"/>
      <c r="BFT53" s="33"/>
      <c r="BFU53" s="136"/>
      <c r="BFV53" s="33"/>
      <c r="BFW53" s="33"/>
      <c r="BFX53" s="33"/>
      <c r="BFY53" s="33"/>
      <c r="BFZ53" s="33"/>
      <c r="BGA53" s="74"/>
      <c r="BGB53" s="64"/>
      <c r="BGC53" s="64"/>
      <c r="BGD53" s="64"/>
      <c r="BGE53" s="64"/>
      <c r="BGF53" s="33"/>
      <c r="BGG53" s="136"/>
      <c r="BGH53" s="33"/>
      <c r="BGI53" s="33"/>
      <c r="BGJ53" s="33"/>
      <c r="BGK53" s="33"/>
      <c r="BGL53" s="33"/>
      <c r="BGM53" s="74"/>
      <c r="BGN53" s="33"/>
      <c r="BGO53" s="33"/>
      <c r="BGP53" s="33"/>
      <c r="BGQ53" s="33"/>
      <c r="BGR53" s="33"/>
      <c r="BGS53" s="136"/>
      <c r="BGT53" s="33"/>
      <c r="BGU53" s="33"/>
      <c r="BGV53" s="33"/>
      <c r="BGW53" s="33"/>
      <c r="BGX53" s="33"/>
      <c r="BGY53" s="74"/>
      <c r="BGZ53" s="33"/>
      <c r="BHA53" s="33"/>
      <c r="BHB53" s="33"/>
      <c r="BHC53" s="33"/>
      <c r="BHD53" s="33"/>
      <c r="BHE53" s="34"/>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x14ac:dyDescent="0.3">
      <c r="A54" s="100" t="s">
        <v>21</v>
      </c>
      <c r="B54" s="63" t="e">
        <f>IF(LEN(#REF!)=0,"",#REF!)</f>
        <v>#REF!</v>
      </c>
      <c r="C54" s="243"/>
      <c r="D54" s="147" t="str">
        <f t="shared" si="0"/>
        <v>0h</v>
      </c>
      <c r="E54" s="35">
        <v>0</v>
      </c>
      <c r="F54" s="36"/>
      <c r="G54" s="65"/>
      <c r="H54" s="65"/>
      <c r="I54" s="65"/>
      <c r="J54" s="37"/>
      <c r="K54" s="132"/>
      <c r="L54" s="37"/>
      <c r="M54" s="37"/>
      <c r="N54" s="37"/>
      <c r="O54" s="37"/>
      <c r="P54" s="37"/>
      <c r="Q54" s="137"/>
      <c r="R54" s="37"/>
      <c r="S54" s="37"/>
      <c r="T54" s="37"/>
      <c r="U54" s="37"/>
      <c r="V54" s="37"/>
      <c r="W54" s="75"/>
      <c r="X54" s="37"/>
      <c r="Y54" s="37"/>
      <c r="Z54" s="37"/>
      <c r="AA54" s="37"/>
      <c r="AB54" s="37"/>
      <c r="AC54" s="137"/>
      <c r="AD54" s="37"/>
      <c r="AE54" s="37"/>
      <c r="AF54" s="37"/>
      <c r="AG54" s="37"/>
      <c r="AH54" s="37"/>
      <c r="AI54" s="75"/>
      <c r="AJ54" s="65"/>
      <c r="AK54" s="65"/>
      <c r="AL54" s="65"/>
      <c r="AM54" s="65"/>
      <c r="AN54" s="37"/>
      <c r="AO54" s="137"/>
      <c r="AP54" s="37"/>
      <c r="AQ54" s="37"/>
      <c r="AR54" s="37"/>
      <c r="AS54" s="37"/>
      <c r="AT54" s="37"/>
      <c r="AU54" s="75"/>
      <c r="AV54" s="37"/>
      <c r="AW54" s="37"/>
      <c r="AX54" s="37"/>
      <c r="AY54" s="37"/>
      <c r="AZ54" s="37"/>
      <c r="BA54" s="137"/>
      <c r="BB54" s="37"/>
      <c r="BC54" s="37"/>
      <c r="BD54" s="37"/>
      <c r="BE54" s="37"/>
      <c r="BF54" s="37"/>
      <c r="BG54" s="75"/>
      <c r="BH54" s="37"/>
      <c r="BI54" s="37"/>
      <c r="BJ54" s="37"/>
      <c r="BK54" s="37"/>
      <c r="BL54" s="37"/>
      <c r="BM54" s="38"/>
      <c r="BN54" s="36"/>
      <c r="BO54" s="65"/>
      <c r="BP54" s="65"/>
      <c r="BQ54" s="65"/>
      <c r="BR54" s="37"/>
      <c r="BS54" s="132"/>
      <c r="BT54" s="37"/>
      <c r="BU54" s="37"/>
      <c r="BV54" s="37"/>
      <c r="BW54" s="37"/>
      <c r="BX54" s="37"/>
      <c r="BY54" s="137"/>
      <c r="BZ54" s="37"/>
      <c r="CA54" s="37"/>
      <c r="CB54" s="37"/>
      <c r="CC54" s="37"/>
      <c r="CD54" s="37"/>
      <c r="CE54" s="75"/>
      <c r="CF54" s="37"/>
      <c r="CG54" s="37"/>
      <c r="CH54" s="37"/>
      <c r="CI54" s="37"/>
      <c r="CJ54" s="37"/>
      <c r="CK54" s="137"/>
      <c r="CL54" s="37"/>
      <c r="CM54" s="37"/>
      <c r="CN54" s="37"/>
      <c r="CO54" s="37"/>
      <c r="CP54" s="37"/>
      <c r="CQ54" s="75"/>
      <c r="CR54" s="65"/>
      <c r="CS54" s="65"/>
      <c r="CT54" s="65"/>
      <c r="CU54" s="65"/>
      <c r="CV54" s="37"/>
      <c r="CW54" s="137"/>
      <c r="CX54" s="37"/>
      <c r="CY54" s="37"/>
      <c r="CZ54" s="37"/>
      <c r="DA54" s="37"/>
      <c r="DB54" s="37"/>
      <c r="DC54" s="75"/>
      <c r="DD54" s="37"/>
      <c r="DE54" s="37"/>
      <c r="DF54" s="37"/>
      <c r="DG54" s="37"/>
      <c r="DH54" s="37"/>
      <c r="DI54" s="137"/>
      <c r="DJ54" s="37"/>
      <c r="DK54" s="37"/>
      <c r="DL54" s="37"/>
      <c r="DM54" s="37"/>
      <c r="DN54" s="37"/>
      <c r="DO54" s="75"/>
      <c r="DP54" s="37"/>
      <c r="DQ54" s="37"/>
      <c r="DR54" s="37"/>
      <c r="DS54" s="37"/>
      <c r="DT54" s="37"/>
      <c r="DU54" s="38"/>
      <c r="DV54" s="36"/>
      <c r="DW54" s="65"/>
      <c r="DX54" s="65"/>
      <c r="DY54" s="65"/>
      <c r="DZ54" s="37"/>
      <c r="EA54" s="132"/>
      <c r="EB54" s="37"/>
      <c r="EC54" s="37"/>
      <c r="ED54" s="37"/>
      <c r="EE54" s="37"/>
      <c r="EF54" s="37"/>
      <c r="EG54" s="137"/>
      <c r="EH54" s="37"/>
      <c r="EI54" s="37"/>
      <c r="EJ54" s="37"/>
      <c r="EK54" s="37"/>
      <c r="EL54" s="37"/>
      <c r="EM54" s="75"/>
      <c r="EN54" s="37"/>
      <c r="EO54" s="37"/>
      <c r="EP54" s="37"/>
      <c r="EQ54" s="37"/>
      <c r="ER54" s="37"/>
      <c r="ES54" s="137"/>
      <c r="ET54" s="37"/>
      <c r="EU54" s="37"/>
      <c r="EV54" s="37"/>
      <c r="EW54" s="37"/>
      <c r="EX54" s="37"/>
      <c r="EY54" s="75"/>
      <c r="EZ54" s="65"/>
      <c r="FA54" s="65"/>
      <c r="FB54" s="65"/>
      <c r="FC54" s="65"/>
      <c r="FD54" s="37"/>
      <c r="FE54" s="137"/>
      <c r="FF54" s="37"/>
      <c r="FG54" s="37"/>
      <c r="FH54" s="37"/>
      <c r="FI54" s="37"/>
      <c r="FJ54" s="37"/>
      <c r="FK54" s="75"/>
      <c r="FL54" s="37"/>
      <c r="FM54" s="37"/>
      <c r="FN54" s="37"/>
      <c r="FO54" s="37"/>
      <c r="FP54" s="37"/>
      <c r="FQ54" s="137"/>
      <c r="FR54" s="37"/>
      <c r="FS54" s="37"/>
      <c r="FT54" s="37"/>
      <c r="FU54" s="37"/>
      <c r="FV54" s="37"/>
      <c r="FW54" s="75"/>
      <c r="FX54" s="37"/>
      <c r="FY54" s="37"/>
      <c r="FZ54" s="37"/>
      <c r="GA54" s="37"/>
      <c r="GB54" s="37"/>
      <c r="GC54" s="38"/>
      <c r="GD54" s="36"/>
      <c r="GE54" s="65"/>
      <c r="GF54" s="65"/>
      <c r="GG54" s="65"/>
      <c r="GH54" s="37"/>
      <c r="GI54" s="132"/>
      <c r="GJ54" s="37"/>
      <c r="GK54" s="37"/>
      <c r="GL54" s="37"/>
      <c r="GM54" s="37"/>
      <c r="GN54" s="37"/>
      <c r="GO54" s="137"/>
      <c r="GP54" s="37"/>
      <c r="GQ54" s="37"/>
      <c r="GR54" s="37"/>
      <c r="GS54" s="37"/>
      <c r="GT54" s="37"/>
      <c r="GU54" s="75"/>
      <c r="GV54" s="37"/>
      <c r="GW54" s="37"/>
      <c r="GX54" s="37"/>
      <c r="GY54" s="37"/>
      <c r="GZ54" s="37"/>
      <c r="HA54" s="137"/>
      <c r="HB54" s="37"/>
      <c r="HC54" s="37"/>
      <c r="HD54" s="37"/>
      <c r="HE54" s="37"/>
      <c r="HF54" s="37"/>
      <c r="HG54" s="75"/>
      <c r="HH54" s="65"/>
      <c r="HI54" s="65"/>
      <c r="HJ54" s="65"/>
      <c r="HK54" s="65"/>
      <c r="HL54" s="37"/>
      <c r="HM54" s="137"/>
      <c r="HN54" s="37"/>
      <c r="HO54" s="37"/>
      <c r="HP54" s="37"/>
      <c r="HQ54" s="37"/>
      <c r="HR54" s="37"/>
      <c r="HS54" s="75"/>
      <c r="HT54" s="37"/>
      <c r="HU54" s="37"/>
      <c r="HV54" s="37"/>
      <c r="HW54" s="37"/>
      <c r="HX54" s="37"/>
      <c r="HY54" s="137"/>
      <c r="HZ54" s="37"/>
      <c r="IA54" s="37"/>
      <c r="IB54" s="37"/>
      <c r="IC54" s="37"/>
      <c r="ID54" s="37"/>
      <c r="IE54" s="75"/>
      <c r="IF54" s="37"/>
      <c r="IG54" s="37"/>
      <c r="IH54" s="37"/>
      <c r="II54" s="37"/>
      <c r="IJ54" s="37"/>
      <c r="IK54" s="38"/>
      <c r="IL54" s="36"/>
      <c r="IM54" s="65"/>
      <c r="IN54" s="65"/>
      <c r="IO54" s="65"/>
      <c r="IP54" s="37"/>
      <c r="IQ54" s="132"/>
      <c r="IR54" s="37"/>
      <c r="IS54" s="37"/>
      <c r="IT54" s="37"/>
      <c r="IU54" s="37"/>
      <c r="IV54" s="37"/>
      <c r="IW54" s="137"/>
      <c r="IX54" s="37"/>
      <c r="IY54" s="37"/>
      <c r="IZ54" s="37"/>
      <c r="JA54" s="37"/>
      <c r="JB54" s="37"/>
      <c r="JC54" s="75"/>
      <c r="JD54" s="37"/>
      <c r="JE54" s="37"/>
      <c r="JF54" s="37"/>
      <c r="JG54" s="37"/>
      <c r="JH54" s="37"/>
      <c r="JI54" s="137"/>
      <c r="JJ54" s="37"/>
      <c r="JK54" s="37"/>
      <c r="JL54" s="37"/>
      <c r="JM54" s="37"/>
      <c r="JN54" s="37"/>
      <c r="JO54" s="75"/>
      <c r="JP54" s="65"/>
      <c r="JQ54" s="65"/>
      <c r="JR54" s="65"/>
      <c r="JS54" s="65"/>
      <c r="JT54" s="37"/>
      <c r="JU54" s="137"/>
      <c r="JV54" s="37"/>
      <c r="JW54" s="37"/>
      <c r="JX54" s="37"/>
      <c r="JY54" s="37"/>
      <c r="JZ54" s="37"/>
      <c r="KA54" s="75"/>
      <c r="KB54" s="37"/>
      <c r="KC54" s="37"/>
      <c r="KD54" s="37"/>
      <c r="KE54" s="37"/>
      <c r="KF54" s="37"/>
      <c r="KG54" s="137"/>
      <c r="KH54" s="37"/>
      <c r="KI54" s="37"/>
      <c r="KJ54" s="37"/>
      <c r="KK54" s="37"/>
      <c r="KL54" s="37"/>
      <c r="KM54" s="75"/>
      <c r="KN54" s="37"/>
      <c r="KO54" s="37"/>
      <c r="KP54" s="37"/>
      <c r="KQ54" s="37"/>
      <c r="KR54" s="37"/>
      <c r="KS54" s="38"/>
      <c r="KT54" s="36"/>
      <c r="KU54" s="65"/>
      <c r="KV54" s="65"/>
      <c r="KW54" s="65"/>
      <c r="KX54" s="37"/>
      <c r="KY54" s="132"/>
      <c r="KZ54" s="37"/>
      <c r="LA54" s="37"/>
      <c r="LB54" s="37"/>
      <c r="LC54" s="37"/>
      <c r="LD54" s="37"/>
      <c r="LE54" s="137"/>
      <c r="LF54" s="37"/>
      <c r="LG54" s="37"/>
      <c r="LH54" s="37"/>
      <c r="LI54" s="37"/>
      <c r="LJ54" s="37"/>
      <c r="LK54" s="75"/>
      <c r="LL54" s="37"/>
      <c r="LM54" s="37"/>
      <c r="LN54" s="37"/>
      <c r="LO54" s="37"/>
      <c r="LP54" s="37"/>
      <c r="LQ54" s="137"/>
      <c r="LR54" s="37"/>
      <c r="LS54" s="37"/>
      <c r="LT54" s="37"/>
      <c r="LU54" s="37"/>
      <c r="LV54" s="37"/>
      <c r="LW54" s="75"/>
      <c r="LX54" s="65"/>
      <c r="LY54" s="65"/>
      <c r="LZ54" s="65"/>
      <c r="MA54" s="65"/>
      <c r="MB54" s="37"/>
      <c r="MC54" s="137"/>
      <c r="MD54" s="37"/>
      <c r="ME54" s="37"/>
      <c r="MF54" s="37"/>
      <c r="MG54" s="37"/>
      <c r="MH54" s="37"/>
      <c r="MI54" s="75"/>
      <c r="MJ54" s="37"/>
      <c r="MK54" s="37"/>
      <c r="ML54" s="37"/>
      <c r="MM54" s="37"/>
      <c r="MN54" s="37"/>
      <c r="MO54" s="137"/>
      <c r="MP54" s="37"/>
      <c r="MQ54" s="37"/>
      <c r="MR54" s="37"/>
      <c r="MS54" s="37"/>
      <c r="MT54" s="37"/>
      <c r="MU54" s="75"/>
      <c r="MV54" s="37"/>
      <c r="MW54" s="37"/>
      <c r="MX54" s="37"/>
      <c r="MY54" s="37"/>
      <c r="MZ54" s="37"/>
      <c r="NA54" s="38"/>
      <c r="NB54" s="36"/>
      <c r="NC54" s="65"/>
      <c r="ND54" s="65"/>
      <c r="NE54" s="65"/>
      <c r="NF54" s="37"/>
      <c r="NG54" s="132"/>
      <c r="NH54" s="37"/>
      <c r="NI54" s="37"/>
      <c r="NJ54" s="37"/>
      <c r="NK54" s="37"/>
      <c r="NL54" s="37"/>
      <c r="NM54" s="137"/>
      <c r="NN54" s="37"/>
      <c r="NO54" s="37"/>
      <c r="NP54" s="37"/>
      <c r="NQ54" s="37"/>
      <c r="NR54" s="37"/>
      <c r="NS54" s="75"/>
      <c r="NT54" s="37"/>
      <c r="NU54" s="37"/>
      <c r="NV54" s="37"/>
      <c r="NW54" s="37"/>
      <c r="NX54" s="37"/>
      <c r="NY54" s="137"/>
      <c r="NZ54" s="37"/>
      <c r="OA54" s="37"/>
      <c r="OB54" s="37"/>
      <c r="OC54" s="37"/>
      <c r="OD54" s="37"/>
      <c r="OE54" s="75"/>
      <c r="OF54" s="65"/>
      <c r="OG54" s="65"/>
      <c r="OH54" s="65"/>
      <c r="OI54" s="65"/>
      <c r="OJ54" s="37"/>
      <c r="OK54" s="137"/>
      <c r="OL54" s="37"/>
      <c r="OM54" s="37"/>
      <c r="ON54" s="37"/>
      <c r="OO54" s="37"/>
      <c r="OP54" s="37"/>
      <c r="OQ54" s="75"/>
      <c r="OR54" s="37"/>
      <c r="OS54" s="37"/>
      <c r="OT54" s="37"/>
      <c r="OU54" s="37"/>
      <c r="OV54" s="37"/>
      <c r="OW54" s="137"/>
      <c r="OX54" s="37"/>
      <c r="OY54" s="37"/>
      <c r="OZ54" s="37"/>
      <c r="PA54" s="37"/>
      <c r="PB54" s="37"/>
      <c r="PC54" s="75"/>
      <c r="PD54" s="37"/>
      <c r="PE54" s="37"/>
      <c r="PF54" s="37"/>
      <c r="PG54" s="37"/>
      <c r="PH54" s="37"/>
      <c r="PI54" s="38"/>
      <c r="PJ54" s="36"/>
      <c r="PK54" s="65"/>
      <c r="PL54" s="65"/>
      <c r="PM54" s="65"/>
      <c r="PN54" s="37"/>
      <c r="PO54" s="132"/>
      <c r="PP54" s="37"/>
      <c r="PQ54" s="37"/>
      <c r="PR54" s="37"/>
      <c r="PS54" s="37"/>
      <c r="PT54" s="37"/>
      <c r="PU54" s="137"/>
      <c r="PV54" s="37"/>
      <c r="PW54" s="37"/>
      <c r="PX54" s="37"/>
      <c r="PY54" s="37"/>
      <c r="PZ54" s="37"/>
      <c r="QA54" s="75"/>
      <c r="QB54" s="37"/>
      <c r="QC54" s="37"/>
      <c r="QD54" s="37"/>
      <c r="QE54" s="37"/>
      <c r="QF54" s="37"/>
      <c r="QG54" s="137"/>
      <c r="QH54" s="37"/>
      <c r="QI54" s="37"/>
      <c r="QJ54" s="37"/>
      <c r="QK54" s="37"/>
      <c r="QL54" s="37"/>
      <c r="QM54" s="75"/>
      <c r="QN54" s="65"/>
      <c r="QO54" s="65"/>
      <c r="QP54" s="65"/>
      <c r="QQ54" s="65"/>
      <c r="QR54" s="37"/>
      <c r="QS54" s="137"/>
      <c r="QT54" s="37"/>
      <c r="QU54" s="37"/>
      <c r="QV54" s="37"/>
      <c r="QW54" s="37"/>
      <c r="QX54" s="37"/>
      <c r="QY54" s="75"/>
      <c r="QZ54" s="37"/>
      <c r="RA54" s="37"/>
      <c r="RB54" s="37"/>
      <c r="RC54" s="37"/>
      <c r="RD54" s="37"/>
      <c r="RE54" s="137"/>
      <c r="RF54" s="37"/>
      <c r="RG54" s="37"/>
      <c r="RH54" s="37"/>
      <c r="RI54" s="37"/>
      <c r="RJ54" s="37"/>
      <c r="RK54" s="75"/>
      <c r="RL54" s="37"/>
      <c r="RM54" s="37"/>
      <c r="RN54" s="37"/>
      <c r="RO54" s="37"/>
      <c r="RP54" s="37"/>
      <c r="RQ54" s="38"/>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36"/>
      <c r="UA54" s="65"/>
      <c r="UB54" s="65"/>
      <c r="UC54" s="65"/>
      <c r="UD54" s="37"/>
      <c r="UE54" s="132"/>
      <c r="UF54" s="37"/>
      <c r="UG54" s="37"/>
      <c r="UH54" s="37"/>
      <c r="UI54" s="37"/>
      <c r="UJ54" s="37"/>
      <c r="UK54" s="137"/>
      <c r="UL54" s="37"/>
      <c r="UM54" s="37"/>
      <c r="UN54" s="37"/>
      <c r="UO54" s="37"/>
      <c r="UP54" s="37"/>
      <c r="UQ54" s="75"/>
      <c r="UR54" s="37"/>
      <c r="US54" s="37"/>
      <c r="UT54" s="37"/>
      <c r="UU54" s="37"/>
      <c r="UV54" s="37"/>
      <c r="UW54" s="137"/>
      <c r="UX54" s="37"/>
      <c r="UY54" s="37"/>
      <c r="UZ54" s="37"/>
      <c r="VA54" s="37"/>
      <c r="VB54" s="37"/>
      <c r="VC54" s="75"/>
      <c r="VD54" s="65"/>
      <c r="VE54" s="65"/>
      <c r="VF54" s="65"/>
      <c r="VG54" s="65"/>
      <c r="VH54" s="37"/>
      <c r="VI54" s="137"/>
      <c r="VJ54" s="37"/>
      <c r="VK54" s="37"/>
      <c r="VL54" s="37"/>
      <c r="VM54" s="37"/>
      <c r="VN54" s="37"/>
      <c r="VO54" s="75"/>
      <c r="VP54" s="37"/>
      <c r="VQ54" s="37"/>
      <c r="VR54" s="37"/>
      <c r="VS54" s="37"/>
      <c r="VT54" s="37"/>
      <c r="VU54" s="137"/>
      <c r="VV54" s="37"/>
      <c r="VW54" s="37"/>
      <c r="VX54" s="37"/>
      <c r="VY54" s="37"/>
      <c r="VZ54" s="37"/>
      <c r="WA54" s="75"/>
      <c r="WB54" s="37"/>
      <c r="WC54" s="37"/>
      <c r="WD54" s="37"/>
      <c r="WE54" s="37"/>
      <c r="WF54" s="37"/>
      <c r="WG54" s="38"/>
      <c r="WH54" s="36"/>
      <c r="WI54" s="65"/>
      <c r="WJ54" s="65"/>
      <c r="WK54" s="65"/>
      <c r="WL54" s="37"/>
      <c r="WM54" s="132"/>
      <c r="WN54" s="37"/>
      <c r="WO54" s="37"/>
      <c r="WP54" s="37"/>
      <c r="WQ54" s="37"/>
      <c r="WR54" s="37"/>
      <c r="WS54" s="137"/>
      <c r="WT54" s="37"/>
      <c r="WU54" s="37"/>
      <c r="WV54" s="37"/>
      <c r="WW54" s="37"/>
      <c r="WX54" s="37"/>
      <c r="WY54" s="75"/>
      <c r="WZ54" s="37"/>
      <c r="XA54" s="37"/>
      <c r="XB54" s="37"/>
      <c r="XC54" s="37"/>
      <c r="XD54" s="37"/>
      <c r="XE54" s="137"/>
      <c r="XF54" s="37"/>
      <c r="XG54" s="37"/>
      <c r="XH54" s="37"/>
      <c r="XI54" s="37"/>
      <c r="XJ54" s="37"/>
      <c r="XK54" s="75"/>
      <c r="XL54" s="65"/>
      <c r="XM54" s="65"/>
      <c r="XN54" s="65"/>
      <c r="XO54" s="65"/>
      <c r="XP54" s="37"/>
      <c r="XQ54" s="137"/>
      <c r="XR54" s="37"/>
      <c r="XS54" s="37"/>
      <c r="XT54" s="37"/>
      <c r="XU54" s="37"/>
      <c r="XV54" s="37"/>
      <c r="XW54" s="75"/>
      <c r="XX54" s="37"/>
      <c r="XY54" s="37"/>
      <c r="XZ54" s="37"/>
      <c r="YA54" s="37"/>
      <c r="YB54" s="37"/>
      <c r="YC54" s="137"/>
      <c r="YD54" s="37"/>
      <c r="YE54" s="37"/>
      <c r="YF54" s="37"/>
      <c r="YG54" s="37"/>
      <c r="YH54" s="37"/>
      <c r="YI54" s="75"/>
      <c r="YJ54" s="37"/>
      <c r="YK54" s="37"/>
      <c r="YL54" s="37"/>
      <c r="YM54" s="37"/>
      <c r="YN54" s="37"/>
      <c r="YO54" s="38"/>
      <c r="YP54" s="36"/>
      <c r="YQ54" s="65"/>
      <c r="YR54" s="65"/>
      <c r="YS54" s="65"/>
      <c r="YT54" s="37"/>
      <c r="YU54" s="132"/>
      <c r="YV54" s="37"/>
      <c r="YW54" s="37"/>
      <c r="YX54" s="37"/>
      <c r="YY54" s="37"/>
      <c r="YZ54" s="37"/>
      <c r="ZA54" s="137"/>
      <c r="ZB54" s="37"/>
      <c r="ZC54" s="37"/>
      <c r="ZD54" s="37"/>
      <c r="ZE54" s="37"/>
      <c r="ZF54" s="37"/>
      <c r="ZG54" s="75"/>
      <c r="ZH54" s="37"/>
      <c r="ZI54" s="37"/>
      <c r="ZJ54" s="37"/>
      <c r="ZK54" s="37"/>
      <c r="ZL54" s="37"/>
      <c r="ZM54" s="137"/>
      <c r="ZN54" s="37"/>
      <c r="ZO54" s="37"/>
      <c r="ZP54" s="37"/>
      <c r="ZQ54" s="37"/>
      <c r="ZR54" s="37"/>
      <c r="ZS54" s="75"/>
      <c r="ZT54" s="65"/>
      <c r="ZU54" s="65"/>
      <c r="ZV54" s="65"/>
      <c r="ZW54" s="65"/>
      <c r="ZX54" s="37"/>
      <c r="ZY54" s="137"/>
      <c r="ZZ54" s="37"/>
      <c r="AAA54" s="37"/>
      <c r="AAB54" s="37"/>
      <c r="AAC54" s="37"/>
      <c r="AAD54" s="37"/>
      <c r="AAE54" s="75"/>
      <c r="AAF54" s="37"/>
      <c r="AAG54" s="37"/>
      <c r="AAH54" s="37"/>
      <c r="AAI54" s="37"/>
      <c r="AAJ54" s="37"/>
      <c r="AAK54" s="137"/>
      <c r="AAL54" s="37"/>
      <c r="AAM54" s="37"/>
      <c r="AAN54" s="37"/>
      <c r="AAO54" s="37"/>
      <c r="AAP54" s="37"/>
      <c r="AAQ54" s="75"/>
      <c r="AAR54" s="37"/>
      <c r="AAS54" s="37"/>
      <c r="AAT54" s="37"/>
      <c r="AAU54" s="37"/>
      <c r="AAV54" s="37"/>
      <c r="AAW54" s="38"/>
      <c r="AAX54" s="36"/>
      <c r="AAY54" s="65"/>
      <c r="AAZ54" s="65"/>
      <c r="ABA54" s="65"/>
      <c r="ABB54" s="37"/>
      <c r="ABC54" s="132"/>
      <c r="ABD54" s="37"/>
      <c r="ABE54" s="37"/>
      <c r="ABF54" s="37"/>
      <c r="ABG54" s="37"/>
      <c r="ABH54" s="37"/>
      <c r="ABI54" s="137"/>
      <c r="ABJ54" s="37"/>
      <c r="ABK54" s="37"/>
      <c r="ABL54" s="37"/>
      <c r="ABM54" s="37"/>
      <c r="ABN54" s="37"/>
      <c r="ABO54" s="75"/>
      <c r="ABP54" s="37"/>
      <c r="ABQ54" s="37"/>
      <c r="ABR54" s="37"/>
      <c r="ABS54" s="37"/>
      <c r="ABT54" s="37"/>
      <c r="ABU54" s="137"/>
      <c r="ABV54" s="37"/>
      <c r="ABW54" s="37"/>
      <c r="ABX54" s="37"/>
      <c r="ABY54" s="37"/>
      <c r="ABZ54" s="37"/>
      <c r="ACA54" s="75"/>
      <c r="ACB54" s="65"/>
      <c r="ACC54" s="65"/>
      <c r="ACD54" s="65"/>
      <c r="ACE54" s="65"/>
      <c r="ACF54" s="37"/>
      <c r="ACG54" s="137"/>
      <c r="ACH54" s="37"/>
      <c r="ACI54" s="37"/>
      <c r="ACJ54" s="37"/>
      <c r="ACK54" s="37"/>
      <c r="ACL54" s="37"/>
      <c r="ACM54" s="75"/>
      <c r="ACN54" s="37"/>
      <c r="ACO54" s="37"/>
      <c r="ACP54" s="37"/>
      <c r="ACQ54" s="37"/>
      <c r="ACR54" s="37"/>
      <c r="ACS54" s="137"/>
      <c r="ACT54" s="37"/>
      <c r="ACU54" s="37"/>
      <c r="ACV54" s="37"/>
      <c r="ACW54" s="37"/>
      <c r="ACX54" s="37"/>
      <c r="ACY54" s="75"/>
      <c r="ACZ54" s="37"/>
      <c r="ADA54" s="37"/>
      <c r="ADB54" s="37"/>
      <c r="ADC54" s="37"/>
      <c r="ADD54" s="37"/>
      <c r="ADE54" s="38"/>
      <c r="ADF54" s="36"/>
      <c r="ADG54" s="65"/>
      <c r="ADH54" s="65"/>
      <c r="ADI54" s="65"/>
      <c r="ADJ54" s="37"/>
      <c r="ADK54" s="132"/>
      <c r="ADL54" s="37"/>
      <c r="ADM54" s="37"/>
      <c r="ADN54" s="37"/>
      <c r="ADO54" s="37"/>
      <c r="ADP54" s="37"/>
      <c r="ADQ54" s="137"/>
      <c r="ADR54" s="37"/>
      <c r="ADS54" s="37"/>
      <c r="ADT54" s="37"/>
      <c r="ADU54" s="37"/>
      <c r="ADV54" s="37"/>
      <c r="ADW54" s="75"/>
      <c r="ADX54" s="37"/>
      <c r="ADY54" s="37"/>
      <c r="ADZ54" s="37"/>
      <c r="AEA54" s="37"/>
      <c r="AEB54" s="37"/>
      <c r="AEC54" s="137"/>
      <c r="AED54" s="37"/>
      <c r="AEE54" s="37"/>
      <c r="AEF54" s="37"/>
      <c r="AEG54" s="37"/>
      <c r="AEH54" s="37"/>
      <c r="AEI54" s="75"/>
      <c r="AEJ54" s="65"/>
      <c r="AEK54" s="65"/>
      <c r="AEL54" s="65"/>
      <c r="AEM54" s="65"/>
      <c r="AEN54" s="37"/>
      <c r="AEO54" s="137"/>
      <c r="AEP54" s="37"/>
      <c r="AEQ54" s="37"/>
      <c r="AER54" s="37"/>
      <c r="AES54" s="37"/>
      <c r="AET54" s="37"/>
      <c r="AEU54" s="75"/>
      <c r="AEV54" s="37"/>
      <c r="AEW54" s="37"/>
      <c r="AEX54" s="37"/>
      <c r="AEY54" s="37"/>
      <c r="AEZ54" s="37"/>
      <c r="AFA54" s="137"/>
      <c r="AFB54" s="37"/>
      <c r="AFC54" s="37"/>
      <c r="AFD54" s="37"/>
      <c r="AFE54" s="37"/>
      <c r="AFF54" s="37"/>
      <c r="AFG54" s="75"/>
      <c r="AFH54" s="37"/>
      <c r="AFI54" s="37"/>
      <c r="AFJ54" s="37"/>
      <c r="AFK54" s="37"/>
      <c r="AFL54" s="37"/>
      <c r="AFM54" s="38"/>
      <c r="AFN54" s="36"/>
      <c r="AFO54" s="65"/>
      <c r="AFP54" s="65"/>
      <c r="AFQ54" s="65"/>
      <c r="AFR54" s="37"/>
      <c r="AFS54" s="132"/>
      <c r="AFT54" s="37"/>
      <c r="AFU54" s="37"/>
      <c r="AFV54" s="37"/>
      <c r="AFW54" s="37"/>
      <c r="AFX54" s="37"/>
      <c r="AFY54" s="137"/>
      <c r="AFZ54" s="37"/>
      <c r="AGA54" s="37"/>
      <c r="AGB54" s="37"/>
      <c r="AGC54" s="37"/>
      <c r="AGD54" s="37"/>
      <c r="AGE54" s="75"/>
      <c r="AGF54" s="37"/>
      <c r="AGG54" s="37"/>
      <c r="AGH54" s="37"/>
      <c r="AGI54" s="37"/>
      <c r="AGJ54" s="37"/>
      <c r="AGK54" s="137"/>
      <c r="AGL54" s="37"/>
      <c r="AGM54" s="37"/>
      <c r="AGN54" s="37"/>
      <c r="AGO54" s="37"/>
      <c r="AGP54" s="37"/>
      <c r="AGQ54" s="75"/>
      <c r="AGR54" s="65"/>
      <c r="AGS54" s="65"/>
      <c r="AGT54" s="65"/>
      <c r="AGU54" s="65"/>
      <c r="AGV54" s="37"/>
      <c r="AGW54" s="137"/>
      <c r="AGX54" s="37"/>
      <c r="AGY54" s="37"/>
      <c r="AGZ54" s="37"/>
      <c r="AHA54" s="37"/>
      <c r="AHB54" s="37"/>
      <c r="AHC54" s="75"/>
      <c r="AHD54" s="37"/>
      <c r="AHE54" s="37"/>
      <c r="AHF54" s="37"/>
      <c r="AHG54" s="37"/>
      <c r="AHH54" s="37"/>
      <c r="AHI54" s="137"/>
      <c r="AHJ54" s="37"/>
      <c r="AHK54" s="37"/>
      <c r="AHL54" s="37"/>
      <c r="AHM54" s="37"/>
      <c r="AHN54" s="37"/>
      <c r="AHO54" s="75"/>
      <c r="AHP54" s="37"/>
      <c r="AHQ54" s="37"/>
      <c r="AHR54" s="37"/>
      <c r="AHS54" s="37"/>
      <c r="AHT54" s="37"/>
      <c r="AHU54" s="38"/>
      <c r="AHV54" s="36"/>
      <c r="AHW54" s="65"/>
      <c r="AHX54" s="65"/>
      <c r="AHY54" s="65"/>
      <c r="AHZ54" s="37"/>
      <c r="AIA54" s="132"/>
      <c r="AIB54" s="37"/>
      <c r="AIC54" s="37"/>
      <c r="AID54" s="37"/>
      <c r="AIE54" s="37"/>
      <c r="AIF54" s="37"/>
      <c r="AIG54" s="137"/>
      <c r="AIH54" s="37"/>
      <c r="AII54" s="37"/>
      <c r="AIJ54" s="37"/>
      <c r="AIK54" s="37"/>
      <c r="AIL54" s="37"/>
      <c r="AIM54" s="75"/>
      <c r="AIN54" s="37"/>
      <c r="AIO54" s="37"/>
      <c r="AIP54" s="37"/>
      <c r="AIQ54" s="37"/>
      <c r="AIR54" s="37"/>
      <c r="AIS54" s="137"/>
      <c r="AIT54" s="37"/>
      <c r="AIU54" s="37"/>
      <c r="AIV54" s="37"/>
      <c r="AIW54" s="37"/>
      <c r="AIX54" s="37"/>
      <c r="AIY54" s="75"/>
      <c r="AIZ54" s="65"/>
      <c r="AJA54" s="65"/>
      <c r="AJB54" s="65"/>
      <c r="AJC54" s="65"/>
      <c r="AJD54" s="37"/>
      <c r="AJE54" s="137"/>
      <c r="AJF54" s="37"/>
      <c r="AJG54" s="37"/>
      <c r="AJH54" s="37"/>
      <c r="AJI54" s="37"/>
      <c r="AJJ54" s="37"/>
      <c r="AJK54" s="75"/>
      <c r="AJL54" s="37"/>
      <c r="AJM54" s="37"/>
      <c r="AJN54" s="37"/>
      <c r="AJO54" s="37"/>
      <c r="AJP54" s="37"/>
      <c r="AJQ54" s="137"/>
      <c r="AJR54" s="37"/>
      <c r="AJS54" s="37"/>
      <c r="AJT54" s="37"/>
      <c r="AJU54" s="37"/>
      <c r="AJV54" s="37"/>
      <c r="AJW54" s="75"/>
      <c r="AJX54" s="37"/>
      <c r="AJY54" s="37"/>
      <c r="AJZ54" s="37"/>
      <c r="AKA54" s="37"/>
      <c r="AKB54" s="37"/>
      <c r="AKC54" s="38"/>
      <c r="AKD54" s="36"/>
      <c r="AKE54" s="65"/>
      <c r="AKF54" s="65"/>
      <c r="AKG54" s="65"/>
      <c r="AKH54" s="37"/>
      <c r="AKI54" s="132"/>
      <c r="AKJ54" s="37"/>
      <c r="AKK54" s="37"/>
      <c r="AKL54" s="37"/>
      <c r="AKM54" s="37"/>
      <c r="AKN54" s="37"/>
      <c r="AKO54" s="137"/>
      <c r="AKP54" s="37"/>
      <c r="AKQ54" s="37"/>
      <c r="AKR54" s="37"/>
      <c r="AKS54" s="37"/>
      <c r="AKT54" s="37"/>
      <c r="AKU54" s="75"/>
      <c r="AKV54" s="37"/>
      <c r="AKW54" s="37"/>
      <c r="AKX54" s="37"/>
      <c r="AKY54" s="37"/>
      <c r="AKZ54" s="37"/>
      <c r="ALA54" s="137"/>
      <c r="ALB54" s="37"/>
      <c r="ALC54" s="37"/>
      <c r="ALD54" s="37"/>
      <c r="ALE54" s="37"/>
      <c r="ALF54" s="37"/>
      <c r="ALG54" s="75"/>
      <c r="ALH54" s="65"/>
      <c r="ALI54" s="65"/>
      <c r="ALJ54" s="65"/>
      <c r="ALK54" s="65"/>
      <c r="ALL54" s="37"/>
      <c r="ALM54" s="137"/>
      <c r="ALN54" s="37"/>
      <c r="ALO54" s="37"/>
      <c r="ALP54" s="37"/>
      <c r="ALQ54" s="37"/>
      <c r="ALR54" s="37"/>
      <c r="ALS54" s="75"/>
      <c r="ALT54" s="37"/>
      <c r="ALU54" s="37"/>
      <c r="ALV54" s="37"/>
      <c r="ALW54" s="37"/>
      <c r="ALX54" s="37"/>
      <c r="ALY54" s="137"/>
      <c r="ALZ54" s="37"/>
      <c r="AMA54" s="37"/>
      <c r="AMB54" s="37"/>
      <c r="AMC54" s="37"/>
      <c r="AMD54" s="37"/>
      <c r="AME54" s="75"/>
      <c r="AMF54" s="37"/>
      <c r="AMG54" s="37"/>
      <c r="AMH54" s="37"/>
      <c r="AMI54" s="37"/>
      <c r="AMJ54" s="37"/>
      <c r="AMK54" s="38"/>
      <c r="AML54" s="36"/>
      <c r="AMM54" s="65"/>
      <c r="AMN54" s="65"/>
      <c r="AMO54" s="65"/>
      <c r="AMP54" s="37"/>
      <c r="AMQ54" s="132"/>
      <c r="AMR54" s="37"/>
      <c r="AMS54" s="37"/>
      <c r="AMT54" s="37"/>
      <c r="AMU54" s="37"/>
      <c r="AMV54" s="37"/>
      <c r="AMW54" s="137"/>
      <c r="AMX54" s="37"/>
      <c r="AMY54" s="37"/>
      <c r="AMZ54" s="37"/>
      <c r="ANA54" s="37"/>
      <c r="ANB54" s="37"/>
      <c r="ANC54" s="75"/>
      <c r="AND54" s="37"/>
      <c r="ANE54" s="37"/>
      <c r="ANF54" s="37"/>
      <c r="ANG54" s="37"/>
      <c r="ANH54" s="37"/>
      <c r="ANI54" s="137"/>
      <c r="ANJ54" s="37"/>
      <c r="ANK54" s="37"/>
      <c r="ANL54" s="37"/>
      <c r="ANM54" s="37"/>
      <c r="ANN54" s="37"/>
      <c r="ANO54" s="75"/>
      <c r="ANP54" s="65"/>
      <c r="ANQ54" s="65"/>
      <c r="ANR54" s="65"/>
      <c r="ANS54" s="65"/>
      <c r="ANT54" s="37"/>
      <c r="ANU54" s="137"/>
      <c r="ANV54" s="37"/>
      <c r="ANW54" s="37"/>
      <c r="ANX54" s="37"/>
      <c r="ANY54" s="37"/>
      <c r="ANZ54" s="37"/>
      <c r="AOA54" s="75"/>
      <c r="AOB54" s="37"/>
      <c r="AOC54" s="37"/>
      <c r="AOD54" s="37"/>
      <c r="AOE54" s="37"/>
      <c r="AOF54" s="37"/>
      <c r="AOG54" s="137"/>
      <c r="AOH54" s="37"/>
      <c r="AOI54" s="37"/>
      <c r="AOJ54" s="37"/>
      <c r="AOK54" s="37"/>
      <c r="AOL54" s="37"/>
      <c r="AOM54" s="75"/>
      <c r="AON54" s="37"/>
      <c r="AOO54" s="37"/>
      <c r="AOP54" s="37"/>
      <c r="AOQ54" s="37"/>
      <c r="AOR54" s="37"/>
      <c r="AOS54" s="38"/>
      <c r="AOT54" s="36"/>
      <c r="AOU54" s="65"/>
      <c r="AOV54" s="65"/>
      <c r="AOW54" s="65"/>
      <c r="AOX54" s="37"/>
      <c r="AOY54" s="132"/>
      <c r="AOZ54" s="37"/>
      <c r="APA54" s="37"/>
      <c r="APB54" s="37"/>
      <c r="APC54" s="37"/>
      <c r="APD54" s="37"/>
      <c r="APE54" s="137"/>
      <c r="APF54" s="37"/>
      <c r="APG54" s="37"/>
      <c r="APH54" s="37"/>
      <c r="API54" s="37"/>
      <c r="APJ54" s="37"/>
      <c r="APK54" s="75"/>
      <c r="APL54" s="37"/>
      <c r="APM54" s="37"/>
      <c r="APN54" s="37"/>
      <c r="APO54" s="37"/>
      <c r="APP54" s="37"/>
      <c r="APQ54" s="137"/>
      <c r="APR54" s="37"/>
      <c r="APS54" s="37"/>
      <c r="APT54" s="37"/>
      <c r="APU54" s="37"/>
      <c r="APV54" s="37"/>
      <c r="APW54" s="75"/>
      <c r="APX54" s="65"/>
      <c r="APY54" s="65"/>
      <c r="APZ54" s="65"/>
      <c r="AQA54" s="65"/>
      <c r="AQB54" s="37"/>
      <c r="AQC54" s="137"/>
      <c r="AQD54" s="37"/>
      <c r="AQE54" s="37"/>
      <c r="AQF54" s="37"/>
      <c r="AQG54" s="37"/>
      <c r="AQH54" s="37"/>
      <c r="AQI54" s="75"/>
      <c r="AQJ54" s="37"/>
      <c r="AQK54" s="37"/>
      <c r="AQL54" s="37"/>
      <c r="AQM54" s="37"/>
      <c r="AQN54" s="37"/>
      <c r="AQO54" s="137"/>
      <c r="AQP54" s="37"/>
      <c r="AQQ54" s="37"/>
      <c r="AQR54" s="37"/>
      <c r="AQS54" s="37"/>
      <c r="AQT54" s="37"/>
      <c r="AQU54" s="75"/>
      <c r="AQV54" s="37"/>
      <c r="AQW54" s="37"/>
      <c r="AQX54" s="37"/>
      <c r="AQY54" s="37"/>
      <c r="AQZ54" s="37"/>
      <c r="ARA54" s="38"/>
      <c r="ARB54" s="36"/>
      <c r="ARC54" s="65"/>
      <c r="ARD54" s="65"/>
      <c r="ARE54" s="65"/>
      <c r="ARF54" s="37"/>
      <c r="ARG54" s="132"/>
      <c r="ARH54" s="37"/>
      <c r="ARI54" s="37"/>
      <c r="ARJ54" s="37"/>
      <c r="ARK54" s="37"/>
      <c r="ARL54" s="37"/>
      <c r="ARM54" s="137"/>
      <c r="ARN54" s="37"/>
      <c r="ARO54" s="37"/>
      <c r="ARP54" s="37"/>
      <c r="ARQ54" s="37"/>
      <c r="ARR54" s="37"/>
      <c r="ARS54" s="75"/>
      <c r="ART54" s="37"/>
      <c r="ARU54" s="37"/>
      <c r="ARV54" s="37"/>
      <c r="ARW54" s="37"/>
      <c r="ARX54" s="37"/>
      <c r="ARY54" s="137"/>
      <c r="ARZ54" s="37"/>
      <c r="ASA54" s="37"/>
      <c r="ASB54" s="37"/>
      <c r="ASC54" s="37"/>
      <c r="ASD54" s="37"/>
      <c r="ASE54" s="75"/>
      <c r="ASF54" s="65"/>
      <c r="ASG54" s="65"/>
      <c r="ASH54" s="65"/>
      <c r="ASI54" s="65"/>
      <c r="ASJ54" s="37"/>
      <c r="ASK54" s="137"/>
      <c r="ASL54" s="37"/>
      <c r="ASM54" s="37"/>
      <c r="ASN54" s="37"/>
      <c r="ASO54" s="37"/>
      <c r="ASP54" s="37"/>
      <c r="ASQ54" s="75"/>
      <c r="ASR54" s="37"/>
      <c r="ASS54" s="37"/>
      <c r="AST54" s="37"/>
      <c r="ASU54" s="37"/>
      <c r="ASV54" s="37"/>
      <c r="ASW54" s="137"/>
      <c r="ASX54" s="37"/>
      <c r="ASY54" s="37"/>
      <c r="ASZ54" s="37"/>
      <c r="ATA54" s="37"/>
      <c r="ATB54" s="37"/>
      <c r="ATC54" s="75"/>
      <c r="ATD54" s="37"/>
      <c r="ATE54" s="37"/>
      <c r="ATF54" s="37"/>
      <c r="ATG54" s="37"/>
      <c r="ATH54" s="37"/>
      <c r="ATI54" s="38"/>
      <c r="ATJ54" s="36"/>
      <c r="ATK54" s="65"/>
      <c r="ATL54" s="65"/>
      <c r="ATM54" s="65"/>
      <c r="ATN54" s="37"/>
      <c r="ATO54" s="132"/>
      <c r="ATP54" s="37"/>
      <c r="ATQ54" s="37"/>
      <c r="ATR54" s="37"/>
      <c r="ATS54" s="37"/>
      <c r="ATT54" s="37"/>
      <c r="ATU54" s="137"/>
      <c r="ATV54" s="37"/>
      <c r="ATW54" s="37"/>
      <c r="ATX54" s="37"/>
      <c r="ATY54" s="37"/>
      <c r="ATZ54" s="37"/>
      <c r="AUA54" s="75"/>
      <c r="AUB54" s="37"/>
      <c r="AUC54" s="37"/>
      <c r="AUD54" s="37"/>
      <c r="AUE54" s="37"/>
      <c r="AUF54" s="37"/>
      <c r="AUG54" s="137"/>
      <c r="AUH54" s="37"/>
      <c r="AUI54" s="37"/>
      <c r="AUJ54" s="37"/>
      <c r="AUK54" s="37"/>
      <c r="AUL54" s="37"/>
      <c r="AUM54" s="75"/>
      <c r="AUN54" s="65"/>
      <c r="AUO54" s="65"/>
      <c r="AUP54" s="65"/>
      <c r="AUQ54" s="65"/>
      <c r="AUR54" s="37"/>
      <c r="AUS54" s="137"/>
      <c r="AUT54" s="37"/>
      <c r="AUU54" s="37"/>
      <c r="AUV54" s="37"/>
      <c r="AUW54" s="37"/>
      <c r="AUX54" s="37"/>
      <c r="AUY54" s="75"/>
      <c r="AUZ54" s="37"/>
      <c r="AVA54" s="37"/>
      <c r="AVB54" s="37"/>
      <c r="AVC54" s="37"/>
      <c r="AVD54" s="37"/>
      <c r="AVE54" s="137"/>
      <c r="AVF54" s="37"/>
      <c r="AVG54" s="37"/>
      <c r="AVH54" s="37"/>
      <c r="AVI54" s="37"/>
      <c r="AVJ54" s="37"/>
      <c r="AVK54" s="75"/>
      <c r="AVL54" s="37"/>
      <c r="AVM54" s="37"/>
      <c r="AVN54" s="37"/>
      <c r="AVO54" s="37"/>
      <c r="AVP54" s="37"/>
      <c r="AVQ54" s="38"/>
      <c r="AVR54" s="36"/>
      <c r="AVS54" s="65"/>
      <c r="AVT54" s="65"/>
      <c r="AVU54" s="65"/>
      <c r="AVV54" s="37"/>
      <c r="AVW54" s="132"/>
      <c r="AVX54" s="37"/>
      <c r="AVY54" s="37"/>
      <c r="AVZ54" s="37"/>
      <c r="AWA54" s="37"/>
      <c r="AWB54" s="37"/>
      <c r="AWC54" s="137"/>
      <c r="AWD54" s="37"/>
      <c r="AWE54" s="37"/>
      <c r="AWF54" s="37"/>
      <c r="AWG54" s="37"/>
      <c r="AWH54" s="37"/>
      <c r="AWI54" s="75"/>
      <c r="AWJ54" s="37"/>
      <c r="AWK54" s="37"/>
      <c r="AWL54" s="37"/>
      <c r="AWM54" s="37"/>
      <c r="AWN54" s="37"/>
      <c r="AWO54" s="137"/>
      <c r="AWP54" s="37"/>
      <c r="AWQ54" s="37"/>
      <c r="AWR54" s="37"/>
      <c r="AWS54" s="37"/>
      <c r="AWT54" s="37"/>
      <c r="AWU54" s="75"/>
      <c r="AWV54" s="65"/>
      <c r="AWW54" s="65"/>
      <c r="AWX54" s="65"/>
      <c r="AWY54" s="65"/>
      <c r="AWZ54" s="37"/>
      <c r="AXA54" s="137"/>
      <c r="AXB54" s="37"/>
      <c r="AXC54" s="37"/>
      <c r="AXD54" s="37"/>
      <c r="AXE54" s="37"/>
      <c r="AXF54" s="37"/>
      <c r="AXG54" s="75"/>
      <c r="AXH54" s="37"/>
      <c r="AXI54" s="37"/>
      <c r="AXJ54" s="37"/>
      <c r="AXK54" s="37"/>
      <c r="AXL54" s="37"/>
      <c r="AXM54" s="137"/>
      <c r="AXN54" s="37"/>
      <c r="AXO54" s="37"/>
      <c r="AXP54" s="37"/>
      <c r="AXQ54" s="37"/>
      <c r="AXR54" s="37"/>
      <c r="AXS54" s="75"/>
      <c r="AXT54" s="37"/>
      <c r="AXU54" s="37"/>
      <c r="AXV54" s="37"/>
      <c r="AXW54" s="37"/>
      <c r="AXX54" s="37"/>
      <c r="AXY54" s="38"/>
      <c r="AXZ54" s="36"/>
      <c r="AYA54" s="65"/>
      <c r="AYB54" s="65"/>
      <c r="AYC54" s="65"/>
      <c r="AYD54" s="37"/>
      <c r="AYE54" s="132"/>
      <c r="AYF54" s="37"/>
      <c r="AYG54" s="37"/>
      <c r="AYH54" s="37"/>
      <c r="AYI54" s="37"/>
      <c r="AYJ54" s="37"/>
      <c r="AYK54" s="137"/>
      <c r="AYL54" s="37"/>
      <c r="AYM54" s="37"/>
      <c r="AYN54" s="37"/>
      <c r="AYO54" s="37"/>
      <c r="AYP54" s="37"/>
      <c r="AYQ54" s="75"/>
      <c r="AYR54" s="37"/>
      <c r="AYS54" s="37"/>
      <c r="AYT54" s="37"/>
      <c r="AYU54" s="37"/>
      <c r="AYV54" s="37"/>
      <c r="AYW54" s="137"/>
      <c r="AYX54" s="37"/>
      <c r="AYY54" s="37"/>
      <c r="AYZ54" s="37"/>
      <c r="AZA54" s="37"/>
      <c r="AZB54" s="37"/>
      <c r="AZC54" s="75"/>
      <c r="AZD54" s="65"/>
      <c r="AZE54" s="65"/>
      <c r="AZF54" s="65"/>
      <c r="AZG54" s="65"/>
      <c r="AZH54" s="37"/>
      <c r="AZI54" s="137"/>
      <c r="AZJ54" s="37"/>
      <c r="AZK54" s="37"/>
      <c r="AZL54" s="37"/>
      <c r="AZM54" s="37"/>
      <c r="AZN54" s="37"/>
      <c r="AZO54" s="75"/>
      <c r="AZP54" s="37"/>
      <c r="AZQ54" s="37"/>
      <c r="AZR54" s="37"/>
      <c r="AZS54" s="37"/>
      <c r="AZT54" s="37"/>
      <c r="AZU54" s="137"/>
      <c r="AZV54" s="37"/>
      <c r="AZW54" s="37"/>
      <c r="AZX54" s="37"/>
      <c r="AZY54" s="37"/>
      <c r="AZZ54" s="37"/>
      <c r="BAA54" s="75"/>
      <c r="BAB54" s="37"/>
      <c r="BAC54" s="37"/>
      <c r="BAD54" s="37"/>
      <c r="BAE54" s="37"/>
      <c r="BAF54" s="37"/>
      <c r="BAG54" s="38"/>
      <c r="BAH54" s="36"/>
      <c r="BAI54" s="65"/>
      <c r="BAJ54" s="65"/>
      <c r="BAK54" s="65"/>
      <c r="BAL54" s="37"/>
      <c r="BAM54" s="132"/>
      <c r="BAN54" s="37"/>
      <c r="BAO54" s="37"/>
      <c r="BAP54" s="37"/>
      <c r="BAQ54" s="37"/>
      <c r="BAR54" s="37"/>
      <c r="BAS54" s="137"/>
      <c r="BAT54" s="37"/>
      <c r="BAU54" s="37"/>
      <c r="BAV54" s="37"/>
      <c r="BAW54" s="37"/>
      <c r="BAX54" s="37"/>
      <c r="BAY54" s="75"/>
      <c r="BAZ54" s="37"/>
      <c r="BBA54" s="37"/>
      <c r="BBB54" s="37"/>
      <c r="BBC54" s="37"/>
      <c r="BBD54" s="37"/>
      <c r="BBE54" s="137"/>
      <c r="BBF54" s="37"/>
      <c r="BBG54" s="37"/>
      <c r="BBH54" s="37"/>
      <c r="BBI54" s="37"/>
      <c r="BBJ54" s="37"/>
      <c r="BBK54" s="75"/>
      <c r="BBL54" s="65"/>
      <c r="BBM54" s="65"/>
      <c r="BBN54" s="65"/>
      <c r="BBO54" s="65"/>
      <c r="BBP54" s="37"/>
      <c r="BBQ54" s="137"/>
      <c r="BBR54" s="37"/>
      <c r="BBS54" s="37"/>
      <c r="BBT54" s="37"/>
      <c r="BBU54" s="37"/>
      <c r="BBV54" s="37"/>
      <c r="BBW54" s="75"/>
      <c r="BBX54" s="37"/>
      <c r="BBY54" s="37"/>
      <c r="BBZ54" s="37"/>
      <c r="BCA54" s="37"/>
      <c r="BCB54" s="37"/>
      <c r="BCC54" s="137"/>
      <c r="BCD54" s="37"/>
      <c r="BCE54" s="37"/>
      <c r="BCF54" s="37"/>
      <c r="BCG54" s="37"/>
      <c r="BCH54" s="37"/>
      <c r="BCI54" s="75"/>
      <c r="BCJ54" s="37"/>
      <c r="BCK54" s="37"/>
      <c r="BCL54" s="37"/>
      <c r="BCM54" s="37"/>
      <c r="BCN54" s="37"/>
      <c r="BCO54" s="38"/>
      <c r="BCP54" s="36"/>
      <c r="BCQ54" s="65"/>
      <c r="BCR54" s="65"/>
      <c r="BCS54" s="65"/>
      <c r="BCT54" s="37"/>
      <c r="BCU54" s="132"/>
      <c r="BCV54" s="37"/>
      <c r="BCW54" s="37"/>
      <c r="BCX54" s="37"/>
      <c r="BCY54" s="37"/>
      <c r="BCZ54" s="37"/>
      <c r="BDA54" s="137"/>
      <c r="BDB54" s="37"/>
      <c r="BDC54" s="37"/>
      <c r="BDD54" s="37"/>
      <c r="BDE54" s="37"/>
      <c r="BDF54" s="37"/>
      <c r="BDG54" s="75"/>
      <c r="BDH54" s="37"/>
      <c r="BDI54" s="37"/>
      <c r="BDJ54" s="37"/>
      <c r="BDK54" s="37"/>
      <c r="BDL54" s="37"/>
      <c r="BDM54" s="137"/>
      <c r="BDN54" s="37"/>
      <c r="BDO54" s="37"/>
      <c r="BDP54" s="37"/>
      <c r="BDQ54" s="37"/>
      <c r="BDR54" s="37"/>
      <c r="BDS54" s="75"/>
      <c r="BDT54" s="65"/>
      <c r="BDU54" s="65"/>
      <c r="BDV54" s="65"/>
      <c r="BDW54" s="65"/>
      <c r="BDX54" s="37"/>
      <c r="BDY54" s="137"/>
      <c r="BDZ54" s="37"/>
      <c r="BEA54" s="37"/>
      <c r="BEB54" s="37"/>
      <c r="BEC54" s="37"/>
      <c r="BED54" s="37"/>
      <c r="BEE54" s="75"/>
      <c r="BEF54" s="37"/>
      <c r="BEG54" s="37"/>
      <c r="BEH54" s="37"/>
      <c r="BEI54" s="37"/>
      <c r="BEJ54" s="37"/>
      <c r="BEK54" s="137"/>
      <c r="BEL54" s="37"/>
      <c r="BEM54" s="37"/>
      <c r="BEN54" s="37"/>
      <c r="BEO54" s="37"/>
      <c r="BEP54" s="37"/>
      <c r="BEQ54" s="75"/>
      <c r="BER54" s="37"/>
      <c r="BES54" s="37"/>
      <c r="BET54" s="37"/>
      <c r="BEU54" s="37"/>
      <c r="BEV54" s="37"/>
      <c r="BEW54" s="38"/>
      <c r="BEX54" s="36"/>
      <c r="BEY54" s="65"/>
      <c r="BEZ54" s="65"/>
      <c r="BFA54" s="65"/>
      <c r="BFB54" s="37"/>
      <c r="BFC54" s="132"/>
      <c r="BFD54" s="37"/>
      <c r="BFE54" s="37"/>
      <c r="BFF54" s="37"/>
      <c r="BFG54" s="37"/>
      <c r="BFH54" s="37"/>
      <c r="BFI54" s="137"/>
      <c r="BFJ54" s="37"/>
      <c r="BFK54" s="37"/>
      <c r="BFL54" s="37"/>
      <c r="BFM54" s="37"/>
      <c r="BFN54" s="37"/>
      <c r="BFO54" s="75"/>
      <c r="BFP54" s="37"/>
      <c r="BFQ54" s="37"/>
      <c r="BFR54" s="37"/>
      <c r="BFS54" s="37"/>
      <c r="BFT54" s="37"/>
      <c r="BFU54" s="137"/>
      <c r="BFV54" s="37"/>
      <c r="BFW54" s="37"/>
      <c r="BFX54" s="37"/>
      <c r="BFY54" s="37"/>
      <c r="BFZ54" s="37"/>
      <c r="BGA54" s="75"/>
      <c r="BGB54" s="65"/>
      <c r="BGC54" s="65"/>
      <c r="BGD54" s="65"/>
      <c r="BGE54" s="65"/>
      <c r="BGF54" s="37"/>
      <c r="BGG54" s="137"/>
      <c r="BGH54" s="37"/>
      <c r="BGI54" s="37"/>
      <c r="BGJ54" s="37"/>
      <c r="BGK54" s="37"/>
      <c r="BGL54" s="37"/>
      <c r="BGM54" s="75"/>
      <c r="BGN54" s="37"/>
      <c r="BGO54" s="37"/>
      <c r="BGP54" s="37"/>
      <c r="BGQ54" s="37"/>
      <c r="BGR54" s="37"/>
      <c r="BGS54" s="137"/>
      <c r="BGT54" s="37"/>
      <c r="BGU54" s="37"/>
      <c r="BGV54" s="37"/>
      <c r="BGW54" s="37"/>
      <c r="BGX54" s="37"/>
      <c r="BGY54" s="75"/>
      <c r="BGZ54" s="37"/>
      <c r="BHA54" s="37"/>
      <c r="BHB54" s="37"/>
      <c r="BHC54" s="37"/>
      <c r="BHD54" s="37"/>
      <c r="BHE54" s="38"/>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35"/>
      <c r="D55" s="145" t="str">
        <f t="shared" si="0"/>
        <v>0h</v>
      </c>
      <c r="E55" s="39">
        <v>0</v>
      </c>
      <c r="F55" s="40"/>
      <c r="G55" s="66"/>
      <c r="H55" s="66"/>
      <c r="I55" s="66"/>
      <c r="J55" s="41"/>
      <c r="K55" s="133"/>
      <c r="L55" s="41"/>
      <c r="M55" s="41"/>
      <c r="N55" s="41"/>
      <c r="O55" s="41"/>
      <c r="P55" s="41"/>
      <c r="Q55" s="138"/>
      <c r="R55" s="41"/>
      <c r="S55" s="41"/>
      <c r="T55" s="41"/>
      <c r="U55" s="41"/>
      <c r="V55" s="41"/>
      <c r="W55" s="76"/>
      <c r="X55" s="41"/>
      <c r="Y55" s="41"/>
      <c r="Z55" s="41"/>
      <c r="AA55" s="41"/>
      <c r="AB55" s="41"/>
      <c r="AC55" s="138"/>
      <c r="AD55" s="41"/>
      <c r="AE55" s="41"/>
      <c r="AF55" s="41"/>
      <c r="AG55" s="41"/>
      <c r="AH55" s="41"/>
      <c r="AI55" s="76"/>
      <c r="AJ55" s="66"/>
      <c r="AK55" s="66"/>
      <c r="AL55" s="66"/>
      <c r="AM55" s="66"/>
      <c r="AN55" s="41"/>
      <c r="AO55" s="138"/>
      <c r="AP55" s="41"/>
      <c r="AQ55" s="41"/>
      <c r="AR55" s="41"/>
      <c r="AS55" s="41"/>
      <c r="AT55" s="41"/>
      <c r="AU55" s="76"/>
      <c r="AV55" s="41"/>
      <c r="AW55" s="41"/>
      <c r="AX55" s="41"/>
      <c r="AY55" s="41"/>
      <c r="AZ55" s="41"/>
      <c r="BA55" s="138"/>
      <c r="BB55" s="41"/>
      <c r="BC55" s="41"/>
      <c r="BD55" s="41"/>
      <c r="BE55" s="41"/>
      <c r="BF55" s="41"/>
      <c r="BG55" s="76"/>
      <c r="BH55" s="41"/>
      <c r="BI55" s="41"/>
      <c r="BJ55" s="41"/>
      <c r="BK55" s="41"/>
      <c r="BL55" s="41"/>
      <c r="BM55" s="42"/>
      <c r="BN55" s="40"/>
      <c r="BO55" s="66"/>
      <c r="BP55" s="66"/>
      <c r="BQ55" s="66"/>
      <c r="BR55" s="41"/>
      <c r="BS55" s="133"/>
      <c r="BT55" s="41"/>
      <c r="BU55" s="41"/>
      <c r="BV55" s="41"/>
      <c r="BW55" s="41"/>
      <c r="BX55" s="41"/>
      <c r="BY55" s="138"/>
      <c r="BZ55" s="41"/>
      <c r="CA55" s="41"/>
      <c r="CB55" s="41"/>
      <c r="CC55" s="41"/>
      <c r="CD55" s="41"/>
      <c r="CE55" s="76"/>
      <c r="CF55" s="41"/>
      <c r="CG55" s="41"/>
      <c r="CH55" s="41"/>
      <c r="CI55" s="41"/>
      <c r="CJ55" s="41"/>
      <c r="CK55" s="138"/>
      <c r="CL55" s="41"/>
      <c r="CM55" s="41"/>
      <c r="CN55" s="41"/>
      <c r="CO55" s="41"/>
      <c r="CP55" s="41"/>
      <c r="CQ55" s="76"/>
      <c r="CR55" s="66"/>
      <c r="CS55" s="66"/>
      <c r="CT55" s="66"/>
      <c r="CU55" s="66"/>
      <c r="CV55" s="41"/>
      <c r="CW55" s="138"/>
      <c r="CX55" s="41"/>
      <c r="CY55" s="41"/>
      <c r="CZ55" s="41"/>
      <c r="DA55" s="41"/>
      <c r="DB55" s="41"/>
      <c r="DC55" s="76"/>
      <c r="DD55" s="41"/>
      <c r="DE55" s="41"/>
      <c r="DF55" s="41"/>
      <c r="DG55" s="41"/>
      <c r="DH55" s="41"/>
      <c r="DI55" s="138"/>
      <c r="DJ55" s="41"/>
      <c r="DK55" s="41"/>
      <c r="DL55" s="41"/>
      <c r="DM55" s="41"/>
      <c r="DN55" s="41"/>
      <c r="DO55" s="76"/>
      <c r="DP55" s="41"/>
      <c r="DQ55" s="41"/>
      <c r="DR55" s="41"/>
      <c r="DS55" s="41"/>
      <c r="DT55" s="41"/>
      <c r="DU55" s="42"/>
      <c r="DV55" s="40"/>
      <c r="DW55" s="66"/>
      <c r="DX55" s="66"/>
      <c r="DY55" s="66"/>
      <c r="DZ55" s="41"/>
      <c r="EA55" s="133"/>
      <c r="EB55" s="41"/>
      <c r="EC55" s="41"/>
      <c r="ED55" s="41"/>
      <c r="EE55" s="41"/>
      <c r="EF55" s="41"/>
      <c r="EG55" s="138"/>
      <c r="EH55" s="41"/>
      <c r="EI55" s="41"/>
      <c r="EJ55" s="41"/>
      <c r="EK55" s="41"/>
      <c r="EL55" s="41"/>
      <c r="EM55" s="76"/>
      <c r="EN55" s="41"/>
      <c r="EO55" s="41"/>
      <c r="EP55" s="41"/>
      <c r="EQ55" s="41"/>
      <c r="ER55" s="41"/>
      <c r="ES55" s="138"/>
      <c r="ET55" s="41"/>
      <c r="EU55" s="41"/>
      <c r="EV55" s="41"/>
      <c r="EW55" s="41"/>
      <c r="EX55" s="41"/>
      <c r="EY55" s="76"/>
      <c r="EZ55" s="66"/>
      <c r="FA55" s="66"/>
      <c r="FB55" s="66"/>
      <c r="FC55" s="66"/>
      <c r="FD55" s="41"/>
      <c r="FE55" s="138"/>
      <c r="FF55" s="41"/>
      <c r="FG55" s="41"/>
      <c r="FH55" s="41"/>
      <c r="FI55" s="41"/>
      <c r="FJ55" s="41"/>
      <c r="FK55" s="76"/>
      <c r="FL55" s="41"/>
      <c r="FM55" s="41"/>
      <c r="FN55" s="41"/>
      <c r="FO55" s="41"/>
      <c r="FP55" s="41"/>
      <c r="FQ55" s="138"/>
      <c r="FR55" s="41"/>
      <c r="FS55" s="41"/>
      <c r="FT55" s="41"/>
      <c r="FU55" s="41"/>
      <c r="FV55" s="41"/>
      <c r="FW55" s="76"/>
      <c r="FX55" s="41"/>
      <c r="FY55" s="41"/>
      <c r="FZ55" s="41"/>
      <c r="GA55" s="41"/>
      <c r="GB55" s="41"/>
      <c r="GC55" s="42"/>
      <c r="GD55" s="40"/>
      <c r="GE55" s="66"/>
      <c r="GF55" s="66"/>
      <c r="GG55" s="66"/>
      <c r="GH55" s="41"/>
      <c r="GI55" s="133"/>
      <c r="GJ55" s="41"/>
      <c r="GK55" s="41"/>
      <c r="GL55" s="41"/>
      <c r="GM55" s="41"/>
      <c r="GN55" s="41"/>
      <c r="GO55" s="138"/>
      <c r="GP55" s="41"/>
      <c r="GQ55" s="41"/>
      <c r="GR55" s="41"/>
      <c r="GS55" s="41"/>
      <c r="GT55" s="41"/>
      <c r="GU55" s="76"/>
      <c r="GV55" s="41"/>
      <c r="GW55" s="41"/>
      <c r="GX55" s="41"/>
      <c r="GY55" s="41"/>
      <c r="GZ55" s="41"/>
      <c r="HA55" s="138"/>
      <c r="HB55" s="41"/>
      <c r="HC55" s="41"/>
      <c r="HD55" s="41"/>
      <c r="HE55" s="41"/>
      <c r="HF55" s="41"/>
      <c r="HG55" s="76"/>
      <c r="HH55" s="66"/>
      <c r="HI55" s="66"/>
      <c r="HJ55" s="66"/>
      <c r="HK55" s="66"/>
      <c r="HL55" s="41"/>
      <c r="HM55" s="138"/>
      <c r="HN55" s="41"/>
      <c r="HO55" s="41"/>
      <c r="HP55" s="41"/>
      <c r="HQ55" s="41"/>
      <c r="HR55" s="41"/>
      <c r="HS55" s="76"/>
      <c r="HT55" s="41"/>
      <c r="HU55" s="41"/>
      <c r="HV55" s="41"/>
      <c r="HW55" s="41"/>
      <c r="HX55" s="41"/>
      <c r="HY55" s="138"/>
      <c r="HZ55" s="41"/>
      <c r="IA55" s="41"/>
      <c r="IB55" s="41"/>
      <c r="IC55" s="41"/>
      <c r="ID55" s="41"/>
      <c r="IE55" s="76"/>
      <c r="IF55" s="41"/>
      <c r="IG55" s="41"/>
      <c r="IH55" s="41"/>
      <c r="II55" s="41"/>
      <c r="IJ55" s="41"/>
      <c r="IK55" s="42"/>
      <c r="IL55" s="40"/>
      <c r="IM55" s="66"/>
      <c r="IN55" s="66"/>
      <c r="IO55" s="66"/>
      <c r="IP55" s="41"/>
      <c r="IQ55" s="133"/>
      <c r="IR55" s="41"/>
      <c r="IS55" s="41"/>
      <c r="IT55" s="41"/>
      <c r="IU55" s="41"/>
      <c r="IV55" s="41"/>
      <c r="IW55" s="138"/>
      <c r="IX55" s="41"/>
      <c r="IY55" s="41"/>
      <c r="IZ55" s="41"/>
      <c r="JA55" s="41"/>
      <c r="JB55" s="41"/>
      <c r="JC55" s="76"/>
      <c r="JD55" s="41"/>
      <c r="JE55" s="41"/>
      <c r="JF55" s="41"/>
      <c r="JG55" s="41"/>
      <c r="JH55" s="41"/>
      <c r="JI55" s="138"/>
      <c r="JJ55" s="41"/>
      <c r="JK55" s="41"/>
      <c r="JL55" s="41"/>
      <c r="JM55" s="41"/>
      <c r="JN55" s="41"/>
      <c r="JO55" s="76"/>
      <c r="JP55" s="66"/>
      <c r="JQ55" s="66"/>
      <c r="JR55" s="66"/>
      <c r="JS55" s="66"/>
      <c r="JT55" s="41"/>
      <c r="JU55" s="138"/>
      <c r="JV55" s="41"/>
      <c r="JW55" s="41"/>
      <c r="JX55" s="41"/>
      <c r="JY55" s="41"/>
      <c r="JZ55" s="41"/>
      <c r="KA55" s="76"/>
      <c r="KB55" s="41"/>
      <c r="KC55" s="41"/>
      <c r="KD55" s="41"/>
      <c r="KE55" s="41"/>
      <c r="KF55" s="41"/>
      <c r="KG55" s="138"/>
      <c r="KH55" s="41"/>
      <c r="KI55" s="41"/>
      <c r="KJ55" s="41"/>
      <c r="KK55" s="41"/>
      <c r="KL55" s="41"/>
      <c r="KM55" s="76"/>
      <c r="KN55" s="41"/>
      <c r="KO55" s="41"/>
      <c r="KP55" s="41"/>
      <c r="KQ55" s="41"/>
      <c r="KR55" s="41"/>
      <c r="KS55" s="42"/>
      <c r="KT55" s="40"/>
      <c r="KU55" s="66"/>
      <c r="KV55" s="66"/>
      <c r="KW55" s="66"/>
      <c r="KX55" s="41"/>
      <c r="KY55" s="133"/>
      <c r="KZ55" s="41"/>
      <c r="LA55" s="41"/>
      <c r="LB55" s="41"/>
      <c r="LC55" s="41"/>
      <c r="LD55" s="41"/>
      <c r="LE55" s="138"/>
      <c r="LF55" s="41"/>
      <c r="LG55" s="41"/>
      <c r="LH55" s="41"/>
      <c r="LI55" s="41"/>
      <c r="LJ55" s="41"/>
      <c r="LK55" s="76"/>
      <c r="LL55" s="41"/>
      <c r="LM55" s="41"/>
      <c r="LN55" s="41"/>
      <c r="LO55" s="41"/>
      <c r="LP55" s="41"/>
      <c r="LQ55" s="138"/>
      <c r="LR55" s="41"/>
      <c r="LS55" s="41"/>
      <c r="LT55" s="41"/>
      <c r="LU55" s="41"/>
      <c r="LV55" s="41"/>
      <c r="LW55" s="76"/>
      <c r="LX55" s="66"/>
      <c r="LY55" s="66"/>
      <c r="LZ55" s="66"/>
      <c r="MA55" s="66"/>
      <c r="MB55" s="41"/>
      <c r="MC55" s="138"/>
      <c r="MD55" s="41"/>
      <c r="ME55" s="41"/>
      <c r="MF55" s="41"/>
      <c r="MG55" s="41"/>
      <c r="MH55" s="41"/>
      <c r="MI55" s="76"/>
      <c r="MJ55" s="41"/>
      <c r="MK55" s="41"/>
      <c r="ML55" s="41"/>
      <c r="MM55" s="41"/>
      <c r="MN55" s="41"/>
      <c r="MO55" s="138"/>
      <c r="MP55" s="41"/>
      <c r="MQ55" s="41"/>
      <c r="MR55" s="41"/>
      <c r="MS55" s="41"/>
      <c r="MT55" s="41"/>
      <c r="MU55" s="76"/>
      <c r="MV55" s="41"/>
      <c r="MW55" s="41"/>
      <c r="MX55" s="41"/>
      <c r="MY55" s="41"/>
      <c r="MZ55" s="41"/>
      <c r="NA55" s="42"/>
      <c r="NB55" s="40"/>
      <c r="NC55" s="66"/>
      <c r="ND55" s="66"/>
      <c r="NE55" s="66"/>
      <c r="NF55" s="41"/>
      <c r="NG55" s="133"/>
      <c r="NH55" s="41"/>
      <c r="NI55" s="41"/>
      <c r="NJ55" s="41"/>
      <c r="NK55" s="41"/>
      <c r="NL55" s="41"/>
      <c r="NM55" s="138"/>
      <c r="NN55" s="41"/>
      <c r="NO55" s="41"/>
      <c r="NP55" s="41"/>
      <c r="NQ55" s="41"/>
      <c r="NR55" s="41"/>
      <c r="NS55" s="76"/>
      <c r="NT55" s="41"/>
      <c r="NU55" s="41"/>
      <c r="NV55" s="41"/>
      <c r="NW55" s="41"/>
      <c r="NX55" s="41"/>
      <c r="NY55" s="138"/>
      <c r="NZ55" s="41"/>
      <c r="OA55" s="41"/>
      <c r="OB55" s="41"/>
      <c r="OC55" s="41"/>
      <c r="OD55" s="41"/>
      <c r="OE55" s="76"/>
      <c r="OF55" s="66"/>
      <c r="OG55" s="66"/>
      <c r="OH55" s="66"/>
      <c r="OI55" s="66"/>
      <c r="OJ55" s="41"/>
      <c r="OK55" s="138"/>
      <c r="OL55" s="41"/>
      <c r="OM55" s="41"/>
      <c r="ON55" s="41"/>
      <c r="OO55" s="41"/>
      <c r="OP55" s="41"/>
      <c r="OQ55" s="76"/>
      <c r="OR55" s="41"/>
      <c r="OS55" s="41"/>
      <c r="OT55" s="41"/>
      <c r="OU55" s="41"/>
      <c r="OV55" s="41"/>
      <c r="OW55" s="138"/>
      <c r="OX55" s="41"/>
      <c r="OY55" s="41"/>
      <c r="OZ55" s="41"/>
      <c r="PA55" s="41"/>
      <c r="PB55" s="41"/>
      <c r="PC55" s="76"/>
      <c r="PD55" s="41"/>
      <c r="PE55" s="41"/>
      <c r="PF55" s="41"/>
      <c r="PG55" s="41"/>
      <c r="PH55" s="41"/>
      <c r="PI55" s="42"/>
      <c r="PJ55" s="40"/>
      <c r="PK55" s="66"/>
      <c r="PL55" s="66"/>
      <c r="PM55" s="66"/>
      <c r="PN55" s="41"/>
      <c r="PO55" s="133"/>
      <c r="PP55" s="41"/>
      <c r="PQ55" s="41"/>
      <c r="PR55" s="41"/>
      <c r="PS55" s="41"/>
      <c r="PT55" s="41"/>
      <c r="PU55" s="138"/>
      <c r="PV55" s="41"/>
      <c r="PW55" s="41"/>
      <c r="PX55" s="41"/>
      <c r="PY55" s="41"/>
      <c r="PZ55" s="41"/>
      <c r="QA55" s="76"/>
      <c r="QB55" s="41"/>
      <c r="QC55" s="41"/>
      <c r="QD55" s="41"/>
      <c r="QE55" s="41"/>
      <c r="QF55" s="41"/>
      <c r="QG55" s="138"/>
      <c r="QH55" s="41"/>
      <c r="QI55" s="41"/>
      <c r="QJ55" s="41"/>
      <c r="QK55" s="41"/>
      <c r="QL55" s="41"/>
      <c r="QM55" s="76"/>
      <c r="QN55" s="66"/>
      <c r="QO55" s="66"/>
      <c r="QP55" s="66"/>
      <c r="QQ55" s="66"/>
      <c r="QR55" s="41"/>
      <c r="QS55" s="138"/>
      <c r="QT55" s="41"/>
      <c r="QU55" s="41"/>
      <c r="QV55" s="41"/>
      <c r="QW55" s="41"/>
      <c r="QX55" s="41"/>
      <c r="QY55" s="76"/>
      <c r="QZ55" s="41"/>
      <c r="RA55" s="41"/>
      <c r="RB55" s="41"/>
      <c r="RC55" s="41"/>
      <c r="RD55" s="41"/>
      <c r="RE55" s="138"/>
      <c r="RF55" s="41"/>
      <c r="RG55" s="41"/>
      <c r="RH55" s="41"/>
      <c r="RI55" s="41"/>
      <c r="RJ55" s="41"/>
      <c r="RK55" s="76"/>
      <c r="RL55" s="41"/>
      <c r="RM55" s="41"/>
      <c r="RN55" s="41"/>
      <c r="RO55" s="41"/>
      <c r="RP55" s="41"/>
      <c r="RQ55" s="42"/>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40"/>
      <c r="UA55" s="66"/>
      <c r="UB55" s="66"/>
      <c r="UC55" s="66"/>
      <c r="UD55" s="41"/>
      <c r="UE55" s="133"/>
      <c r="UF55" s="41"/>
      <c r="UG55" s="41"/>
      <c r="UH55" s="41"/>
      <c r="UI55" s="41"/>
      <c r="UJ55" s="41"/>
      <c r="UK55" s="138"/>
      <c r="UL55" s="41"/>
      <c r="UM55" s="41"/>
      <c r="UN55" s="41"/>
      <c r="UO55" s="41"/>
      <c r="UP55" s="41"/>
      <c r="UQ55" s="76"/>
      <c r="UR55" s="41"/>
      <c r="US55" s="41"/>
      <c r="UT55" s="41"/>
      <c r="UU55" s="41"/>
      <c r="UV55" s="41"/>
      <c r="UW55" s="138"/>
      <c r="UX55" s="41"/>
      <c r="UY55" s="41"/>
      <c r="UZ55" s="41"/>
      <c r="VA55" s="41"/>
      <c r="VB55" s="41"/>
      <c r="VC55" s="76"/>
      <c r="VD55" s="66"/>
      <c r="VE55" s="66"/>
      <c r="VF55" s="66"/>
      <c r="VG55" s="66"/>
      <c r="VH55" s="41"/>
      <c r="VI55" s="138"/>
      <c r="VJ55" s="41"/>
      <c r="VK55" s="41"/>
      <c r="VL55" s="41"/>
      <c r="VM55" s="41"/>
      <c r="VN55" s="41"/>
      <c r="VO55" s="76"/>
      <c r="VP55" s="41"/>
      <c r="VQ55" s="41"/>
      <c r="VR55" s="41"/>
      <c r="VS55" s="41"/>
      <c r="VT55" s="41"/>
      <c r="VU55" s="138"/>
      <c r="VV55" s="41"/>
      <c r="VW55" s="41"/>
      <c r="VX55" s="41"/>
      <c r="VY55" s="41"/>
      <c r="VZ55" s="41"/>
      <c r="WA55" s="76"/>
      <c r="WB55" s="41"/>
      <c r="WC55" s="41"/>
      <c r="WD55" s="41"/>
      <c r="WE55" s="41"/>
      <c r="WF55" s="41"/>
      <c r="WG55" s="42"/>
      <c r="WH55" s="40"/>
      <c r="WI55" s="66"/>
      <c r="WJ55" s="66"/>
      <c r="WK55" s="66"/>
      <c r="WL55" s="41"/>
      <c r="WM55" s="133"/>
      <c r="WN55" s="41"/>
      <c r="WO55" s="41"/>
      <c r="WP55" s="41"/>
      <c r="WQ55" s="41"/>
      <c r="WR55" s="41"/>
      <c r="WS55" s="138"/>
      <c r="WT55" s="41"/>
      <c r="WU55" s="41"/>
      <c r="WV55" s="41"/>
      <c r="WW55" s="41"/>
      <c r="WX55" s="41"/>
      <c r="WY55" s="76"/>
      <c r="WZ55" s="41"/>
      <c r="XA55" s="41"/>
      <c r="XB55" s="41"/>
      <c r="XC55" s="41"/>
      <c r="XD55" s="41"/>
      <c r="XE55" s="138"/>
      <c r="XF55" s="41"/>
      <c r="XG55" s="41"/>
      <c r="XH55" s="41"/>
      <c r="XI55" s="41"/>
      <c r="XJ55" s="41"/>
      <c r="XK55" s="76"/>
      <c r="XL55" s="66"/>
      <c r="XM55" s="66"/>
      <c r="XN55" s="66"/>
      <c r="XO55" s="66"/>
      <c r="XP55" s="41"/>
      <c r="XQ55" s="138"/>
      <c r="XR55" s="41"/>
      <c r="XS55" s="41"/>
      <c r="XT55" s="41"/>
      <c r="XU55" s="41"/>
      <c r="XV55" s="41"/>
      <c r="XW55" s="76"/>
      <c r="XX55" s="41"/>
      <c r="XY55" s="41"/>
      <c r="XZ55" s="41"/>
      <c r="YA55" s="41"/>
      <c r="YB55" s="41"/>
      <c r="YC55" s="138"/>
      <c r="YD55" s="41"/>
      <c r="YE55" s="41"/>
      <c r="YF55" s="41"/>
      <c r="YG55" s="41"/>
      <c r="YH55" s="41"/>
      <c r="YI55" s="76"/>
      <c r="YJ55" s="41"/>
      <c r="YK55" s="41"/>
      <c r="YL55" s="41"/>
      <c r="YM55" s="41"/>
      <c r="YN55" s="41"/>
      <c r="YO55" s="42"/>
      <c r="YP55" s="40"/>
      <c r="YQ55" s="66"/>
      <c r="YR55" s="66"/>
      <c r="YS55" s="66"/>
      <c r="YT55" s="41"/>
      <c r="YU55" s="133"/>
      <c r="YV55" s="41"/>
      <c r="YW55" s="41"/>
      <c r="YX55" s="41"/>
      <c r="YY55" s="41"/>
      <c r="YZ55" s="41"/>
      <c r="ZA55" s="138"/>
      <c r="ZB55" s="41"/>
      <c r="ZC55" s="41"/>
      <c r="ZD55" s="41"/>
      <c r="ZE55" s="41"/>
      <c r="ZF55" s="41"/>
      <c r="ZG55" s="76"/>
      <c r="ZH55" s="41"/>
      <c r="ZI55" s="41"/>
      <c r="ZJ55" s="41"/>
      <c r="ZK55" s="41"/>
      <c r="ZL55" s="41"/>
      <c r="ZM55" s="138"/>
      <c r="ZN55" s="41"/>
      <c r="ZO55" s="41"/>
      <c r="ZP55" s="41"/>
      <c r="ZQ55" s="41"/>
      <c r="ZR55" s="41"/>
      <c r="ZS55" s="76"/>
      <c r="ZT55" s="66"/>
      <c r="ZU55" s="66"/>
      <c r="ZV55" s="66"/>
      <c r="ZW55" s="66"/>
      <c r="ZX55" s="41"/>
      <c r="ZY55" s="138"/>
      <c r="ZZ55" s="41"/>
      <c r="AAA55" s="41"/>
      <c r="AAB55" s="41"/>
      <c r="AAC55" s="41"/>
      <c r="AAD55" s="41"/>
      <c r="AAE55" s="76"/>
      <c r="AAF55" s="41"/>
      <c r="AAG55" s="41"/>
      <c r="AAH55" s="41"/>
      <c r="AAI55" s="41"/>
      <c r="AAJ55" s="41"/>
      <c r="AAK55" s="138"/>
      <c r="AAL55" s="41"/>
      <c r="AAM55" s="41"/>
      <c r="AAN55" s="41"/>
      <c r="AAO55" s="41"/>
      <c r="AAP55" s="41"/>
      <c r="AAQ55" s="76"/>
      <c r="AAR55" s="41"/>
      <c r="AAS55" s="41"/>
      <c r="AAT55" s="41"/>
      <c r="AAU55" s="41"/>
      <c r="AAV55" s="41"/>
      <c r="AAW55" s="42"/>
      <c r="AAX55" s="40"/>
      <c r="AAY55" s="66"/>
      <c r="AAZ55" s="66"/>
      <c r="ABA55" s="66"/>
      <c r="ABB55" s="41"/>
      <c r="ABC55" s="133"/>
      <c r="ABD55" s="41"/>
      <c r="ABE55" s="41"/>
      <c r="ABF55" s="41"/>
      <c r="ABG55" s="41"/>
      <c r="ABH55" s="41"/>
      <c r="ABI55" s="138"/>
      <c r="ABJ55" s="41"/>
      <c r="ABK55" s="41"/>
      <c r="ABL55" s="41"/>
      <c r="ABM55" s="41"/>
      <c r="ABN55" s="41"/>
      <c r="ABO55" s="76"/>
      <c r="ABP55" s="41"/>
      <c r="ABQ55" s="41"/>
      <c r="ABR55" s="41"/>
      <c r="ABS55" s="41"/>
      <c r="ABT55" s="41"/>
      <c r="ABU55" s="138"/>
      <c r="ABV55" s="41"/>
      <c r="ABW55" s="41"/>
      <c r="ABX55" s="41"/>
      <c r="ABY55" s="41"/>
      <c r="ABZ55" s="41"/>
      <c r="ACA55" s="76"/>
      <c r="ACB55" s="66"/>
      <c r="ACC55" s="66"/>
      <c r="ACD55" s="66"/>
      <c r="ACE55" s="66"/>
      <c r="ACF55" s="41"/>
      <c r="ACG55" s="138"/>
      <c r="ACH55" s="41"/>
      <c r="ACI55" s="41"/>
      <c r="ACJ55" s="41"/>
      <c r="ACK55" s="41"/>
      <c r="ACL55" s="41"/>
      <c r="ACM55" s="76"/>
      <c r="ACN55" s="41"/>
      <c r="ACO55" s="41"/>
      <c r="ACP55" s="41"/>
      <c r="ACQ55" s="41"/>
      <c r="ACR55" s="41"/>
      <c r="ACS55" s="138"/>
      <c r="ACT55" s="41"/>
      <c r="ACU55" s="41"/>
      <c r="ACV55" s="41"/>
      <c r="ACW55" s="41"/>
      <c r="ACX55" s="41"/>
      <c r="ACY55" s="76"/>
      <c r="ACZ55" s="41"/>
      <c r="ADA55" s="41"/>
      <c r="ADB55" s="41"/>
      <c r="ADC55" s="41"/>
      <c r="ADD55" s="41"/>
      <c r="ADE55" s="42"/>
      <c r="ADF55" s="40"/>
      <c r="ADG55" s="66"/>
      <c r="ADH55" s="66"/>
      <c r="ADI55" s="66"/>
      <c r="ADJ55" s="41"/>
      <c r="ADK55" s="133"/>
      <c r="ADL55" s="41"/>
      <c r="ADM55" s="41"/>
      <c r="ADN55" s="41"/>
      <c r="ADO55" s="41"/>
      <c r="ADP55" s="41"/>
      <c r="ADQ55" s="138"/>
      <c r="ADR55" s="41"/>
      <c r="ADS55" s="41"/>
      <c r="ADT55" s="41"/>
      <c r="ADU55" s="41"/>
      <c r="ADV55" s="41"/>
      <c r="ADW55" s="76"/>
      <c r="ADX55" s="41"/>
      <c r="ADY55" s="41"/>
      <c r="ADZ55" s="41"/>
      <c r="AEA55" s="41"/>
      <c r="AEB55" s="41"/>
      <c r="AEC55" s="138"/>
      <c r="AED55" s="41"/>
      <c r="AEE55" s="41"/>
      <c r="AEF55" s="41"/>
      <c r="AEG55" s="41"/>
      <c r="AEH55" s="41"/>
      <c r="AEI55" s="76"/>
      <c r="AEJ55" s="66"/>
      <c r="AEK55" s="66"/>
      <c r="AEL55" s="66"/>
      <c r="AEM55" s="66"/>
      <c r="AEN55" s="41"/>
      <c r="AEO55" s="138"/>
      <c r="AEP55" s="41"/>
      <c r="AEQ55" s="41"/>
      <c r="AER55" s="41"/>
      <c r="AES55" s="41"/>
      <c r="AET55" s="41"/>
      <c r="AEU55" s="76"/>
      <c r="AEV55" s="41"/>
      <c r="AEW55" s="41"/>
      <c r="AEX55" s="41"/>
      <c r="AEY55" s="41"/>
      <c r="AEZ55" s="41"/>
      <c r="AFA55" s="138"/>
      <c r="AFB55" s="41"/>
      <c r="AFC55" s="41"/>
      <c r="AFD55" s="41"/>
      <c r="AFE55" s="41"/>
      <c r="AFF55" s="41"/>
      <c r="AFG55" s="76"/>
      <c r="AFH55" s="41"/>
      <c r="AFI55" s="41"/>
      <c r="AFJ55" s="41"/>
      <c r="AFK55" s="41"/>
      <c r="AFL55" s="41"/>
      <c r="AFM55" s="42"/>
      <c r="AFN55" s="40"/>
      <c r="AFO55" s="66"/>
      <c r="AFP55" s="66"/>
      <c r="AFQ55" s="66"/>
      <c r="AFR55" s="41"/>
      <c r="AFS55" s="133"/>
      <c r="AFT55" s="41"/>
      <c r="AFU55" s="41"/>
      <c r="AFV55" s="41"/>
      <c r="AFW55" s="41"/>
      <c r="AFX55" s="41"/>
      <c r="AFY55" s="138"/>
      <c r="AFZ55" s="41"/>
      <c r="AGA55" s="41"/>
      <c r="AGB55" s="41"/>
      <c r="AGC55" s="41"/>
      <c r="AGD55" s="41"/>
      <c r="AGE55" s="76"/>
      <c r="AGF55" s="41"/>
      <c r="AGG55" s="41"/>
      <c r="AGH55" s="41"/>
      <c r="AGI55" s="41"/>
      <c r="AGJ55" s="41"/>
      <c r="AGK55" s="138"/>
      <c r="AGL55" s="41"/>
      <c r="AGM55" s="41"/>
      <c r="AGN55" s="41"/>
      <c r="AGO55" s="41"/>
      <c r="AGP55" s="41"/>
      <c r="AGQ55" s="76"/>
      <c r="AGR55" s="66"/>
      <c r="AGS55" s="66"/>
      <c r="AGT55" s="66"/>
      <c r="AGU55" s="66"/>
      <c r="AGV55" s="41"/>
      <c r="AGW55" s="138"/>
      <c r="AGX55" s="41"/>
      <c r="AGY55" s="41"/>
      <c r="AGZ55" s="41"/>
      <c r="AHA55" s="41"/>
      <c r="AHB55" s="41"/>
      <c r="AHC55" s="76"/>
      <c r="AHD55" s="41"/>
      <c r="AHE55" s="41"/>
      <c r="AHF55" s="41"/>
      <c r="AHG55" s="41"/>
      <c r="AHH55" s="41"/>
      <c r="AHI55" s="138"/>
      <c r="AHJ55" s="41"/>
      <c r="AHK55" s="41"/>
      <c r="AHL55" s="41"/>
      <c r="AHM55" s="41"/>
      <c r="AHN55" s="41"/>
      <c r="AHO55" s="76"/>
      <c r="AHP55" s="41"/>
      <c r="AHQ55" s="41"/>
      <c r="AHR55" s="41"/>
      <c r="AHS55" s="41"/>
      <c r="AHT55" s="41"/>
      <c r="AHU55" s="42"/>
      <c r="AHV55" s="40"/>
      <c r="AHW55" s="66"/>
      <c r="AHX55" s="66"/>
      <c r="AHY55" s="66"/>
      <c r="AHZ55" s="41"/>
      <c r="AIA55" s="133"/>
      <c r="AIB55" s="41"/>
      <c r="AIC55" s="41"/>
      <c r="AID55" s="41"/>
      <c r="AIE55" s="41"/>
      <c r="AIF55" s="41"/>
      <c r="AIG55" s="138"/>
      <c r="AIH55" s="41"/>
      <c r="AII55" s="41"/>
      <c r="AIJ55" s="41"/>
      <c r="AIK55" s="41"/>
      <c r="AIL55" s="41"/>
      <c r="AIM55" s="76"/>
      <c r="AIN55" s="41"/>
      <c r="AIO55" s="41"/>
      <c r="AIP55" s="41"/>
      <c r="AIQ55" s="41"/>
      <c r="AIR55" s="41"/>
      <c r="AIS55" s="138"/>
      <c r="AIT55" s="41"/>
      <c r="AIU55" s="41"/>
      <c r="AIV55" s="41"/>
      <c r="AIW55" s="41"/>
      <c r="AIX55" s="41"/>
      <c r="AIY55" s="76"/>
      <c r="AIZ55" s="66"/>
      <c r="AJA55" s="66"/>
      <c r="AJB55" s="66"/>
      <c r="AJC55" s="66"/>
      <c r="AJD55" s="41"/>
      <c r="AJE55" s="138"/>
      <c r="AJF55" s="41"/>
      <c r="AJG55" s="41"/>
      <c r="AJH55" s="41"/>
      <c r="AJI55" s="41"/>
      <c r="AJJ55" s="41"/>
      <c r="AJK55" s="76"/>
      <c r="AJL55" s="41"/>
      <c r="AJM55" s="41"/>
      <c r="AJN55" s="41"/>
      <c r="AJO55" s="41"/>
      <c r="AJP55" s="41"/>
      <c r="AJQ55" s="138"/>
      <c r="AJR55" s="41"/>
      <c r="AJS55" s="41"/>
      <c r="AJT55" s="41"/>
      <c r="AJU55" s="41"/>
      <c r="AJV55" s="41"/>
      <c r="AJW55" s="76"/>
      <c r="AJX55" s="41"/>
      <c r="AJY55" s="41"/>
      <c r="AJZ55" s="41"/>
      <c r="AKA55" s="41"/>
      <c r="AKB55" s="41"/>
      <c r="AKC55" s="42"/>
      <c r="AKD55" s="40"/>
      <c r="AKE55" s="66"/>
      <c r="AKF55" s="66"/>
      <c r="AKG55" s="66"/>
      <c r="AKH55" s="41"/>
      <c r="AKI55" s="133"/>
      <c r="AKJ55" s="41"/>
      <c r="AKK55" s="41"/>
      <c r="AKL55" s="41"/>
      <c r="AKM55" s="41"/>
      <c r="AKN55" s="41"/>
      <c r="AKO55" s="138"/>
      <c r="AKP55" s="41"/>
      <c r="AKQ55" s="41"/>
      <c r="AKR55" s="41"/>
      <c r="AKS55" s="41"/>
      <c r="AKT55" s="41"/>
      <c r="AKU55" s="76"/>
      <c r="AKV55" s="41"/>
      <c r="AKW55" s="41"/>
      <c r="AKX55" s="41"/>
      <c r="AKY55" s="41"/>
      <c r="AKZ55" s="41"/>
      <c r="ALA55" s="138"/>
      <c r="ALB55" s="41"/>
      <c r="ALC55" s="41"/>
      <c r="ALD55" s="41"/>
      <c r="ALE55" s="41"/>
      <c r="ALF55" s="41"/>
      <c r="ALG55" s="76"/>
      <c r="ALH55" s="66"/>
      <c r="ALI55" s="66"/>
      <c r="ALJ55" s="66"/>
      <c r="ALK55" s="66"/>
      <c r="ALL55" s="41"/>
      <c r="ALM55" s="138"/>
      <c r="ALN55" s="41"/>
      <c r="ALO55" s="41"/>
      <c r="ALP55" s="41"/>
      <c r="ALQ55" s="41"/>
      <c r="ALR55" s="41"/>
      <c r="ALS55" s="76"/>
      <c r="ALT55" s="41"/>
      <c r="ALU55" s="41"/>
      <c r="ALV55" s="41"/>
      <c r="ALW55" s="41"/>
      <c r="ALX55" s="41"/>
      <c r="ALY55" s="138"/>
      <c r="ALZ55" s="41"/>
      <c r="AMA55" s="41"/>
      <c r="AMB55" s="41"/>
      <c r="AMC55" s="41"/>
      <c r="AMD55" s="41"/>
      <c r="AME55" s="76"/>
      <c r="AMF55" s="41"/>
      <c r="AMG55" s="41"/>
      <c r="AMH55" s="41"/>
      <c r="AMI55" s="41"/>
      <c r="AMJ55" s="41"/>
      <c r="AMK55" s="42"/>
      <c r="AML55" s="40"/>
      <c r="AMM55" s="66"/>
      <c r="AMN55" s="66"/>
      <c r="AMO55" s="66"/>
      <c r="AMP55" s="41"/>
      <c r="AMQ55" s="133"/>
      <c r="AMR55" s="41"/>
      <c r="AMS55" s="41"/>
      <c r="AMT55" s="41"/>
      <c r="AMU55" s="41"/>
      <c r="AMV55" s="41"/>
      <c r="AMW55" s="138"/>
      <c r="AMX55" s="41"/>
      <c r="AMY55" s="41"/>
      <c r="AMZ55" s="41"/>
      <c r="ANA55" s="41"/>
      <c r="ANB55" s="41"/>
      <c r="ANC55" s="76"/>
      <c r="AND55" s="41"/>
      <c r="ANE55" s="41"/>
      <c r="ANF55" s="41"/>
      <c r="ANG55" s="41"/>
      <c r="ANH55" s="41"/>
      <c r="ANI55" s="138"/>
      <c r="ANJ55" s="41"/>
      <c r="ANK55" s="41"/>
      <c r="ANL55" s="41"/>
      <c r="ANM55" s="41"/>
      <c r="ANN55" s="41"/>
      <c r="ANO55" s="76"/>
      <c r="ANP55" s="66"/>
      <c r="ANQ55" s="66"/>
      <c r="ANR55" s="66"/>
      <c r="ANS55" s="66"/>
      <c r="ANT55" s="41"/>
      <c r="ANU55" s="138"/>
      <c r="ANV55" s="41"/>
      <c r="ANW55" s="41"/>
      <c r="ANX55" s="41"/>
      <c r="ANY55" s="41"/>
      <c r="ANZ55" s="41"/>
      <c r="AOA55" s="76"/>
      <c r="AOB55" s="41"/>
      <c r="AOC55" s="41"/>
      <c r="AOD55" s="41"/>
      <c r="AOE55" s="41"/>
      <c r="AOF55" s="41"/>
      <c r="AOG55" s="138"/>
      <c r="AOH55" s="41"/>
      <c r="AOI55" s="41"/>
      <c r="AOJ55" s="41"/>
      <c r="AOK55" s="41"/>
      <c r="AOL55" s="41"/>
      <c r="AOM55" s="76"/>
      <c r="AON55" s="41"/>
      <c r="AOO55" s="41"/>
      <c r="AOP55" s="41"/>
      <c r="AOQ55" s="41"/>
      <c r="AOR55" s="41"/>
      <c r="AOS55" s="42"/>
      <c r="AOT55" s="40"/>
      <c r="AOU55" s="66"/>
      <c r="AOV55" s="66"/>
      <c r="AOW55" s="66"/>
      <c r="AOX55" s="41"/>
      <c r="AOY55" s="133"/>
      <c r="AOZ55" s="41"/>
      <c r="APA55" s="41"/>
      <c r="APB55" s="41"/>
      <c r="APC55" s="41"/>
      <c r="APD55" s="41"/>
      <c r="APE55" s="138"/>
      <c r="APF55" s="41"/>
      <c r="APG55" s="41"/>
      <c r="APH55" s="41"/>
      <c r="API55" s="41"/>
      <c r="APJ55" s="41"/>
      <c r="APK55" s="76"/>
      <c r="APL55" s="41"/>
      <c r="APM55" s="41"/>
      <c r="APN55" s="41"/>
      <c r="APO55" s="41"/>
      <c r="APP55" s="41"/>
      <c r="APQ55" s="138"/>
      <c r="APR55" s="41"/>
      <c r="APS55" s="41"/>
      <c r="APT55" s="41"/>
      <c r="APU55" s="41"/>
      <c r="APV55" s="41"/>
      <c r="APW55" s="76"/>
      <c r="APX55" s="66"/>
      <c r="APY55" s="66"/>
      <c r="APZ55" s="66"/>
      <c r="AQA55" s="66"/>
      <c r="AQB55" s="41"/>
      <c r="AQC55" s="138"/>
      <c r="AQD55" s="41"/>
      <c r="AQE55" s="41"/>
      <c r="AQF55" s="41"/>
      <c r="AQG55" s="41"/>
      <c r="AQH55" s="41"/>
      <c r="AQI55" s="76"/>
      <c r="AQJ55" s="41"/>
      <c r="AQK55" s="41"/>
      <c r="AQL55" s="41"/>
      <c r="AQM55" s="41"/>
      <c r="AQN55" s="41"/>
      <c r="AQO55" s="138"/>
      <c r="AQP55" s="41"/>
      <c r="AQQ55" s="41"/>
      <c r="AQR55" s="41"/>
      <c r="AQS55" s="41"/>
      <c r="AQT55" s="41"/>
      <c r="AQU55" s="76"/>
      <c r="AQV55" s="41"/>
      <c r="AQW55" s="41"/>
      <c r="AQX55" s="41"/>
      <c r="AQY55" s="41"/>
      <c r="AQZ55" s="41"/>
      <c r="ARA55" s="42"/>
      <c r="ARB55" s="40"/>
      <c r="ARC55" s="66"/>
      <c r="ARD55" s="66"/>
      <c r="ARE55" s="66"/>
      <c r="ARF55" s="41"/>
      <c r="ARG55" s="133"/>
      <c r="ARH55" s="41"/>
      <c r="ARI55" s="41"/>
      <c r="ARJ55" s="41"/>
      <c r="ARK55" s="41"/>
      <c r="ARL55" s="41"/>
      <c r="ARM55" s="138"/>
      <c r="ARN55" s="41"/>
      <c r="ARO55" s="41"/>
      <c r="ARP55" s="41"/>
      <c r="ARQ55" s="41"/>
      <c r="ARR55" s="41"/>
      <c r="ARS55" s="76"/>
      <c r="ART55" s="41"/>
      <c r="ARU55" s="41"/>
      <c r="ARV55" s="41"/>
      <c r="ARW55" s="41"/>
      <c r="ARX55" s="41"/>
      <c r="ARY55" s="138"/>
      <c r="ARZ55" s="41"/>
      <c r="ASA55" s="41"/>
      <c r="ASB55" s="41"/>
      <c r="ASC55" s="41"/>
      <c r="ASD55" s="41"/>
      <c r="ASE55" s="76"/>
      <c r="ASF55" s="66"/>
      <c r="ASG55" s="66"/>
      <c r="ASH55" s="66"/>
      <c r="ASI55" s="66"/>
      <c r="ASJ55" s="41"/>
      <c r="ASK55" s="138"/>
      <c r="ASL55" s="41"/>
      <c r="ASM55" s="41"/>
      <c r="ASN55" s="41"/>
      <c r="ASO55" s="41"/>
      <c r="ASP55" s="41"/>
      <c r="ASQ55" s="76"/>
      <c r="ASR55" s="41"/>
      <c r="ASS55" s="41"/>
      <c r="AST55" s="41"/>
      <c r="ASU55" s="41"/>
      <c r="ASV55" s="41"/>
      <c r="ASW55" s="138"/>
      <c r="ASX55" s="41"/>
      <c r="ASY55" s="41"/>
      <c r="ASZ55" s="41"/>
      <c r="ATA55" s="41"/>
      <c r="ATB55" s="41"/>
      <c r="ATC55" s="76"/>
      <c r="ATD55" s="41"/>
      <c r="ATE55" s="41"/>
      <c r="ATF55" s="41"/>
      <c r="ATG55" s="41"/>
      <c r="ATH55" s="41"/>
      <c r="ATI55" s="42"/>
      <c r="ATJ55" s="40"/>
      <c r="ATK55" s="66"/>
      <c r="ATL55" s="66"/>
      <c r="ATM55" s="66"/>
      <c r="ATN55" s="41"/>
      <c r="ATO55" s="133"/>
      <c r="ATP55" s="41"/>
      <c r="ATQ55" s="41"/>
      <c r="ATR55" s="41"/>
      <c r="ATS55" s="41"/>
      <c r="ATT55" s="41"/>
      <c r="ATU55" s="138"/>
      <c r="ATV55" s="41"/>
      <c r="ATW55" s="41"/>
      <c r="ATX55" s="41"/>
      <c r="ATY55" s="41"/>
      <c r="ATZ55" s="41"/>
      <c r="AUA55" s="76"/>
      <c r="AUB55" s="41"/>
      <c r="AUC55" s="41"/>
      <c r="AUD55" s="41"/>
      <c r="AUE55" s="41"/>
      <c r="AUF55" s="41"/>
      <c r="AUG55" s="138"/>
      <c r="AUH55" s="41"/>
      <c r="AUI55" s="41"/>
      <c r="AUJ55" s="41"/>
      <c r="AUK55" s="41"/>
      <c r="AUL55" s="41"/>
      <c r="AUM55" s="76"/>
      <c r="AUN55" s="66"/>
      <c r="AUO55" s="66"/>
      <c r="AUP55" s="66"/>
      <c r="AUQ55" s="66"/>
      <c r="AUR55" s="41"/>
      <c r="AUS55" s="138"/>
      <c r="AUT55" s="41"/>
      <c r="AUU55" s="41"/>
      <c r="AUV55" s="41"/>
      <c r="AUW55" s="41"/>
      <c r="AUX55" s="41"/>
      <c r="AUY55" s="76"/>
      <c r="AUZ55" s="41"/>
      <c r="AVA55" s="41"/>
      <c r="AVB55" s="41"/>
      <c r="AVC55" s="41"/>
      <c r="AVD55" s="41"/>
      <c r="AVE55" s="138"/>
      <c r="AVF55" s="41"/>
      <c r="AVG55" s="41"/>
      <c r="AVH55" s="41"/>
      <c r="AVI55" s="41"/>
      <c r="AVJ55" s="41"/>
      <c r="AVK55" s="76"/>
      <c r="AVL55" s="41"/>
      <c r="AVM55" s="41"/>
      <c r="AVN55" s="41"/>
      <c r="AVO55" s="41"/>
      <c r="AVP55" s="41"/>
      <c r="AVQ55" s="42"/>
      <c r="AVR55" s="40"/>
      <c r="AVS55" s="66"/>
      <c r="AVT55" s="66"/>
      <c r="AVU55" s="66"/>
      <c r="AVV55" s="41"/>
      <c r="AVW55" s="133"/>
      <c r="AVX55" s="41"/>
      <c r="AVY55" s="41"/>
      <c r="AVZ55" s="41"/>
      <c r="AWA55" s="41"/>
      <c r="AWB55" s="41"/>
      <c r="AWC55" s="138"/>
      <c r="AWD55" s="41"/>
      <c r="AWE55" s="41"/>
      <c r="AWF55" s="41"/>
      <c r="AWG55" s="41"/>
      <c r="AWH55" s="41"/>
      <c r="AWI55" s="76"/>
      <c r="AWJ55" s="41"/>
      <c r="AWK55" s="41"/>
      <c r="AWL55" s="41"/>
      <c r="AWM55" s="41"/>
      <c r="AWN55" s="41"/>
      <c r="AWO55" s="138"/>
      <c r="AWP55" s="41"/>
      <c r="AWQ55" s="41"/>
      <c r="AWR55" s="41"/>
      <c r="AWS55" s="41"/>
      <c r="AWT55" s="41"/>
      <c r="AWU55" s="76"/>
      <c r="AWV55" s="66"/>
      <c r="AWW55" s="66"/>
      <c r="AWX55" s="66"/>
      <c r="AWY55" s="66"/>
      <c r="AWZ55" s="41"/>
      <c r="AXA55" s="138"/>
      <c r="AXB55" s="41"/>
      <c r="AXC55" s="41"/>
      <c r="AXD55" s="41"/>
      <c r="AXE55" s="41"/>
      <c r="AXF55" s="41"/>
      <c r="AXG55" s="76"/>
      <c r="AXH55" s="41"/>
      <c r="AXI55" s="41"/>
      <c r="AXJ55" s="41"/>
      <c r="AXK55" s="41"/>
      <c r="AXL55" s="41"/>
      <c r="AXM55" s="138"/>
      <c r="AXN55" s="41"/>
      <c r="AXO55" s="41"/>
      <c r="AXP55" s="41"/>
      <c r="AXQ55" s="41"/>
      <c r="AXR55" s="41"/>
      <c r="AXS55" s="76"/>
      <c r="AXT55" s="41"/>
      <c r="AXU55" s="41"/>
      <c r="AXV55" s="41"/>
      <c r="AXW55" s="41"/>
      <c r="AXX55" s="41"/>
      <c r="AXY55" s="42"/>
      <c r="AXZ55" s="40"/>
      <c r="AYA55" s="66"/>
      <c r="AYB55" s="66"/>
      <c r="AYC55" s="66"/>
      <c r="AYD55" s="41"/>
      <c r="AYE55" s="133"/>
      <c r="AYF55" s="41"/>
      <c r="AYG55" s="41"/>
      <c r="AYH55" s="41"/>
      <c r="AYI55" s="41"/>
      <c r="AYJ55" s="41"/>
      <c r="AYK55" s="138"/>
      <c r="AYL55" s="41"/>
      <c r="AYM55" s="41"/>
      <c r="AYN55" s="41"/>
      <c r="AYO55" s="41"/>
      <c r="AYP55" s="41"/>
      <c r="AYQ55" s="76"/>
      <c r="AYR55" s="41"/>
      <c r="AYS55" s="41"/>
      <c r="AYT55" s="41"/>
      <c r="AYU55" s="41"/>
      <c r="AYV55" s="41"/>
      <c r="AYW55" s="138"/>
      <c r="AYX55" s="41"/>
      <c r="AYY55" s="41"/>
      <c r="AYZ55" s="41"/>
      <c r="AZA55" s="41"/>
      <c r="AZB55" s="41"/>
      <c r="AZC55" s="76"/>
      <c r="AZD55" s="66"/>
      <c r="AZE55" s="66"/>
      <c r="AZF55" s="66"/>
      <c r="AZG55" s="66"/>
      <c r="AZH55" s="41"/>
      <c r="AZI55" s="138"/>
      <c r="AZJ55" s="41"/>
      <c r="AZK55" s="41"/>
      <c r="AZL55" s="41"/>
      <c r="AZM55" s="41"/>
      <c r="AZN55" s="41"/>
      <c r="AZO55" s="76"/>
      <c r="AZP55" s="41"/>
      <c r="AZQ55" s="41"/>
      <c r="AZR55" s="41"/>
      <c r="AZS55" s="41"/>
      <c r="AZT55" s="41"/>
      <c r="AZU55" s="138"/>
      <c r="AZV55" s="41"/>
      <c r="AZW55" s="41"/>
      <c r="AZX55" s="41"/>
      <c r="AZY55" s="41"/>
      <c r="AZZ55" s="41"/>
      <c r="BAA55" s="76"/>
      <c r="BAB55" s="41"/>
      <c r="BAC55" s="41"/>
      <c r="BAD55" s="41"/>
      <c r="BAE55" s="41"/>
      <c r="BAF55" s="41"/>
      <c r="BAG55" s="42"/>
      <c r="BAH55" s="40"/>
      <c r="BAI55" s="66"/>
      <c r="BAJ55" s="66"/>
      <c r="BAK55" s="66"/>
      <c r="BAL55" s="41"/>
      <c r="BAM55" s="133"/>
      <c r="BAN55" s="41"/>
      <c r="BAO55" s="41"/>
      <c r="BAP55" s="41"/>
      <c r="BAQ55" s="41"/>
      <c r="BAR55" s="41"/>
      <c r="BAS55" s="138"/>
      <c r="BAT55" s="41"/>
      <c r="BAU55" s="41"/>
      <c r="BAV55" s="41"/>
      <c r="BAW55" s="41"/>
      <c r="BAX55" s="41"/>
      <c r="BAY55" s="76"/>
      <c r="BAZ55" s="41"/>
      <c r="BBA55" s="41"/>
      <c r="BBB55" s="41"/>
      <c r="BBC55" s="41"/>
      <c r="BBD55" s="41"/>
      <c r="BBE55" s="138"/>
      <c r="BBF55" s="41"/>
      <c r="BBG55" s="41"/>
      <c r="BBH55" s="41"/>
      <c r="BBI55" s="41"/>
      <c r="BBJ55" s="41"/>
      <c r="BBK55" s="76"/>
      <c r="BBL55" s="66"/>
      <c r="BBM55" s="66"/>
      <c r="BBN55" s="66"/>
      <c r="BBO55" s="66"/>
      <c r="BBP55" s="41"/>
      <c r="BBQ55" s="138"/>
      <c r="BBR55" s="41"/>
      <c r="BBS55" s="41"/>
      <c r="BBT55" s="41"/>
      <c r="BBU55" s="41"/>
      <c r="BBV55" s="41"/>
      <c r="BBW55" s="76"/>
      <c r="BBX55" s="41"/>
      <c r="BBY55" s="41"/>
      <c r="BBZ55" s="41"/>
      <c r="BCA55" s="41"/>
      <c r="BCB55" s="41"/>
      <c r="BCC55" s="138"/>
      <c r="BCD55" s="41"/>
      <c r="BCE55" s="41"/>
      <c r="BCF55" s="41"/>
      <c r="BCG55" s="41"/>
      <c r="BCH55" s="41"/>
      <c r="BCI55" s="76"/>
      <c r="BCJ55" s="41"/>
      <c r="BCK55" s="41"/>
      <c r="BCL55" s="41"/>
      <c r="BCM55" s="41"/>
      <c r="BCN55" s="41"/>
      <c r="BCO55" s="42"/>
      <c r="BCP55" s="40"/>
      <c r="BCQ55" s="66"/>
      <c r="BCR55" s="66"/>
      <c r="BCS55" s="66"/>
      <c r="BCT55" s="41"/>
      <c r="BCU55" s="133"/>
      <c r="BCV55" s="41"/>
      <c r="BCW55" s="41"/>
      <c r="BCX55" s="41"/>
      <c r="BCY55" s="41"/>
      <c r="BCZ55" s="41"/>
      <c r="BDA55" s="138"/>
      <c r="BDB55" s="41"/>
      <c r="BDC55" s="41"/>
      <c r="BDD55" s="41"/>
      <c r="BDE55" s="41"/>
      <c r="BDF55" s="41"/>
      <c r="BDG55" s="76"/>
      <c r="BDH55" s="41"/>
      <c r="BDI55" s="41"/>
      <c r="BDJ55" s="41"/>
      <c r="BDK55" s="41"/>
      <c r="BDL55" s="41"/>
      <c r="BDM55" s="138"/>
      <c r="BDN55" s="41"/>
      <c r="BDO55" s="41"/>
      <c r="BDP55" s="41"/>
      <c r="BDQ55" s="41"/>
      <c r="BDR55" s="41"/>
      <c r="BDS55" s="76"/>
      <c r="BDT55" s="66"/>
      <c r="BDU55" s="66"/>
      <c r="BDV55" s="66"/>
      <c r="BDW55" s="66"/>
      <c r="BDX55" s="41"/>
      <c r="BDY55" s="138"/>
      <c r="BDZ55" s="41"/>
      <c r="BEA55" s="41"/>
      <c r="BEB55" s="41"/>
      <c r="BEC55" s="41"/>
      <c r="BED55" s="41"/>
      <c r="BEE55" s="76"/>
      <c r="BEF55" s="41"/>
      <c r="BEG55" s="41"/>
      <c r="BEH55" s="41"/>
      <c r="BEI55" s="41"/>
      <c r="BEJ55" s="41"/>
      <c r="BEK55" s="138"/>
      <c r="BEL55" s="41"/>
      <c r="BEM55" s="41"/>
      <c r="BEN55" s="41"/>
      <c r="BEO55" s="41"/>
      <c r="BEP55" s="41"/>
      <c r="BEQ55" s="76"/>
      <c r="BER55" s="41"/>
      <c r="BES55" s="41"/>
      <c r="BET55" s="41"/>
      <c r="BEU55" s="41"/>
      <c r="BEV55" s="41"/>
      <c r="BEW55" s="42"/>
      <c r="BEX55" s="40"/>
      <c r="BEY55" s="66"/>
      <c r="BEZ55" s="66"/>
      <c r="BFA55" s="66"/>
      <c r="BFB55" s="41"/>
      <c r="BFC55" s="133"/>
      <c r="BFD55" s="41"/>
      <c r="BFE55" s="41"/>
      <c r="BFF55" s="41"/>
      <c r="BFG55" s="41"/>
      <c r="BFH55" s="41"/>
      <c r="BFI55" s="138"/>
      <c r="BFJ55" s="41"/>
      <c r="BFK55" s="41"/>
      <c r="BFL55" s="41"/>
      <c r="BFM55" s="41"/>
      <c r="BFN55" s="41"/>
      <c r="BFO55" s="76"/>
      <c r="BFP55" s="41"/>
      <c r="BFQ55" s="41"/>
      <c r="BFR55" s="41"/>
      <c r="BFS55" s="41"/>
      <c r="BFT55" s="41"/>
      <c r="BFU55" s="138"/>
      <c r="BFV55" s="41"/>
      <c r="BFW55" s="41"/>
      <c r="BFX55" s="41"/>
      <c r="BFY55" s="41"/>
      <c r="BFZ55" s="41"/>
      <c r="BGA55" s="76"/>
      <c r="BGB55" s="66"/>
      <c r="BGC55" s="66"/>
      <c r="BGD55" s="66"/>
      <c r="BGE55" s="66"/>
      <c r="BGF55" s="41"/>
      <c r="BGG55" s="138"/>
      <c r="BGH55" s="41"/>
      <c r="BGI55" s="41"/>
      <c r="BGJ55" s="41"/>
      <c r="BGK55" s="41"/>
      <c r="BGL55" s="41"/>
      <c r="BGM55" s="76"/>
      <c r="BGN55" s="41"/>
      <c r="BGO55" s="41"/>
      <c r="BGP55" s="41"/>
      <c r="BGQ55" s="41"/>
      <c r="BGR55" s="41"/>
      <c r="BGS55" s="138"/>
      <c r="BGT55" s="41"/>
      <c r="BGU55" s="41"/>
      <c r="BGV55" s="41"/>
      <c r="BGW55" s="41"/>
      <c r="BGX55" s="41"/>
      <c r="BGY55" s="76"/>
      <c r="BGZ55" s="41"/>
      <c r="BHA55" s="41"/>
      <c r="BHB55" s="41"/>
      <c r="BHC55" s="41"/>
      <c r="BHD55" s="41"/>
      <c r="BHE55" s="42"/>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x14ac:dyDescent="0.25">
      <c r="A56" s="100" t="s">
        <v>21</v>
      </c>
      <c r="B56" s="63"/>
      <c r="C56" s="236"/>
      <c r="D56" s="146" t="str">
        <f t="shared" si="0"/>
        <v>0h</v>
      </c>
      <c r="E56" s="27">
        <v>0</v>
      </c>
      <c r="F56" s="28"/>
      <c r="G56" s="67"/>
      <c r="H56" s="67"/>
      <c r="I56" s="67"/>
      <c r="J56" s="29"/>
      <c r="K56" s="130"/>
      <c r="L56" s="29"/>
      <c r="M56" s="29"/>
      <c r="N56" s="29"/>
      <c r="O56" s="29"/>
      <c r="P56" s="29"/>
      <c r="Q56" s="135"/>
      <c r="R56" s="29"/>
      <c r="S56" s="29"/>
      <c r="T56" s="29"/>
      <c r="U56" s="29"/>
      <c r="V56" s="29"/>
      <c r="W56" s="73"/>
      <c r="X56" s="29"/>
      <c r="Y56" s="29"/>
      <c r="Z56" s="29"/>
      <c r="AA56" s="29"/>
      <c r="AB56" s="29"/>
      <c r="AC56" s="135"/>
      <c r="AD56" s="29"/>
      <c r="AE56" s="29"/>
      <c r="AF56" s="29"/>
      <c r="AG56" s="29"/>
      <c r="AH56" s="29"/>
      <c r="AI56" s="73"/>
      <c r="AJ56" s="67"/>
      <c r="AK56" s="67"/>
      <c r="AL56" s="67"/>
      <c r="AM56" s="67"/>
      <c r="AN56" s="29"/>
      <c r="AO56" s="135"/>
      <c r="AP56" s="29"/>
      <c r="AQ56" s="29"/>
      <c r="AR56" s="29"/>
      <c r="AS56" s="29"/>
      <c r="AT56" s="29"/>
      <c r="AU56" s="73"/>
      <c r="AV56" s="29"/>
      <c r="AW56" s="29"/>
      <c r="AX56" s="29"/>
      <c r="AY56" s="29"/>
      <c r="AZ56" s="29"/>
      <c r="BA56" s="135"/>
      <c r="BB56" s="29"/>
      <c r="BC56" s="29"/>
      <c r="BD56" s="29"/>
      <c r="BE56" s="29"/>
      <c r="BF56" s="29"/>
      <c r="BG56" s="73"/>
      <c r="BH56" s="29"/>
      <c r="BI56" s="29"/>
      <c r="BJ56" s="29"/>
      <c r="BK56" s="29"/>
      <c r="BL56" s="29"/>
      <c r="BM56" s="30"/>
      <c r="BN56" s="28"/>
      <c r="BO56" s="67"/>
      <c r="BP56" s="67"/>
      <c r="BQ56" s="67"/>
      <c r="BR56" s="29"/>
      <c r="BS56" s="130"/>
      <c r="BT56" s="29"/>
      <c r="BU56" s="29"/>
      <c r="BV56" s="29"/>
      <c r="BW56" s="29"/>
      <c r="BX56" s="29"/>
      <c r="BY56" s="135"/>
      <c r="BZ56" s="29"/>
      <c r="CA56" s="29"/>
      <c r="CB56" s="29"/>
      <c r="CC56" s="29"/>
      <c r="CD56" s="29"/>
      <c r="CE56" s="73"/>
      <c r="CF56" s="29"/>
      <c r="CG56" s="29"/>
      <c r="CH56" s="29"/>
      <c r="CI56" s="29"/>
      <c r="CJ56" s="29"/>
      <c r="CK56" s="135"/>
      <c r="CL56" s="29"/>
      <c r="CM56" s="29"/>
      <c r="CN56" s="29"/>
      <c r="CO56" s="29"/>
      <c r="CP56" s="29"/>
      <c r="CQ56" s="73"/>
      <c r="CR56" s="67"/>
      <c r="CS56" s="67"/>
      <c r="CT56" s="67"/>
      <c r="CU56" s="67"/>
      <c r="CV56" s="29"/>
      <c r="CW56" s="135"/>
      <c r="CX56" s="29"/>
      <c r="CY56" s="29"/>
      <c r="CZ56" s="29"/>
      <c r="DA56" s="29"/>
      <c r="DB56" s="29"/>
      <c r="DC56" s="73"/>
      <c r="DD56" s="29"/>
      <c r="DE56" s="29"/>
      <c r="DF56" s="29"/>
      <c r="DG56" s="29"/>
      <c r="DH56" s="29"/>
      <c r="DI56" s="135"/>
      <c r="DJ56" s="29"/>
      <c r="DK56" s="29"/>
      <c r="DL56" s="29"/>
      <c r="DM56" s="29"/>
      <c r="DN56" s="29"/>
      <c r="DO56" s="73"/>
      <c r="DP56" s="29"/>
      <c r="DQ56" s="29"/>
      <c r="DR56" s="29"/>
      <c r="DS56" s="29"/>
      <c r="DT56" s="29"/>
      <c r="DU56" s="30"/>
      <c r="DV56" s="28"/>
      <c r="DW56" s="67"/>
      <c r="DX56" s="67"/>
      <c r="DY56" s="67"/>
      <c r="DZ56" s="29"/>
      <c r="EA56" s="130"/>
      <c r="EB56" s="29"/>
      <c r="EC56" s="29"/>
      <c r="ED56" s="29"/>
      <c r="EE56" s="29"/>
      <c r="EF56" s="29"/>
      <c r="EG56" s="135"/>
      <c r="EH56" s="29"/>
      <c r="EI56" s="29"/>
      <c r="EJ56" s="29"/>
      <c r="EK56" s="29"/>
      <c r="EL56" s="29"/>
      <c r="EM56" s="73"/>
      <c r="EN56" s="29"/>
      <c r="EO56" s="29"/>
      <c r="EP56" s="29"/>
      <c r="EQ56" s="29"/>
      <c r="ER56" s="29"/>
      <c r="ES56" s="135"/>
      <c r="ET56" s="29"/>
      <c r="EU56" s="29"/>
      <c r="EV56" s="29"/>
      <c r="EW56" s="29"/>
      <c r="EX56" s="29"/>
      <c r="EY56" s="73"/>
      <c r="EZ56" s="67"/>
      <c r="FA56" s="67"/>
      <c r="FB56" s="67"/>
      <c r="FC56" s="67"/>
      <c r="FD56" s="29"/>
      <c r="FE56" s="135"/>
      <c r="FF56" s="29"/>
      <c r="FG56" s="29"/>
      <c r="FH56" s="29"/>
      <c r="FI56" s="29"/>
      <c r="FJ56" s="29"/>
      <c r="FK56" s="73"/>
      <c r="FL56" s="29"/>
      <c r="FM56" s="29"/>
      <c r="FN56" s="29"/>
      <c r="FO56" s="29"/>
      <c r="FP56" s="29"/>
      <c r="FQ56" s="135"/>
      <c r="FR56" s="29"/>
      <c r="FS56" s="29"/>
      <c r="FT56" s="29"/>
      <c r="FU56" s="29"/>
      <c r="FV56" s="29"/>
      <c r="FW56" s="73"/>
      <c r="FX56" s="29"/>
      <c r="FY56" s="29"/>
      <c r="FZ56" s="29"/>
      <c r="GA56" s="29"/>
      <c r="GB56" s="29"/>
      <c r="GC56" s="30"/>
      <c r="GD56" s="28"/>
      <c r="GE56" s="67"/>
      <c r="GF56" s="67"/>
      <c r="GG56" s="67"/>
      <c r="GH56" s="29"/>
      <c r="GI56" s="130"/>
      <c r="GJ56" s="29"/>
      <c r="GK56" s="29"/>
      <c r="GL56" s="29"/>
      <c r="GM56" s="29"/>
      <c r="GN56" s="29"/>
      <c r="GO56" s="135"/>
      <c r="GP56" s="29"/>
      <c r="GQ56" s="29"/>
      <c r="GR56" s="29"/>
      <c r="GS56" s="29"/>
      <c r="GT56" s="29"/>
      <c r="GU56" s="73"/>
      <c r="GV56" s="29"/>
      <c r="GW56" s="29"/>
      <c r="GX56" s="29"/>
      <c r="GY56" s="29"/>
      <c r="GZ56" s="29"/>
      <c r="HA56" s="135"/>
      <c r="HB56" s="29"/>
      <c r="HC56" s="29"/>
      <c r="HD56" s="29"/>
      <c r="HE56" s="29"/>
      <c r="HF56" s="29"/>
      <c r="HG56" s="73"/>
      <c r="HH56" s="67"/>
      <c r="HI56" s="67"/>
      <c r="HJ56" s="67"/>
      <c r="HK56" s="67"/>
      <c r="HL56" s="29"/>
      <c r="HM56" s="135"/>
      <c r="HN56" s="29"/>
      <c r="HO56" s="29"/>
      <c r="HP56" s="29"/>
      <c r="HQ56" s="29"/>
      <c r="HR56" s="29"/>
      <c r="HS56" s="73"/>
      <c r="HT56" s="29"/>
      <c r="HU56" s="29"/>
      <c r="HV56" s="29"/>
      <c r="HW56" s="29"/>
      <c r="HX56" s="29"/>
      <c r="HY56" s="135"/>
      <c r="HZ56" s="29"/>
      <c r="IA56" s="29"/>
      <c r="IB56" s="29"/>
      <c r="IC56" s="29"/>
      <c r="ID56" s="29"/>
      <c r="IE56" s="73"/>
      <c r="IF56" s="29"/>
      <c r="IG56" s="29"/>
      <c r="IH56" s="29"/>
      <c r="II56" s="29"/>
      <c r="IJ56" s="29"/>
      <c r="IK56" s="30"/>
      <c r="IL56" s="28"/>
      <c r="IM56" s="67"/>
      <c r="IN56" s="67"/>
      <c r="IO56" s="67"/>
      <c r="IP56" s="29"/>
      <c r="IQ56" s="130"/>
      <c r="IR56" s="29"/>
      <c r="IS56" s="29"/>
      <c r="IT56" s="29"/>
      <c r="IU56" s="29"/>
      <c r="IV56" s="29"/>
      <c r="IW56" s="135"/>
      <c r="IX56" s="29"/>
      <c r="IY56" s="29"/>
      <c r="IZ56" s="29"/>
      <c r="JA56" s="29"/>
      <c r="JB56" s="29"/>
      <c r="JC56" s="73"/>
      <c r="JD56" s="29"/>
      <c r="JE56" s="29"/>
      <c r="JF56" s="29"/>
      <c r="JG56" s="29"/>
      <c r="JH56" s="29"/>
      <c r="JI56" s="135"/>
      <c r="JJ56" s="29"/>
      <c r="JK56" s="29"/>
      <c r="JL56" s="29"/>
      <c r="JM56" s="29"/>
      <c r="JN56" s="29"/>
      <c r="JO56" s="73"/>
      <c r="JP56" s="67"/>
      <c r="JQ56" s="67"/>
      <c r="JR56" s="67"/>
      <c r="JS56" s="67"/>
      <c r="JT56" s="29"/>
      <c r="JU56" s="135"/>
      <c r="JV56" s="29"/>
      <c r="JW56" s="29"/>
      <c r="JX56" s="29"/>
      <c r="JY56" s="29"/>
      <c r="JZ56" s="29"/>
      <c r="KA56" s="73"/>
      <c r="KB56" s="29"/>
      <c r="KC56" s="29"/>
      <c r="KD56" s="29"/>
      <c r="KE56" s="29"/>
      <c r="KF56" s="29"/>
      <c r="KG56" s="135"/>
      <c r="KH56" s="29"/>
      <c r="KI56" s="29"/>
      <c r="KJ56" s="29"/>
      <c r="KK56" s="29"/>
      <c r="KL56" s="29"/>
      <c r="KM56" s="73"/>
      <c r="KN56" s="29"/>
      <c r="KO56" s="29"/>
      <c r="KP56" s="29"/>
      <c r="KQ56" s="29"/>
      <c r="KR56" s="29"/>
      <c r="KS56" s="30"/>
      <c r="KT56" s="28"/>
      <c r="KU56" s="67"/>
      <c r="KV56" s="67"/>
      <c r="KW56" s="67"/>
      <c r="KX56" s="29"/>
      <c r="KY56" s="130"/>
      <c r="KZ56" s="29"/>
      <c r="LA56" s="29"/>
      <c r="LB56" s="29"/>
      <c r="LC56" s="29"/>
      <c r="LD56" s="29"/>
      <c r="LE56" s="135"/>
      <c r="LF56" s="29"/>
      <c r="LG56" s="29"/>
      <c r="LH56" s="29"/>
      <c r="LI56" s="29"/>
      <c r="LJ56" s="29"/>
      <c r="LK56" s="73"/>
      <c r="LL56" s="29"/>
      <c r="LM56" s="29"/>
      <c r="LN56" s="29"/>
      <c r="LO56" s="29"/>
      <c r="LP56" s="29"/>
      <c r="LQ56" s="135"/>
      <c r="LR56" s="29"/>
      <c r="LS56" s="29"/>
      <c r="LT56" s="29"/>
      <c r="LU56" s="29"/>
      <c r="LV56" s="29"/>
      <c r="LW56" s="73"/>
      <c r="LX56" s="67"/>
      <c r="LY56" s="67"/>
      <c r="LZ56" s="67"/>
      <c r="MA56" s="67"/>
      <c r="MB56" s="29"/>
      <c r="MC56" s="135"/>
      <c r="MD56" s="29"/>
      <c r="ME56" s="29"/>
      <c r="MF56" s="29"/>
      <c r="MG56" s="29"/>
      <c r="MH56" s="29"/>
      <c r="MI56" s="73"/>
      <c r="MJ56" s="29"/>
      <c r="MK56" s="29"/>
      <c r="ML56" s="29"/>
      <c r="MM56" s="29"/>
      <c r="MN56" s="29"/>
      <c r="MO56" s="135"/>
      <c r="MP56" s="29"/>
      <c r="MQ56" s="29"/>
      <c r="MR56" s="29"/>
      <c r="MS56" s="29"/>
      <c r="MT56" s="29"/>
      <c r="MU56" s="73"/>
      <c r="MV56" s="29"/>
      <c r="MW56" s="29"/>
      <c r="MX56" s="29"/>
      <c r="MY56" s="29"/>
      <c r="MZ56" s="29"/>
      <c r="NA56" s="30"/>
      <c r="NB56" s="28"/>
      <c r="NC56" s="67"/>
      <c r="ND56" s="67"/>
      <c r="NE56" s="67"/>
      <c r="NF56" s="29"/>
      <c r="NG56" s="130"/>
      <c r="NH56" s="29"/>
      <c r="NI56" s="29"/>
      <c r="NJ56" s="29"/>
      <c r="NK56" s="29"/>
      <c r="NL56" s="29"/>
      <c r="NM56" s="135"/>
      <c r="NN56" s="29"/>
      <c r="NO56" s="29"/>
      <c r="NP56" s="29"/>
      <c r="NQ56" s="29"/>
      <c r="NR56" s="29"/>
      <c r="NS56" s="73"/>
      <c r="NT56" s="29"/>
      <c r="NU56" s="29"/>
      <c r="NV56" s="29"/>
      <c r="NW56" s="29"/>
      <c r="NX56" s="29"/>
      <c r="NY56" s="135"/>
      <c r="NZ56" s="29"/>
      <c r="OA56" s="29"/>
      <c r="OB56" s="29"/>
      <c r="OC56" s="29"/>
      <c r="OD56" s="29"/>
      <c r="OE56" s="73"/>
      <c r="OF56" s="67"/>
      <c r="OG56" s="67"/>
      <c r="OH56" s="67"/>
      <c r="OI56" s="67"/>
      <c r="OJ56" s="29"/>
      <c r="OK56" s="135"/>
      <c r="OL56" s="29"/>
      <c r="OM56" s="29"/>
      <c r="ON56" s="29"/>
      <c r="OO56" s="29"/>
      <c r="OP56" s="29"/>
      <c r="OQ56" s="73"/>
      <c r="OR56" s="29"/>
      <c r="OS56" s="29"/>
      <c r="OT56" s="29"/>
      <c r="OU56" s="29"/>
      <c r="OV56" s="29"/>
      <c r="OW56" s="135"/>
      <c r="OX56" s="29"/>
      <c r="OY56" s="29"/>
      <c r="OZ56" s="29"/>
      <c r="PA56" s="29"/>
      <c r="PB56" s="29"/>
      <c r="PC56" s="73"/>
      <c r="PD56" s="29"/>
      <c r="PE56" s="29"/>
      <c r="PF56" s="29"/>
      <c r="PG56" s="29"/>
      <c r="PH56" s="29"/>
      <c r="PI56" s="30"/>
      <c r="PJ56" s="28"/>
      <c r="PK56" s="67"/>
      <c r="PL56" s="67"/>
      <c r="PM56" s="67"/>
      <c r="PN56" s="29"/>
      <c r="PO56" s="130"/>
      <c r="PP56" s="29"/>
      <c r="PQ56" s="29"/>
      <c r="PR56" s="29"/>
      <c r="PS56" s="29"/>
      <c r="PT56" s="29"/>
      <c r="PU56" s="135"/>
      <c r="PV56" s="29"/>
      <c r="PW56" s="29"/>
      <c r="PX56" s="29"/>
      <c r="PY56" s="29"/>
      <c r="PZ56" s="29"/>
      <c r="QA56" s="73"/>
      <c r="QB56" s="29"/>
      <c r="QC56" s="29"/>
      <c r="QD56" s="29"/>
      <c r="QE56" s="29"/>
      <c r="QF56" s="29"/>
      <c r="QG56" s="135"/>
      <c r="QH56" s="29"/>
      <c r="QI56" s="29"/>
      <c r="QJ56" s="29"/>
      <c r="QK56" s="29"/>
      <c r="QL56" s="29"/>
      <c r="QM56" s="73"/>
      <c r="QN56" s="67"/>
      <c r="QO56" s="67"/>
      <c r="QP56" s="67"/>
      <c r="QQ56" s="67"/>
      <c r="QR56" s="29"/>
      <c r="QS56" s="135"/>
      <c r="QT56" s="29"/>
      <c r="QU56" s="29"/>
      <c r="QV56" s="29"/>
      <c r="QW56" s="29"/>
      <c r="QX56" s="29"/>
      <c r="QY56" s="73"/>
      <c r="QZ56" s="29"/>
      <c r="RA56" s="29"/>
      <c r="RB56" s="29"/>
      <c r="RC56" s="29"/>
      <c r="RD56" s="29"/>
      <c r="RE56" s="135"/>
      <c r="RF56" s="29"/>
      <c r="RG56" s="29"/>
      <c r="RH56" s="29"/>
      <c r="RI56" s="29"/>
      <c r="RJ56" s="29"/>
      <c r="RK56" s="73"/>
      <c r="RL56" s="29"/>
      <c r="RM56" s="29"/>
      <c r="RN56" s="29"/>
      <c r="RO56" s="29"/>
      <c r="RP56" s="29"/>
      <c r="RQ56" s="30"/>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28"/>
      <c r="UA56" s="67"/>
      <c r="UB56" s="67"/>
      <c r="UC56" s="67"/>
      <c r="UD56" s="29"/>
      <c r="UE56" s="130"/>
      <c r="UF56" s="29"/>
      <c r="UG56" s="29"/>
      <c r="UH56" s="29"/>
      <c r="UI56" s="29"/>
      <c r="UJ56" s="29"/>
      <c r="UK56" s="135"/>
      <c r="UL56" s="29"/>
      <c r="UM56" s="29"/>
      <c r="UN56" s="29"/>
      <c r="UO56" s="29"/>
      <c r="UP56" s="29"/>
      <c r="UQ56" s="73"/>
      <c r="UR56" s="29"/>
      <c r="US56" s="29"/>
      <c r="UT56" s="29"/>
      <c r="UU56" s="29"/>
      <c r="UV56" s="29"/>
      <c r="UW56" s="135"/>
      <c r="UX56" s="29"/>
      <c r="UY56" s="29"/>
      <c r="UZ56" s="29"/>
      <c r="VA56" s="29"/>
      <c r="VB56" s="29"/>
      <c r="VC56" s="73"/>
      <c r="VD56" s="67"/>
      <c r="VE56" s="67"/>
      <c r="VF56" s="67"/>
      <c r="VG56" s="67"/>
      <c r="VH56" s="29"/>
      <c r="VI56" s="135"/>
      <c r="VJ56" s="29"/>
      <c r="VK56" s="29"/>
      <c r="VL56" s="29"/>
      <c r="VM56" s="29"/>
      <c r="VN56" s="29"/>
      <c r="VO56" s="73"/>
      <c r="VP56" s="29"/>
      <c r="VQ56" s="29"/>
      <c r="VR56" s="29"/>
      <c r="VS56" s="29"/>
      <c r="VT56" s="29"/>
      <c r="VU56" s="135"/>
      <c r="VV56" s="29"/>
      <c r="VW56" s="29"/>
      <c r="VX56" s="29"/>
      <c r="VY56" s="29"/>
      <c r="VZ56" s="29"/>
      <c r="WA56" s="73"/>
      <c r="WB56" s="29"/>
      <c r="WC56" s="29"/>
      <c r="WD56" s="29"/>
      <c r="WE56" s="29"/>
      <c r="WF56" s="29"/>
      <c r="WG56" s="30"/>
      <c r="WH56" s="28"/>
      <c r="WI56" s="67"/>
      <c r="WJ56" s="67"/>
      <c r="WK56" s="67"/>
      <c r="WL56" s="29"/>
      <c r="WM56" s="130"/>
      <c r="WN56" s="29"/>
      <c r="WO56" s="29"/>
      <c r="WP56" s="29"/>
      <c r="WQ56" s="29"/>
      <c r="WR56" s="29"/>
      <c r="WS56" s="135"/>
      <c r="WT56" s="29"/>
      <c r="WU56" s="29"/>
      <c r="WV56" s="29"/>
      <c r="WW56" s="29"/>
      <c r="WX56" s="29"/>
      <c r="WY56" s="73"/>
      <c r="WZ56" s="29"/>
      <c r="XA56" s="29"/>
      <c r="XB56" s="29"/>
      <c r="XC56" s="29"/>
      <c r="XD56" s="29"/>
      <c r="XE56" s="135"/>
      <c r="XF56" s="29"/>
      <c r="XG56" s="29"/>
      <c r="XH56" s="29"/>
      <c r="XI56" s="29"/>
      <c r="XJ56" s="29"/>
      <c r="XK56" s="73"/>
      <c r="XL56" s="67"/>
      <c r="XM56" s="67"/>
      <c r="XN56" s="67"/>
      <c r="XO56" s="67"/>
      <c r="XP56" s="29"/>
      <c r="XQ56" s="135"/>
      <c r="XR56" s="29"/>
      <c r="XS56" s="29"/>
      <c r="XT56" s="29"/>
      <c r="XU56" s="29"/>
      <c r="XV56" s="29"/>
      <c r="XW56" s="73"/>
      <c r="XX56" s="29"/>
      <c r="XY56" s="29"/>
      <c r="XZ56" s="29"/>
      <c r="YA56" s="29"/>
      <c r="YB56" s="29"/>
      <c r="YC56" s="135"/>
      <c r="YD56" s="29"/>
      <c r="YE56" s="29"/>
      <c r="YF56" s="29"/>
      <c r="YG56" s="29"/>
      <c r="YH56" s="29"/>
      <c r="YI56" s="73"/>
      <c r="YJ56" s="29"/>
      <c r="YK56" s="29"/>
      <c r="YL56" s="29"/>
      <c r="YM56" s="29"/>
      <c r="YN56" s="29"/>
      <c r="YO56" s="30"/>
      <c r="YP56" s="28"/>
      <c r="YQ56" s="67"/>
      <c r="YR56" s="67"/>
      <c r="YS56" s="67"/>
      <c r="YT56" s="29"/>
      <c r="YU56" s="130"/>
      <c r="YV56" s="29"/>
      <c r="YW56" s="29"/>
      <c r="YX56" s="29"/>
      <c r="YY56" s="29"/>
      <c r="YZ56" s="29"/>
      <c r="ZA56" s="135"/>
      <c r="ZB56" s="29"/>
      <c r="ZC56" s="29"/>
      <c r="ZD56" s="29"/>
      <c r="ZE56" s="29"/>
      <c r="ZF56" s="29"/>
      <c r="ZG56" s="73"/>
      <c r="ZH56" s="29"/>
      <c r="ZI56" s="29"/>
      <c r="ZJ56" s="29"/>
      <c r="ZK56" s="29"/>
      <c r="ZL56" s="29"/>
      <c r="ZM56" s="135"/>
      <c r="ZN56" s="29"/>
      <c r="ZO56" s="29"/>
      <c r="ZP56" s="29"/>
      <c r="ZQ56" s="29"/>
      <c r="ZR56" s="29"/>
      <c r="ZS56" s="73"/>
      <c r="ZT56" s="67"/>
      <c r="ZU56" s="67"/>
      <c r="ZV56" s="67"/>
      <c r="ZW56" s="67"/>
      <c r="ZX56" s="29"/>
      <c r="ZY56" s="135"/>
      <c r="ZZ56" s="29"/>
      <c r="AAA56" s="29"/>
      <c r="AAB56" s="29"/>
      <c r="AAC56" s="29"/>
      <c r="AAD56" s="29"/>
      <c r="AAE56" s="73"/>
      <c r="AAF56" s="29"/>
      <c r="AAG56" s="29"/>
      <c r="AAH56" s="29"/>
      <c r="AAI56" s="29"/>
      <c r="AAJ56" s="29"/>
      <c r="AAK56" s="135"/>
      <c r="AAL56" s="29"/>
      <c r="AAM56" s="29"/>
      <c r="AAN56" s="29"/>
      <c r="AAO56" s="29"/>
      <c r="AAP56" s="29"/>
      <c r="AAQ56" s="73"/>
      <c r="AAR56" s="29"/>
      <c r="AAS56" s="29"/>
      <c r="AAT56" s="29"/>
      <c r="AAU56" s="29"/>
      <c r="AAV56" s="29"/>
      <c r="AAW56" s="30"/>
      <c r="AAX56" s="28"/>
      <c r="AAY56" s="67"/>
      <c r="AAZ56" s="67"/>
      <c r="ABA56" s="67"/>
      <c r="ABB56" s="29"/>
      <c r="ABC56" s="130"/>
      <c r="ABD56" s="29"/>
      <c r="ABE56" s="29"/>
      <c r="ABF56" s="29"/>
      <c r="ABG56" s="29"/>
      <c r="ABH56" s="29"/>
      <c r="ABI56" s="135"/>
      <c r="ABJ56" s="29"/>
      <c r="ABK56" s="29"/>
      <c r="ABL56" s="29"/>
      <c r="ABM56" s="29"/>
      <c r="ABN56" s="29"/>
      <c r="ABO56" s="73"/>
      <c r="ABP56" s="29"/>
      <c r="ABQ56" s="29"/>
      <c r="ABR56" s="29"/>
      <c r="ABS56" s="29"/>
      <c r="ABT56" s="29"/>
      <c r="ABU56" s="135"/>
      <c r="ABV56" s="29"/>
      <c r="ABW56" s="29"/>
      <c r="ABX56" s="29"/>
      <c r="ABY56" s="29"/>
      <c r="ABZ56" s="29"/>
      <c r="ACA56" s="73"/>
      <c r="ACB56" s="67"/>
      <c r="ACC56" s="67"/>
      <c r="ACD56" s="67"/>
      <c r="ACE56" s="67"/>
      <c r="ACF56" s="29"/>
      <c r="ACG56" s="135"/>
      <c r="ACH56" s="29"/>
      <c r="ACI56" s="29"/>
      <c r="ACJ56" s="29"/>
      <c r="ACK56" s="29"/>
      <c r="ACL56" s="29"/>
      <c r="ACM56" s="73"/>
      <c r="ACN56" s="29"/>
      <c r="ACO56" s="29"/>
      <c r="ACP56" s="29"/>
      <c r="ACQ56" s="29"/>
      <c r="ACR56" s="29"/>
      <c r="ACS56" s="135"/>
      <c r="ACT56" s="29"/>
      <c r="ACU56" s="29"/>
      <c r="ACV56" s="29"/>
      <c r="ACW56" s="29"/>
      <c r="ACX56" s="29"/>
      <c r="ACY56" s="73"/>
      <c r="ACZ56" s="29"/>
      <c r="ADA56" s="29"/>
      <c r="ADB56" s="29"/>
      <c r="ADC56" s="29"/>
      <c r="ADD56" s="29"/>
      <c r="ADE56" s="30"/>
      <c r="ADF56" s="28"/>
      <c r="ADG56" s="67"/>
      <c r="ADH56" s="67"/>
      <c r="ADI56" s="67"/>
      <c r="ADJ56" s="29"/>
      <c r="ADK56" s="130"/>
      <c r="ADL56" s="29"/>
      <c r="ADM56" s="29"/>
      <c r="ADN56" s="29"/>
      <c r="ADO56" s="29"/>
      <c r="ADP56" s="29"/>
      <c r="ADQ56" s="135"/>
      <c r="ADR56" s="29"/>
      <c r="ADS56" s="29"/>
      <c r="ADT56" s="29"/>
      <c r="ADU56" s="29"/>
      <c r="ADV56" s="29"/>
      <c r="ADW56" s="73"/>
      <c r="ADX56" s="29"/>
      <c r="ADY56" s="29"/>
      <c r="ADZ56" s="29"/>
      <c r="AEA56" s="29"/>
      <c r="AEB56" s="29"/>
      <c r="AEC56" s="135"/>
      <c r="AED56" s="29"/>
      <c r="AEE56" s="29"/>
      <c r="AEF56" s="29"/>
      <c r="AEG56" s="29"/>
      <c r="AEH56" s="29"/>
      <c r="AEI56" s="73"/>
      <c r="AEJ56" s="67"/>
      <c r="AEK56" s="67"/>
      <c r="AEL56" s="67"/>
      <c r="AEM56" s="67"/>
      <c r="AEN56" s="29"/>
      <c r="AEO56" s="135"/>
      <c r="AEP56" s="29"/>
      <c r="AEQ56" s="29"/>
      <c r="AER56" s="29"/>
      <c r="AES56" s="29"/>
      <c r="AET56" s="29"/>
      <c r="AEU56" s="73"/>
      <c r="AEV56" s="29"/>
      <c r="AEW56" s="29"/>
      <c r="AEX56" s="29"/>
      <c r="AEY56" s="29"/>
      <c r="AEZ56" s="29"/>
      <c r="AFA56" s="135"/>
      <c r="AFB56" s="29"/>
      <c r="AFC56" s="29"/>
      <c r="AFD56" s="29"/>
      <c r="AFE56" s="29"/>
      <c r="AFF56" s="29"/>
      <c r="AFG56" s="73"/>
      <c r="AFH56" s="29"/>
      <c r="AFI56" s="29"/>
      <c r="AFJ56" s="29"/>
      <c r="AFK56" s="29"/>
      <c r="AFL56" s="29"/>
      <c r="AFM56" s="30"/>
      <c r="AFN56" s="28"/>
      <c r="AFO56" s="67"/>
      <c r="AFP56" s="67"/>
      <c r="AFQ56" s="67"/>
      <c r="AFR56" s="29"/>
      <c r="AFS56" s="130"/>
      <c r="AFT56" s="29"/>
      <c r="AFU56" s="29"/>
      <c r="AFV56" s="29"/>
      <c r="AFW56" s="29"/>
      <c r="AFX56" s="29"/>
      <c r="AFY56" s="135"/>
      <c r="AFZ56" s="29"/>
      <c r="AGA56" s="29"/>
      <c r="AGB56" s="29"/>
      <c r="AGC56" s="29"/>
      <c r="AGD56" s="29"/>
      <c r="AGE56" s="73"/>
      <c r="AGF56" s="29"/>
      <c r="AGG56" s="29"/>
      <c r="AGH56" s="29"/>
      <c r="AGI56" s="29"/>
      <c r="AGJ56" s="29"/>
      <c r="AGK56" s="135"/>
      <c r="AGL56" s="29"/>
      <c r="AGM56" s="29"/>
      <c r="AGN56" s="29"/>
      <c r="AGO56" s="29"/>
      <c r="AGP56" s="29"/>
      <c r="AGQ56" s="73"/>
      <c r="AGR56" s="67"/>
      <c r="AGS56" s="67"/>
      <c r="AGT56" s="67"/>
      <c r="AGU56" s="67"/>
      <c r="AGV56" s="29"/>
      <c r="AGW56" s="135"/>
      <c r="AGX56" s="29"/>
      <c r="AGY56" s="29"/>
      <c r="AGZ56" s="29"/>
      <c r="AHA56" s="29"/>
      <c r="AHB56" s="29"/>
      <c r="AHC56" s="73"/>
      <c r="AHD56" s="29"/>
      <c r="AHE56" s="29"/>
      <c r="AHF56" s="29"/>
      <c r="AHG56" s="29"/>
      <c r="AHH56" s="29"/>
      <c r="AHI56" s="135"/>
      <c r="AHJ56" s="29"/>
      <c r="AHK56" s="29"/>
      <c r="AHL56" s="29"/>
      <c r="AHM56" s="29"/>
      <c r="AHN56" s="29"/>
      <c r="AHO56" s="73"/>
      <c r="AHP56" s="29"/>
      <c r="AHQ56" s="29"/>
      <c r="AHR56" s="29"/>
      <c r="AHS56" s="29"/>
      <c r="AHT56" s="29"/>
      <c r="AHU56" s="30"/>
      <c r="AHV56" s="28"/>
      <c r="AHW56" s="67"/>
      <c r="AHX56" s="67"/>
      <c r="AHY56" s="67"/>
      <c r="AHZ56" s="29"/>
      <c r="AIA56" s="130"/>
      <c r="AIB56" s="29"/>
      <c r="AIC56" s="29"/>
      <c r="AID56" s="29"/>
      <c r="AIE56" s="29"/>
      <c r="AIF56" s="29"/>
      <c r="AIG56" s="135"/>
      <c r="AIH56" s="29"/>
      <c r="AII56" s="29"/>
      <c r="AIJ56" s="29"/>
      <c r="AIK56" s="29"/>
      <c r="AIL56" s="29"/>
      <c r="AIM56" s="73"/>
      <c r="AIN56" s="29"/>
      <c r="AIO56" s="29"/>
      <c r="AIP56" s="29"/>
      <c r="AIQ56" s="29"/>
      <c r="AIR56" s="29"/>
      <c r="AIS56" s="135"/>
      <c r="AIT56" s="29"/>
      <c r="AIU56" s="29"/>
      <c r="AIV56" s="29"/>
      <c r="AIW56" s="29"/>
      <c r="AIX56" s="29"/>
      <c r="AIY56" s="73"/>
      <c r="AIZ56" s="67"/>
      <c r="AJA56" s="67"/>
      <c r="AJB56" s="67"/>
      <c r="AJC56" s="67"/>
      <c r="AJD56" s="29"/>
      <c r="AJE56" s="135"/>
      <c r="AJF56" s="29"/>
      <c r="AJG56" s="29"/>
      <c r="AJH56" s="29"/>
      <c r="AJI56" s="29"/>
      <c r="AJJ56" s="29"/>
      <c r="AJK56" s="73"/>
      <c r="AJL56" s="29"/>
      <c r="AJM56" s="29"/>
      <c r="AJN56" s="29"/>
      <c r="AJO56" s="29"/>
      <c r="AJP56" s="29"/>
      <c r="AJQ56" s="135"/>
      <c r="AJR56" s="29"/>
      <c r="AJS56" s="29"/>
      <c r="AJT56" s="29"/>
      <c r="AJU56" s="29"/>
      <c r="AJV56" s="29"/>
      <c r="AJW56" s="73"/>
      <c r="AJX56" s="29"/>
      <c r="AJY56" s="29"/>
      <c r="AJZ56" s="29"/>
      <c r="AKA56" s="29"/>
      <c r="AKB56" s="29"/>
      <c r="AKC56" s="30"/>
      <c r="AKD56" s="28"/>
      <c r="AKE56" s="67"/>
      <c r="AKF56" s="67"/>
      <c r="AKG56" s="67"/>
      <c r="AKH56" s="29"/>
      <c r="AKI56" s="130"/>
      <c r="AKJ56" s="29"/>
      <c r="AKK56" s="29"/>
      <c r="AKL56" s="29"/>
      <c r="AKM56" s="29"/>
      <c r="AKN56" s="29"/>
      <c r="AKO56" s="135"/>
      <c r="AKP56" s="29"/>
      <c r="AKQ56" s="29"/>
      <c r="AKR56" s="29"/>
      <c r="AKS56" s="29"/>
      <c r="AKT56" s="29"/>
      <c r="AKU56" s="73"/>
      <c r="AKV56" s="29"/>
      <c r="AKW56" s="29"/>
      <c r="AKX56" s="29"/>
      <c r="AKY56" s="29"/>
      <c r="AKZ56" s="29"/>
      <c r="ALA56" s="135"/>
      <c r="ALB56" s="29"/>
      <c r="ALC56" s="29"/>
      <c r="ALD56" s="29"/>
      <c r="ALE56" s="29"/>
      <c r="ALF56" s="29"/>
      <c r="ALG56" s="73"/>
      <c r="ALH56" s="67"/>
      <c r="ALI56" s="67"/>
      <c r="ALJ56" s="67"/>
      <c r="ALK56" s="67"/>
      <c r="ALL56" s="29"/>
      <c r="ALM56" s="135"/>
      <c r="ALN56" s="29"/>
      <c r="ALO56" s="29"/>
      <c r="ALP56" s="29"/>
      <c r="ALQ56" s="29"/>
      <c r="ALR56" s="29"/>
      <c r="ALS56" s="73"/>
      <c r="ALT56" s="29"/>
      <c r="ALU56" s="29"/>
      <c r="ALV56" s="29"/>
      <c r="ALW56" s="29"/>
      <c r="ALX56" s="29"/>
      <c r="ALY56" s="135"/>
      <c r="ALZ56" s="29"/>
      <c r="AMA56" s="29"/>
      <c r="AMB56" s="29"/>
      <c r="AMC56" s="29"/>
      <c r="AMD56" s="29"/>
      <c r="AME56" s="73"/>
      <c r="AMF56" s="29"/>
      <c r="AMG56" s="29"/>
      <c r="AMH56" s="29"/>
      <c r="AMI56" s="29"/>
      <c r="AMJ56" s="29"/>
      <c r="AMK56" s="30"/>
      <c r="AML56" s="28"/>
      <c r="AMM56" s="67"/>
      <c r="AMN56" s="67"/>
      <c r="AMO56" s="67"/>
      <c r="AMP56" s="29"/>
      <c r="AMQ56" s="130"/>
      <c r="AMR56" s="29"/>
      <c r="AMS56" s="29"/>
      <c r="AMT56" s="29"/>
      <c r="AMU56" s="29"/>
      <c r="AMV56" s="29"/>
      <c r="AMW56" s="135"/>
      <c r="AMX56" s="29"/>
      <c r="AMY56" s="29"/>
      <c r="AMZ56" s="29"/>
      <c r="ANA56" s="29"/>
      <c r="ANB56" s="29"/>
      <c r="ANC56" s="73"/>
      <c r="AND56" s="29"/>
      <c r="ANE56" s="29"/>
      <c r="ANF56" s="29"/>
      <c r="ANG56" s="29"/>
      <c r="ANH56" s="29"/>
      <c r="ANI56" s="135"/>
      <c r="ANJ56" s="29"/>
      <c r="ANK56" s="29"/>
      <c r="ANL56" s="29"/>
      <c r="ANM56" s="29"/>
      <c r="ANN56" s="29"/>
      <c r="ANO56" s="73"/>
      <c r="ANP56" s="67"/>
      <c r="ANQ56" s="67"/>
      <c r="ANR56" s="67"/>
      <c r="ANS56" s="67"/>
      <c r="ANT56" s="29"/>
      <c r="ANU56" s="135"/>
      <c r="ANV56" s="29"/>
      <c r="ANW56" s="29"/>
      <c r="ANX56" s="29"/>
      <c r="ANY56" s="29"/>
      <c r="ANZ56" s="29"/>
      <c r="AOA56" s="73"/>
      <c r="AOB56" s="29"/>
      <c r="AOC56" s="29"/>
      <c r="AOD56" s="29"/>
      <c r="AOE56" s="29"/>
      <c r="AOF56" s="29"/>
      <c r="AOG56" s="135"/>
      <c r="AOH56" s="29"/>
      <c r="AOI56" s="29"/>
      <c r="AOJ56" s="29"/>
      <c r="AOK56" s="29"/>
      <c r="AOL56" s="29"/>
      <c r="AOM56" s="73"/>
      <c r="AON56" s="29"/>
      <c r="AOO56" s="29"/>
      <c r="AOP56" s="29"/>
      <c r="AOQ56" s="29"/>
      <c r="AOR56" s="29"/>
      <c r="AOS56" s="30"/>
      <c r="AOT56" s="28"/>
      <c r="AOU56" s="67"/>
      <c r="AOV56" s="67"/>
      <c r="AOW56" s="67"/>
      <c r="AOX56" s="29"/>
      <c r="AOY56" s="130"/>
      <c r="AOZ56" s="29"/>
      <c r="APA56" s="29"/>
      <c r="APB56" s="29"/>
      <c r="APC56" s="29"/>
      <c r="APD56" s="29"/>
      <c r="APE56" s="135"/>
      <c r="APF56" s="29"/>
      <c r="APG56" s="29"/>
      <c r="APH56" s="29"/>
      <c r="API56" s="29"/>
      <c r="APJ56" s="29"/>
      <c r="APK56" s="73"/>
      <c r="APL56" s="29"/>
      <c r="APM56" s="29"/>
      <c r="APN56" s="29"/>
      <c r="APO56" s="29"/>
      <c r="APP56" s="29"/>
      <c r="APQ56" s="135"/>
      <c r="APR56" s="29"/>
      <c r="APS56" s="29"/>
      <c r="APT56" s="29"/>
      <c r="APU56" s="29"/>
      <c r="APV56" s="29"/>
      <c r="APW56" s="73"/>
      <c r="APX56" s="67"/>
      <c r="APY56" s="67"/>
      <c r="APZ56" s="67"/>
      <c r="AQA56" s="67"/>
      <c r="AQB56" s="29"/>
      <c r="AQC56" s="135"/>
      <c r="AQD56" s="29"/>
      <c r="AQE56" s="29"/>
      <c r="AQF56" s="29"/>
      <c r="AQG56" s="29"/>
      <c r="AQH56" s="29"/>
      <c r="AQI56" s="73"/>
      <c r="AQJ56" s="29"/>
      <c r="AQK56" s="29"/>
      <c r="AQL56" s="29"/>
      <c r="AQM56" s="29"/>
      <c r="AQN56" s="29"/>
      <c r="AQO56" s="135"/>
      <c r="AQP56" s="29"/>
      <c r="AQQ56" s="29"/>
      <c r="AQR56" s="29"/>
      <c r="AQS56" s="29"/>
      <c r="AQT56" s="29"/>
      <c r="AQU56" s="73"/>
      <c r="AQV56" s="29"/>
      <c r="AQW56" s="29"/>
      <c r="AQX56" s="29"/>
      <c r="AQY56" s="29"/>
      <c r="AQZ56" s="29"/>
      <c r="ARA56" s="30"/>
      <c r="ARB56" s="28"/>
      <c r="ARC56" s="67"/>
      <c r="ARD56" s="67"/>
      <c r="ARE56" s="67"/>
      <c r="ARF56" s="29"/>
      <c r="ARG56" s="130"/>
      <c r="ARH56" s="29"/>
      <c r="ARI56" s="29"/>
      <c r="ARJ56" s="29"/>
      <c r="ARK56" s="29"/>
      <c r="ARL56" s="29"/>
      <c r="ARM56" s="135"/>
      <c r="ARN56" s="29"/>
      <c r="ARO56" s="29"/>
      <c r="ARP56" s="29"/>
      <c r="ARQ56" s="29"/>
      <c r="ARR56" s="29"/>
      <c r="ARS56" s="73"/>
      <c r="ART56" s="29"/>
      <c r="ARU56" s="29"/>
      <c r="ARV56" s="29"/>
      <c r="ARW56" s="29"/>
      <c r="ARX56" s="29"/>
      <c r="ARY56" s="135"/>
      <c r="ARZ56" s="29"/>
      <c r="ASA56" s="29"/>
      <c r="ASB56" s="29"/>
      <c r="ASC56" s="29"/>
      <c r="ASD56" s="29"/>
      <c r="ASE56" s="73"/>
      <c r="ASF56" s="67"/>
      <c r="ASG56" s="67"/>
      <c r="ASH56" s="67"/>
      <c r="ASI56" s="67"/>
      <c r="ASJ56" s="29"/>
      <c r="ASK56" s="135"/>
      <c r="ASL56" s="29"/>
      <c r="ASM56" s="29"/>
      <c r="ASN56" s="29"/>
      <c r="ASO56" s="29"/>
      <c r="ASP56" s="29"/>
      <c r="ASQ56" s="73"/>
      <c r="ASR56" s="29"/>
      <c r="ASS56" s="29"/>
      <c r="AST56" s="29"/>
      <c r="ASU56" s="29"/>
      <c r="ASV56" s="29"/>
      <c r="ASW56" s="135"/>
      <c r="ASX56" s="29"/>
      <c r="ASY56" s="29"/>
      <c r="ASZ56" s="29"/>
      <c r="ATA56" s="29"/>
      <c r="ATB56" s="29"/>
      <c r="ATC56" s="73"/>
      <c r="ATD56" s="29"/>
      <c r="ATE56" s="29"/>
      <c r="ATF56" s="29"/>
      <c r="ATG56" s="29"/>
      <c r="ATH56" s="29"/>
      <c r="ATI56" s="30"/>
      <c r="ATJ56" s="28"/>
      <c r="ATK56" s="67"/>
      <c r="ATL56" s="67"/>
      <c r="ATM56" s="67"/>
      <c r="ATN56" s="29"/>
      <c r="ATO56" s="130"/>
      <c r="ATP56" s="29"/>
      <c r="ATQ56" s="29"/>
      <c r="ATR56" s="29"/>
      <c r="ATS56" s="29"/>
      <c r="ATT56" s="29"/>
      <c r="ATU56" s="135"/>
      <c r="ATV56" s="29"/>
      <c r="ATW56" s="29"/>
      <c r="ATX56" s="29"/>
      <c r="ATY56" s="29"/>
      <c r="ATZ56" s="29"/>
      <c r="AUA56" s="73"/>
      <c r="AUB56" s="29"/>
      <c r="AUC56" s="29"/>
      <c r="AUD56" s="29"/>
      <c r="AUE56" s="29"/>
      <c r="AUF56" s="29"/>
      <c r="AUG56" s="135"/>
      <c r="AUH56" s="29"/>
      <c r="AUI56" s="29"/>
      <c r="AUJ56" s="29"/>
      <c r="AUK56" s="29"/>
      <c r="AUL56" s="29"/>
      <c r="AUM56" s="73"/>
      <c r="AUN56" s="67"/>
      <c r="AUO56" s="67"/>
      <c r="AUP56" s="67"/>
      <c r="AUQ56" s="67"/>
      <c r="AUR56" s="29"/>
      <c r="AUS56" s="135"/>
      <c r="AUT56" s="29"/>
      <c r="AUU56" s="29"/>
      <c r="AUV56" s="29"/>
      <c r="AUW56" s="29"/>
      <c r="AUX56" s="29"/>
      <c r="AUY56" s="73"/>
      <c r="AUZ56" s="29"/>
      <c r="AVA56" s="29"/>
      <c r="AVB56" s="29"/>
      <c r="AVC56" s="29"/>
      <c r="AVD56" s="29"/>
      <c r="AVE56" s="135"/>
      <c r="AVF56" s="29"/>
      <c r="AVG56" s="29"/>
      <c r="AVH56" s="29"/>
      <c r="AVI56" s="29"/>
      <c r="AVJ56" s="29"/>
      <c r="AVK56" s="73"/>
      <c r="AVL56" s="29"/>
      <c r="AVM56" s="29"/>
      <c r="AVN56" s="29"/>
      <c r="AVO56" s="29"/>
      <c r="AVP56" s="29"/>
      <c r="AVQ56" s="30"/>
      <c r="AVR56" s="28"/>
      <c r="AVS56" s="67"/>
      <c r="AVT56" s="67"/>
      <c r="AVU56" s="67"/>
      <c r="AVV56" s="29"/>
      <c r="AVW56" s="130"/>
      <c r="AVX56" s="29"/>
      <c r="AVY56" s="29"/>
      <c r="AVZ56" s="29"/>
      <c r="AWA56" s="29"/>
      <c r="AWB56" s="29"/>
      <c r="AWC56" s="135"/>
      <c r="AWD56" s="29"/>
      <c r="AWE56" s="29"/>
      <c r="AWF56" s="29"/>
      <c r="AWG56" s="29"/>
      <c r="AWH56" s="29"/>
      <c r="AWI56" s="73"/>
      <c r="AWJ56" s="29"/>
      <c r="AWK56" s="29"/>
      <c r="AWL56" s="29"/>
      <c r="AWM56" s="29"/>
      <c r="AWN56" s="29"/>
      <c r="AWO56" s="135"/>
      <c r="AWP56" s="29"/>
      <c r="AWQ56" s="29"/>
      <c r="AWR56" s="29"/>
      <c r="AWS56" s="29"/>
      <c r="AWT56" s="29"/>
      <c r="AWU56" s="73"/>
      <c r="AWV56" s="67"/>
      <c r="AWW56" s="67"/>
      <c r="AWX56" s="67"/>
      <c r="AWY56" s="67"/>
      <c r="AWZ56" s="29"/>
      <c r="AXA56" s="135"/>
      <c r="AXB56" s="29"/>
      <c r="AXC56" s="29"/>
      <c r="AXD56" s="29"/>
      <c r="AXE56" s="29"/>
      <c r="AXF56" s="29"/>
      <c r="AXG56" s="73"/>
      <c r="AXH56" s="29"/>
      <c r="AXI56" s="29"/>
      <c r="AXJ56" s="29"/>
      <c r="AXK56" s="29"/>
      <c r="AXL56" s="29"/>
      <c r="AXM56" s="135"/>
      <c r="AXN56" s="29"/>
      <c r="AXO56" s="29"/>
      <c r="AXP56" s="29"/>
      <c r="AXQ56" s="29"/>
      <c r="AXR56" s="29"/>
      <c r="AXS56" s="73"/>
      <c r="AXT56" s="29"/>
      <c r="AXU56" s="29"/>
      <c r="AXV56" s="29"/>
      <c r="AXW56" s="29"/>
      <c r="AXX56" s="29"/>
      <c r="AXY56" s="30"/>
      <c r="AXZ56" s="28"/>
      <c r="AYA56" s="67"/>
      <c r="AYB56" s="67"/>
      <c r="AYC56" s="67"/>
      <c r="AYD56" s="29"/>
      <c r="AYE56" s="130"/>
      <c r="AYF56" s="29"/>
      <c r="AYG56" s="29"/>
      <c r="AYH56" s="29"/>
      <c r="AYI56" s="29"/>
      <c r="AYJ56" s="29"/>
      <c r="AYK56" s="135"/>
      <c r="AYL56" s="29"/>
      <c r="AYM56" s="29"/>
      <c r="AYN56" s="29"/>
      <c r="AYO56" s="29"/>
      <c r="AYP56" s="29"/>
      <c r="AYQ56" s="73"/>
      <c r="AYR56" s="29"/>
      <c r="AYS56" s="29"/>
      <c r="AYT56" s="29"/>
      <c r="AYU56" s="29"/>
      <c r="AYV56" s="29"/>
      <c r="AYW56" s="135"/>
      <c r="AYX56" s="29"/>
      <c r="AYY56" s="29"/>
      <c r="AYZ56" s="29"/>
      <c r="AZA56" s="29"/>
      <c r="AZB56" s="29"/>
      <c r="AZC56" s="73"/>
      <c r="AZD56" s="67"/>
      <c r="AZE56" s="67"/>
      <c r="AZF56" s="67"/>
      <c r="AZG56" s="67"/>
      <c r="AZH56" s="29"/>
      <c r="AZI56" s="135"/>
      <c r="AZJ56" s="29"/>
      <c r="AZK56" s="29"/>
      <c r="AZL56" s="29"/>
      <c r="AZM56" s="29"/>
      <c r="AZN56" s="29"/>
      <c r="AZO56" s="73"/>
      <c r="AZP56" s="29"/>
      <c r="AZQ56" s="29"/>
      <c r="AZR56" s="29"/>
      <c r="AZS56" s="29"/>
      <c r="AZT56" s="29"/>
      <c r="AZU56" s="135"/>
      <c r="AZV56" s="29"/>
      <c r="AZW56" s="29"/>
      <c r="AZX56" s="29"/>
      <c r="AZY56" s="29"/>
      <c r="AZZ56" s="29"/>
      <c r="BAA56" s="73"/>
      <c r="BAB56" s="29"/>
      <c r="BAC56" s="29"/>
      <c r="BAD56" s="29"/>
      <c r="BAE56" s="29"/>
      <c r="BAF56" s="29"/>
      <c r="BAG56" s="30"/>
      <c r="BAH56" s="28"/>
      <c r="BAI56" s="67"/>
      <c r="BAJ56" s="67"/>
      <c r="BAK56" s="67"/>
      <c r="BAL56" s="29"/>
      <c r="BAM56" s="130"/>
      <c r="BAN56" s="29"/>
      <c r="BAO56" s="29"/>
      <c r="BAP56" s="29"/>
      <c r="BAQ56" s="29"/>
      <c r="BAR56" s="29"/>
      <c r="BAS56" s="135"/>
      <c r="BAT56" s="29"/>
      <c r="BAU56" s="29"/>
      <c r="BAV56" s="29"/>
      <c r="BAW56" s="29"/>
      <c r="BAX56" s="29"/>
      <c r="BAY56" s="73"/>
      <c r="BAZ56" s="29"/>
      <c r="BBA56" s="29"/>
      <c r="BBB56" s="29"/>
      <c r="BBC56" s="29"/>
      <c r="BBD56" s="29"/>
      <c r="BBE56" s="135"/>
      <c r="BBF56" s="29"/>
      <c r="BBG56" s="29"/>
      <c r="BBH56" s="29"/>
      <c r="BBI56" s="29"/>
      <c r="BBJ56" s="29"/>
      <c r="BBK56" s="73"/>
      <c r="BBL56" s="67"/>
      <c r="BBM56" s="67"/>
      <c r="BBN56" s="67"/>
      <c r="BBO56" s="67"/>
      <c r="BBP56" s="29"/>
      <c r="BBQ56" s="135"/>
      <c r="BBR56" s="29"/>
      <c r="BBS56" s="29"/>
      <c r="BBT56" s="29"/>
      <c r="BBU56" s="29"/>
      <c r="BBV56" s="29"/>
      <c r="BBW56" s="73"/>
      <c r="BBX56" s="29"/>
      <c r="BBY56" s="29"/>
      <c r="BBZ56" s="29"/>
      <c r="BCA56" s="29"/>
      <c r="BCB56" s="29"/>
      <c r="BCC56" s="135"/>
      <c r="BCD56" s="29"/>
      <c r="BCE56" s="29"/>
      <c r="BCF56" s="29"/>
      <c r="BCG56" s="29"/>
      <c r="BCH56" s="29"/>
      <c r="BCI56" s="73"/>
      <c r="BCJ56" s="29"/>
      <c r="BCK56" s="29"/>
      <c r="BCL56" s="29"/>
      <c r="BCM56" s="29"/>
      <c r="BCN56" s="29"/>
      <c r="BCO56" s="30"/>
      <c r="BCP56" s="28"/>
      <c r="BCQ56" s="67"/>
      <c r="BCR56" s="67"/>
      <c r="BCS56" s="67"/>
      <c r="BCT56" s="29"/>
      <c r="BCU56" s="130"/>
      <c r="BCV56" s="29"/>
      <c r="BCW56" s="29"/>
      <c r="BCX56" s="29"/>
      <c r="BCY56" s="29"/>
      <c r="BCZ56" s="29"/>
      <c r="BDA56" s="135"/>
      <c r="BDB56" s="29"/>
      <c r="BDC56" s="29"/>
      <c r="BDD56" s="29"/>
      <c r="BDE56" s="29"/>
      <c r="BDF56" s="29"/>
      <c r="BDG56" s="73"/>
      <c r="BDH56" s="29"/>
      <c r="BDI56" s="29"/>
      <c r="BDJ56" s="29"/>
      <c r="BDK56" s="29"/>
      <c r="BDL56" s="29"/>
      <c r="BDM56" s="135"/>
      <c r="BDN56" s="29"/>
      <c r="BDO56" s="29"/>
      <c r="BDP56" s="29"/>
      <c r="BDQ56" s="29"/>
      <c r="BDR56" s="29"/>
      <c r="BDS56" s="73"/>
      <c r="BDT56" s="67"/>
      <c r="BDU56" s="67"/>
      <c r="BDV56" s="67"/>
      <c r="BDW56" s="67"/>
      <c r="BDX56" s="29"/>
      <c r="BDY56" s="135"/>
      <c r="BDZ56" s="29"/>
      <c r="BEA56" s="29"/>
      <c r="BEB56" s="29"/>
      <c r="BEC56" s="29"/>
      <c r="BED56" s="29"/>
      <c r="BEE56" s="73"/>
      <c r="BEF56" s="29"/>
      <c r="BEG56" s="29"/>
      <c r="BEH56" s="29"/>
      <c r="BEI56" s="29"/>
      <c r="BEJ56" s="29"/>
      <c r="BEK56" s="135"/>
      <c r="BEL56" s="29"/>
      <c r="BEM56" s="29"/>
      <c r="BEN56" s="29"/>
      <c r="BEO56" s="29"/>
      <c r="BEP56" s="29"/>
      <c r="BEQ56" s="73"/>
      <c r="BER56" s="29"/>
      <c r="BES56" s="29"/>
      <c r="BET56" s="29"/>
      <c r="BEU56" s="29"/>
      <c r="BEV56" s="29"/>
      <c r="BEW56" s="30"/>
      <c r="BEX56" s="28"/>
      <c r="BEY56" s="67"/>
      <c r="BEZ56" s="67"/>
      <c r="BFA56" s="67"/>
      <c r="BFB56" s="29"/>
      <c r="BFC56" s="130"/>
      <c r="BFD56" s="29"/>
      <c r="BFE56" s="29"/>
      <c r="BFF56" s="29"/>
      <c r="BFG56" s="29"/>
      <c r="BFH56" s="29"/>
      <c r="BFI56" s="135"/>
      <c r="BFJ56" s="29"/>
      <c r="BFK56" s="29"/>
      <c r="BFL56" s="29"/>
      <c r="BFM56" s="29"/>
      <c r="BFN56" s="29"/>
      <c r="BFO56" s="73"/>
      <c r="BFP56" s="29"/>
      <c r="BFQ56" s="29"/>
      <c r="BFR56" s="29"/>
      <c r="BFS56" s="29"/>
      <c r="BFT56" s="29"/>
      <c r="BFU56" s="135"/>
      <c r="BFV56" s="29"/>
      <c r="BFW56" s="29"/>
      <c r="BFX56" s="29"/>
      <c r="BFY56" s="29"/>
      <c r="BFZ56" s="29"/>
      <c r="BGA56" s="73"/>
      <c r="BGB56" s="67"/>
      <c r="BGC56" s="67"/>
      <c r="BGD56" s="67"/>
      <c r="BGE56" s="67"/>
      <c r="BGF56" s="29"/>
      <c r="BGG56" s="135"/>
      <c r="BGH56" s="29"/>
      <c r="BGI56" s="29"/>
      <c r="BGJ56" s="29"/>
      <c r="BGK56" s="29"/>
      <c r="BGL56" s="29"/>
      <c r="BGM56" s="73"/>
      <c r="BGN56" s="29"/>
      <c r="BGO56" s="29"/>
      <c r="BGP56" s="29"/>
      <c r="BGQ56" s="29"/>
      <c r="BGR56" s="29"/>
      <c r="BGS56" s="135"/>
      <c r="BGT56" s="29"/>
      <c r="BGU56" s="29"/>
      <c r="BGV56" s="29"/>
      <c r="BGW56" s="29"/>
      <c r="BGX56" s="29"/>
      <c r="BGY56" s="73"/>
      <c r="BGZ56" s="29"/>
      <c r="BHA56" s="29"/>
      <c r="BHB56" s="29"/>
      <c r="BHC56" s="29"/>
      <c r="BHD56" s="29"/>
      <c r="BHE56" s="30"/>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x14ac:dyDescent="0.25">
      <c r="A57" s="100" t="s">
        <v>20</v>
      </c>
      <c r="B57" s="63"/>
      <c r="C57" s="255" t="s">
        <v>9</v>
      </c>
      <c r="D57" s="256"/>
      <c r="E57" s="116">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69"/>
      <c r="BH57" s="69"/>
      <c r="BI57" s="69"/>
      <c r="BJ57" s="69"/>
      <c r="BK57" s="69"/>
      <c r="BL57" s="69"/>
      <c r="BM57" s="85"/>
      <c r="BN57" s="70"/>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69"/>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85"/>
      <c r="DV57" s="70"/>
      <c r="DW57" s="69"/>
      <c r="DX57" s="69"/>
      <c r="DY57" s="69"/>
      <c r="DZ57" s="69"/>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69"/>
      <c r="FM57" s="69"/>
      <c r="FN57" s="69"/>
      <c r="FO57" s="69"/>
      <c r="FP57" s="69"/>
      <c r="FQ57" s="69"/>
      <c r="FR57" s="69"/>
      <c r="FS57" s="69"/>
      <c r="FT57" s="69"/>
      <c r="FU57" s="69"/>
      <c r="FV57" s="69"/>
      <c r="FW57" s="69"/>
      <c r="FX57" s="69"/>
      <c r="FY57" s="69"/>
      <c r="FZ57" s="69"/>
      <c r="GA57" s="69"/>
      <c r="GB57" s="69"/>
      <c r="GC57" s="85"/>
      <c r="GD57" s="70"/>
      <c r="GE57" s="69"/>
      <c r="GF57" s="69"/>
      <c r="GG57" s="69"/>
      <c r="GH57" s="69"/>
      <c r="GI57" s="69"/>
      <c r="GJ57" s="69"/>
      <c r="GK57" s="69"/>
      <c r="GL57" s="69"/>
      <c r="GM57" s="69"/>
      <c r="GN57" s="69"/>
      <c r="GO57" s="69"/>
      <c r="GP57" s="69"/>
      <c r="GQ57" s="69"/>
      <c r="GR57" s="69"/>
      <c r="GS57" s="69"/>
      <c r="GT57" s="69"/>
      <c r="GU57" s="69"/>
      <c r="GV57" s="69"/>
      <c r="GW57" s="69"/>
      <c r="GX57" s="69"/>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69"/>
      <c r="IK57" s="85"/>
      <c r="IL57" s="70"/>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69"/>
      <c r="KG57" s="69"/>
      <c r="KH57" s="69"/>
      <c r="KI57" s="69"/>
      <c r="KJ57" s="69"/>
      <c r="KK57" s="69"/>
      <c r="KL57" s="69"/>
      <c r="KM57" s="69"/>
      <c r="KN57" s="69"/>
      <c r="KO57" s="69"/>
      <c r="KP57" s="69"/>
      <c r="KQ57" s="69"/>
      <c r="KR57" s="69"/>
      <c r="KS57" s="85"/>
      <c r="KT57" s="70"/>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69"/>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85"/>
      <c r="NB57" s="70"/>
      <c r="NC57" s="69"/>
      <c r="ND57" s="69"/>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69"/>
      <c r="PA57" s="69"/>
      <c r="PB57" s="69"/>
      <c r="PC57" s="69"/>
      <c r="PD57" s="69"/>
      <c r="PE57" s="69"/>
      <c r="PF57" s="69"/>
      <c r="PG57" s="69"/>
      <c r="PH57" s="69"/>
      <c r="PI57" s="85"/>
      <c r="PJ57" s="70"/>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69"/>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85"/>
      <c r="RR57" s="70"/>
      <c r="RS57" s="69"/>
      <c r="RT57" s="69"/>
      <c r="RU57" s="69"/>
      <c r="RV57" s="69"/>
      <c r="RW57" s="69"/>
      <c r="RX57" s="69"/>
      <c r="RY57" s="69"/>
      <c r="RZ57" s="69"/>
      <c r="SA57" s="69"/>
      <c r="SB57" s="69"/>
      <c r="SC57" s="69"/>
      <c r="SD57" s="69"/>
      <c r="SE57" s="69"/>
      <c r="SF57" s="69"/>
      <c r="SG57" s="69"/>
      <c r="SH57" s="69"/>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69"/>
      <c r="TU57" s="69"/>
      <c r="TV57" s="69"/>
      <c r="TW57" s="69"/>
      <c r="TX57" s="69"/>
      <c r="TY57" s="85"/>
      <c r="TZ57" s="70"/>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69"/>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85"/>
      <c r="WH57" s="70"/>
      <c r="WI57" s="69"/>
      <c r="WJ57" s="69"/>
      <c r="WK57" s="69"/>
      <c r="WL57" s="69"/>
      <c r="WM57" s="69"/>
      <c r="WN57" s="69"/>
      <c r="WO57" s="69"/>
      <c r="WP57" s="69"/>
      <c r="WQ57" s="69"/>
      <c r="WR57" s="69"/>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69"/>
      <c r="YO57" s="85"/>
      <c r="YP57" s="70"/>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69"/>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85"/>
      <c r="AAX57" s="70"/>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69"/>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85"/>
      <c r="ADF57" s="70"/>
      <c r="ADG57" s="69"/>
      <c r="ADH57" s="69"/>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69"/>
      <c r="AEU57" s="69"/>
      <c r="AEV57" s="69"/>
      <c r="AEW57" s="69"/>
      <c r="AEX57" s="69"/>
      <c r="AEY57" s="69"/>
      <c r="AEZ57" s="69"/>
      <c r="AFA57" s="69"/>
      <c r="AFB57" s="69"/>
      <c r="AFC57" s="69"/>
      <c r="AFD57" s="69"/>
      <c r="AFE57" s="69"/>
      <c r="AFF57" s="69"/>
      <c r="AFG57" s="69"/>
      <c r="AFH57" s="69"/>
      <c r="AFI57" s="69"/>
      <c r="AFJ57" s="69"/>
      <c r="AFK57" s="69"/>
      <c r="AFL57" s="69"/>
      <c r="AFM57" s="85"/>
      <c r="AFN57" s="70"/>
      <c r="AFO57" s="69"/>
      <c r="AFP57" s="69"/>
      <c r="AFQ57" s="69"/>
      <c r="AFR57" s="69"/>
      <c r="AFS57" s="69"/>
      <c r="AFT57" s="69"/>
      <c r="AFU57" s="69"/>
      <c r="AFV57" s="69"/>
      <c r="AFW57" s="69"/>
      <c r="AFX57" s="69"/>
      <c r="AFY57" s="69"/>
      <c r="AFZ57" s="69"/>
      <c r="AGA57" s="69"/>
      <c r="AGB57" s="69"/>
      <c r="AGC57" s="69"/>
      <c r="AGD57" s="69"/>
      <c r="AGE57" s="69"/>
      <c r="AGF57" s="69"/>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85"/>
      <c r="AHV57" s="70"/>
      <c r="AHW57" s="69"/>
      <c r="AHX57" s="69"/>
      <c r="AHY57" s="69"/>
      <c r="AHZ57" s="69"/>
      <c r="AIA57" s="69"/>
      <c r="AIB57" s="69"/>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69"/>
      <c r="AJY57" s="69"/>
      <c r="AJZ57" s="69"/>
      <c r="AKA57" s="69"/>
      <c r="AKB57" s="69"/>
      <c r="AKC57" s="85"/>
      <c r="AKD57" s="70"/>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69"/>
      <c r="ALU57" s="69"/>
      <c r="ALV57" s="69"/>
      <c r="ALW57" s="69"/>
      <c r="ALX57" s="69"/>
      <c r="ALY57" s="69"/>
      <c r="ALZ57" s="69"/>
      <c r="AMA57" s="69"/>
      <c r="AMB57" s="69"/>
      <c r="AMC57" s="69"/>
      <c r="AMD57" s="69"/>
      <c r="AME57" s="69"/>
      <c r="AMF57" s="69"/>
      <c r="AMG57" s="69"/>
      <c r="AMH57" s="69"/>
      <c r="AMI57" s="69"/>
      <c r="AMJ57" s="69"/>
      <c r="AMK57" s="85"/>
      <c r="AML57" s="70"/>
      <c r="AMM57" s="69"/>
      <c r="AMN57" s="69"/>
      <c r="AMO57" s="69"/>
      <c r="AMP57" s="69"/>
      <c r="AMQ57" s="69"/>
      <c r="AMR57" s="69"/>
      <c r="AMS57" s="69"/>
      <c r="AMT57" s="69"/>
      <c r="AMU57" s="69"/>
      <c r="AMV57" s="69"/>
      <c r="AMW57" s="69"/>
      <c r="AMX57" s="69"/>
      <c r="AMY57" s="69"/>
      <c r="AMZ57" s="69"/>
      <c r="ANA57" s="69"/>
      <c r="ANB57" s="69"/>
      <c r="ANC57" s="69"/>
      <c r="AND57" s="69"/>
      <c r="ANE57" s="69"/>
      <c r="ANF57" s="69"/>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85"/>
      <c r="AOT57" s="70"/>
      <c r="AOU57" s="69"/>
      <c r="AOV57" s="69"/>
      <c r="AOW57" s="69"/>
      <c r="AOX57" s="69"/>
      <c r="AOY57" s="69"/>
      <c r="AOZ57" s="69"/>
      <c r="APA57" s="69"/>
      <c r="APB57" s="69"/>
      <c r="APC57" s="69"/>
      <c r="APD57" s="69"/>
      <c r="APE57" s="69"/>
      <c r="APF57" s="69"/>
      <c r="APG57" s="69"/>
      <c r="APH57" s="69"/>
      <c r="API57" s="69"/>
      <c r="APJ57" s="69"/>
      <c r="APK57" s="69"/>
      <c r="APL57" s="69"/>
      <c r="APM57" s="69"/>
      <c r="APN57" s="69"/>
      <c r="APO57" s="69"/>
      <c r="APP57" s="69"/>
      <c r="APQ57" s="69"/>
      <c r="APR57" s="69"/>
      <c r="APS57" s="69"/>
      <c r="APT57" s="69"/>
      <c r="APU57" s="69"/>
      <c r="APV57" s="69"/>
      <c r="APW57" s="69"/>
      <c r="APX57" s="69"/>
      <c r="APY57" s="69"/>
      <c r="APZ57" s="69"/>
      <c r="AQA57" s="69"/>
      <c r="AQB57" s="69"/>
      <c r="AQC57" s="69"/>
      <c r="AQD57" s="69"/>
      <c r="AQE57" s="69"/>
      <c r="AQF57" s="69"/>
      <c r="AQG57" s="69"/>
      <c r="AQH57" s="69"/>
      <c r="AQI57" s="69"/>
      <c r="AQJ57" s="69"/>
      <c r="AQK57" s="69"/>
      <c r="AQL57" s="69"/>
      <c r="AQM57" s="69"/>
      <c r="AQN57" s="69"/>
      <c r="AQO57" s="69"/>
      <c r="AQP57" s="69"/>
      <c r="AQQ57" s="69"/>
      <c r="AQR57" s="69"/>
      <c r="AQS57" s="69"/>
      <c r="AQT57" s="69"/>
      <c r="AQU57" s="69"/>
      <c r="AQV57" s="69"/>
      <c r="AQW57" s="69"/>
      <c r="AQX57" s="69"/>
      <c r="AQY57" s="69"/>
      <c r="AQZ57" s="69"/>
      <c r="ARA57" s="85"/>
      <c r="ARB57" s="70"/>
      <c r="ARC57" s="69"/>
      <c r="ARD57" s="69"/>
      <c r="ARE57" s="69"/>
      <c r="ARF57" s="69"/>
      <c r="ARG57" s="69"/>
      <c r="ARH57" s="69"/>
      <c r="ARI57" s="69"/>
      <c r="ARJ57" s="69"/>
      <c r="ARK57" s="69"/>
      <c r="ARL57" s="69"/>
      <c r="ARM57" s="69"/>
      <c r="ARN57" s="69"/>
      <c r="ARO57" s="69"/>
      <c r="ARP57" s="69"/>
      <c r="ARQ57" s="69"/>
      <c r="ARR57" s="69"/>
      <c r="ARS57" s="69"/>
      <c r="ART57" s="69"/>
      <c r="ARU57" s="69"/>
      <c r="ARV57" s="69"/>
      <c r="ARW57" s="69"/>
      <c r="ARX57" s="69"/>
      <c r="ARY57" s="69"/>
      <c r="ARZ57" s="69"/>
      <c r="ASA57" s="69"/>
      <c r="ASB57" s="69"/>
      <c r="ASC57" s="69"/>
      <c r="ASD57" s="69"/>
      <c r="ASE57" s="69"/>
      <c r="ASF57" s="69"/>
      <c r="ASG57" s="69"/>
      <c r="ASH57" s="69"/>
      <c r="ASI57" s="69"/>
      <c r="ASJ57" s="69"/>
      <c r="ASK57" s="69"/>
      <c r="ASL57" s="69"/>
      <c r="ASM57" s="69"/>
      <c r="ASN57" s="69"/>
      <c r="ASO57" s="69"/>
      <c r="ASP57" s="69"/>
      <c r="ASQ57" s="69"/>
      <c r="ASR57" s="69"/>
      <c r="ASS57" s="69"/>
      <c r="AST57" s="69"/>
      <c r="ASU57" s="69"/>
      <c r="ASV57" s="69"/>
      <c r="ASW57" s="69"/>
      <c r="ASX57" s="69"/>
      <c r="ASY57" s="69"/>
      <c r="ASZ57" s="69"/>
      <c r="ATA57" s="69"/>
      <c r="ATB57" s="69"/>
      <c r="ATC57" s="69"/>
      <c r="ATD57" s="69"/>
      <c r="ATE57" s="69"/>
      <c r="ATF57" s="69"/>
      <c r="ATG57" s="69"/>
      <c r="ATH57" s="69"/>
      <c r="ATI57" s="85"/>
      <c r="ATJ57" s="70"/>
      <c r="ATK57" s="69"/>
      <c r="ATL57" s="69"/>
      <c r="ATM57" s="69"/>
      <c r="ATN57" s="69"/>
      <c r="ATO57" s="69"/>
      <c r="ATP57" s="69"/>
      <c r="ATQ57" s="69"/>
      <c r="ATR57" s="69"/>
      <c r="ATS57" s="69"/>
      <c r="ATT57" s="69"/>
      <c r="ATU57" s="69"/>
      <c r="ATV57" s="69"/>
      <c r="ATW57" s="69"/>
      <c r="ATX57" s="69"/>
      <c r="ATY57" s="69"/>
      <c r="ATZ57" s="69"/>
      <c r="AUA57" s="69"/>
      <c r="AUB57" s="69"/>
      <c r="AUC57" s="69"/>
      <c r="AUD57" s="69"/>
      <c r="AUE57" s="69"/>
      <c r="AUF57" s="69"/>
      <c r="AUG57" s="69"/>
      <c r="AUH57" s="69"/>
      <c r="AUI57" s="69"/>
      <c r="AUJ57" s="69"/>
      <c r="AUK57" s="69"/>
      <c r="AUL57" s="69"/>
      <c r="AUM57" s="69"/>
      <c r="AUN57" s="69"/>
      <c r="AUO57" s="69"/>
      <c r="AUP57" s="69"/>
      <c r="AUQ57" s="69"/>
      <c r="AUR57" s="69"/>
      <c r="AUS57" s="69"/>
      <c r="AUT57" s="69"/>
      <c r="AUU57" s="69"/>
      <c r="AUV57" s="69"/>
      <c r="AUW57" s="69"/>
      <c r="AUX57" s="69"/>
      <c r="AUY57" s="69"/>
      <c r="AUZ57" s="69"/>
      <c r="AVA57" s="69"/>
      <c r="AVB57" s="69"/>
      <c r="AVC57" s="69"/>
      <c r="AVD57" s="69"/>
      <c r="AVE57" s="69"/>
      <c r="AVF57" s="69"/>
      <c r="AVG57" s="69"/>
      <c r="AVH57" s="69"/>
      <c r="AVI57" s="69"/>
      <c r="AVJ57" s="69"/>
      <c r="AVK57" s="69"/>
      <c r="AVL57" s="69"/>
      <c r="AVM57" s="69"/>
      <c r="AVN57" s="69"/>
      <c r="AVO57" s="69"/>
      <c r="AVP57" s="69"/>
      <c r="AVQ57" s="85"/>
      <c r="AVR57" s="70"/>
      <c r="AVS57" s="69"/>
      <c r="AVT57" s="69"/>
      <c r="AVU57" s="69"/>
      <c r="AVV57" s="69"/>
      <c r="AVW57" s="69"/>
      <c r="AVX57" s="69"/>
      <c r="AVY57" s="69"/>
      <c r="AVZ57" s="69"/>
      <c r="AWA57" s="69"/>
      <c r="AWB57" s="69"/>
      <c r="AWC57" s="69"/>
      <c r="AWD57" s="69"/>
      <c r="AWE57" s="69"/>
      <c r="AWF57" s="69"/>
      <c r="AWG57" s="69"/>
      <c r="AWH57" s="69"/>
      <c r="AWI57" s="69"/>
      <c r="AWJ57" s="69"/>
      <c r="AWK57" s="69"/>
      <c r="AWL57" s="69"/>
      <c r="AWM57" s="69"/>
      <c r="AWN57" s="69"/>
      <c r="AWO57" s="69"/>
      <c r="AWP57" s="69"/>
      <c r="AWQ57" s="69"/>
      <c r="AWR57" s="69"/>
      <c r="AWS57" s="69"/>
      <c r="AWT57" s="69"/>
      <c r="AWU57" s="69"/>
      <c r="AWV57" s="69"/>
      <c r="AWW57" s="69"/>
      <c r="AWX57" s="69"/>
      <c r="AWY57" s="69"/>
      <c r="AWZ57" s="69"/>
      <c r="AXA57" s="69"/>
      <c r="AXB57" s="69"/>
      <c r="AXC57" s="69"/>
      <c r="AXD57" s="69"/>
      <c r="AXE57" s="69"/>
      <c r="AXF57" s="69"/>
      <c r="AXG57" s="69"/>
      <c r="AXH57" s="69"/>
      <c r="AXI57" s="69"/>
      <c r="AXJ57" s="69"/>
      <c r="AXK57" s="69"/>
      <c r="AXL57" s="69"/>
      <c r="AXM57" s="69"/>
      <c r="AXN57" s="69"/>
      <c r="AXO57" s="69"/>
      <c r="AXP57" s="69"/>
      <c r="AXQ57" s="69"/>
      <c r="AXR57" s="69"/>
      <c r="AXS57" s="69"/>
      <c r="AXT57" s="69"/>
      <c r="AXU57" s="69"/>
      <c r="AXV57" s="69"/>
      <c r="AXW57" s="69"/>
      <c r="AXX57" s="69"/>
      <c r="AXY57" s="85"/>
      <c r="AXZ57" s="70"/>
      <c r="AYA57" s="69"/>
      <c r="AYB57" s="69"/>
      <c r="AYC57" s="69"/>
      <c r="AYD57" s="69"/>
      <c r="AYE57" s="69"/>
      <c r="AYF57" s="69"/>
      <c r="AYG57" s="69"/>
      <c r="AYH57" s="69"/>
      <c r="AYI57" s="69"/>
      <c r="AYJ57" s="69"/>
      <c r="AYK57" s="69"/>
      <c r="AYL57" s="69"/>
      <c r="AYM57" s="69"/>
      <c r="AYN57" s="69"/>
      <c r="AYO57" s="69"/>
      <c r="AYP57" s="69"/>
      <c r="AYQ57" s="69"/>
      <c r="AYR57" s="69"/>
      <c r="AYS57" s="69"/>
      <c r="AYT57" s="69"/>
      <c r="AYU57" s="69"/>
      <c r="AYV57" s="69"/>
      <c r="AYW57" s="69"/>
      <c r="AYX57" s="69"/>
      <c r="AYY57" s="69"/>
      <c r="AYZ57" s="69"/>
      <c r="AZA57" s="69"/>
      <c r="AZB57" s="69"/>
      <c r="AZC57" s="69"/>
      <c r="AZD57" s="69"/>
      <c r="AZE57" s="69"/>
      <c r="AZF57" s="69"/>
      <c r="AZG57" s="69"/>
      <c r="AZH57" s="69"/>
      <c r="AZI57" s="69"/>
      <c r="AZJ57" s="69"/>
      <c r="AZK57" s="69"/>
      <c r="AZL57" s="69"/>
      <c r="AZM57" s="69"/>
      <c r="AZN57" s="69"/>
      <c r="AZO57" s="69"/>
      <c r="AZP57" s="69"/>
      <c r="AZQ57" s="69"/>
      <c r="AZR57" s="69"/>
      <c r="AZS57" s="69"/>
      <c r="AZT57" s="69"/>
      <c r="AZU57" s="69"/>
      <c r="AZV57" s="69"/>
      <c r="AZW57" s="69"/>
      <c r="AZX57" s="69"/>
      <c r="AZY57" s="69"/>
      <c r="AZZ57" s="69"/>
      <c r="BAA57" s="69"/>
      <c r="BAB57" s="69"/>
      <c r="BAC57" s="69"/>
      <c r="BAD57" s="69"/>
      <c r="BAE57" s="69"/>
      <c r="BAF57" s="69"/>
      <c r="BAG57" s="85"/>
      <c r="BAH57" s="70"/>
      <c r="BAI57" s="69"/>
      <c r="BAJ57" s="69"/>
      <c r="BAK57" s="69"/>
      <c r="BAL57" s="69"/>
      <c r="BAM57" s="69"/>
      <c r="BAN57" s="69"/>
      <c r="BAO57" s="69"/>
      <c r="BAP57" s="69"/>
      <c r="BAQ57" s="69"/>
      <c r="BAR57" s="69"/>
      <c r="BAS57" s="69"/>
      <c r="BAT57" s="69"/>
      <c r="BAU57" s="69"/>
      <c r="BAV57" s="69"/>
      <c r="BAW57" s="69"/>
      <c r="BAX57" s="69"/>
      <c r="BAY57" s="69"/>
      <c r="BAZ57" s="69"/>
      <c r="BBA57" s="69"/>
      <c r="BBB57" s="69"/>
      <c r="BBC57" s="69"/>
      <c r="BBD57" s="69"/>
      <c r="BBE57" s="69"/>
      <c r="BBF57" s="69"/>
      <c r="BBG57" s="69"/>
      <c r="BBH57" s="69"/>
      <c r="BBI57" s="69"/>
      <c r="BBJ57" s="69"/>
      <c r="BBK57" s="69"/>
      <c r="BBL57" s="69"/>
      <c r="BBM57" s="69"/>
      <c r="BBN57" s="69"/>
      <c r="BBO57" s="69"/>
      <c r="BBP57" s="69"/>
      <c r="BBQ57" s="69"/>
      <c r="BBR57" s="69"/>
      <c r="BBS57" s="69"/>
      <c r="BBT57" s="69"/>
      <c r="BBU57" s="69"/>
      <c r="BBV57" s="69"/>
      <c r="BBW57" s="69"/>
      <c r="BBX57" s="69"/>
      <c r="BBY57" s="69"/>
      <c r="BBZ57" s="69"/>
      <c r="BCA57" s="69"/>
      <c r="BCB57" s="69"/>
      <c r="BCC57" s="69"/>
      <c r="BCD57" s="69"/>
      <c r="BCE57" s="69"/>
      <c r="BCF57" s="69"/>
      <c r="BCG57" s="69"/>
      <c r="BCH57" s="69"/>
      <c r="BCI57" s="69"/>
      <c r="BCJ57" s="69"/>
      <c r="BCK57" s="69"/>
      <c r="BCL57" s="69"/>
      <c r="BCM57" s="69"/>
      <c r="BCN57" s="69"/>
      <c r="BCO57" s="85"/>
      <c r="BCP57" s="70"/>
      <c r="BCQ57" s="69"/>
      <c r="BCR57" s="69"/>
      <c r="BCS57" s="69"/>
      <c r="BCT57" s="69"/>
      <c r="BCU57" s="69"/>
      <c r="BCV57" s="69"/>
      <c r="BCW57" s="69"/>
      <c r="BCX57" s="69"/>
      <c r="BCY57" s="69"/>
      <c r="BCZ57" s="69"/>
      <c r="BDA57" s="69"/>
      <c r="BDB57" s="69"/>
      <c r="BDC57" s="69"/>
      <c r="BDD57" s="69"/>
      <c r="BDE57" s="69"/>
      <c r="BDF57" s="69"/>
      <c r="BDG57" s="69"/>
      <c r="BDH57" s="69"/>
      <c r="BDI57" s="69"/>
      <c r="BDJ57" s="69"/>
      <c r="BDK57" s="69"/>
      <c r="BDL57" s="69"/>
      <c r="BDM57" s="69"/>
      <c r="BDN57" s="69"/>
      <c r="BDO57" s="69"/>
      <c r="BDP57" s="69"/>
      <c r="BDQ57" s="69"/>
      <c r="BDR57" s="69"/>
      <c r="BDS57" s="69"/>
      <c r="BDT57" s="69"/>
      <c r="BDU57" s="69"/>
      <c r="BDV57" s="69"/>
      <c r="BDW57" s="69"/>
      <c r="BDX57" s="69"/>
      <c r="BDY57" s="69"/>
      <c r="BDZ57" s="69"/>
      <c r="BEA57" s="69"/>
      <c r="BEB57" s="69"/>
      <c r="BEC57" s="69"/>
      <c r="BED57" s="69"/>
      <c r="BEE57" s="69"/>
      <c r="BEF57" s="69"/>
      <c r="BEG57" s="69"/>
      <c r="BEH57" s="69"/>
      <c r="BEI57" s="69"/>
      <c r="BEJ57" s="69"/>
      <c r="BEK57" s="69"/>
      <c r="BEL57" s="69"/>
      <c r="BEM57" s="69"/>
      <c r="BEN57" s="69"/>
      <c r="BEO57" s="69"/>
      <c r="BEP57" s="69"/>
      <c r="BEQ57" s="69"/>
      <c r="BER57" s="69"/>
      <c r="BES57" s="69"/>
      <c r="BET57" s="69"/>
      <c r="BEU57" s="69"/>
      <c r="BEV57" s="69"/>
      <c r="BEW57" s="85"/>
      <c r="BEX57" s="70"/>
      <c r="BEY57" s="69"/>
      <c r="BEZ57" s="69"/>
      <c r="BFA57" s="69"/>
      <c r="BFB57" s="69"/>
      <c r="BFC57" s="69"/>
      <c r="BFD57" s="69"/>
      <c r="BFE57" s="69"/>
      <c r="BFF57" s="69"/>
      <c r="BFG57" s="69"/>
      <c r="BFH57" s="69"/>
      <c r="BFI57" s="69"/>
      <c r="BFJ57" s="69"/>
      <c r="BFK57" s="69"/>
      <c r="BFL57" s="69"/>
      <c r="BFM57" s="69"/>
      <c r="BFN57" s="69"/>
      <c r="BFO57" s="69"/>
      <c r="BFP57" s="69"/>
      <c r="BFQ57" s="69"/>
      <c r="BFR57" s="69"/>
      <c r="BFS57" s="69"/>
      <c r="BFT57" s="69"/>
      <c r="BFU57" s="69"/>
      <c r="BFV57" s="69"/>
      <c r="BFW57" s="69"/>
      <c r="BFX57" s="69"/>
      <c r="BFY57" s="69"/>
      <c r="BFZ57" s="69"/>
      <c r="BGA57" s="69"/>
      <c r="BGB57" s="69"/>
      <c r="BGC57" s="69"/>
      <c r="BGD57" s="69"/>
      <c r="BGE57" s="69"/>
      <c r="BGF57" s="69"/>
      <c r="BGG57" s="69"/>
      <c r="BGH57" s="69"/>
      <c r="BGI57" s="69"/>
      <c r="BGJ57" s="69"/>
      <c r="BGK57" s="69"/>
      <c r="BGL57" s="69"/>
      <c r="BGM57" s="69"/>
      <c r="BGN57" s="69"/>
      <c r="BGO57" s="69"/>
      <c r="BGP57" s="69"/>
      <c r="BGQ57" s="69"/>
      <c r="BGR57" s="69"/>
      <c r="BGS57" s="69"/>
      <c r="BGT57" s="69"/>
      <c r="BGU57" s="69"/>
      <c r="BGV57" s="69"/>
      <c r="BGW57" s="69"/>
      <c r="BGX57" s="69"/>
      <c r="BGY57" s="69"/>
      <c r="BGZ57" s="69"/>
      <c r="BHA57" s="69"/>
      <c r="BHB57" s="69"/>
      <c r="BHC57" s="69"/>
      <c r="BHD57" s="69"/>
      <c r="BHE57" s="85"/>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thickBot="1" x14ac:dyDescent="0.3">
      <c r="A58" s="100" t="s">
        <v>21</v>
      </c>
      <c r="B58" s="63"/>
      <c r="C58" s="257"/>
      <c r="D58" s="258"/>
      <c r="E58" s="122" t="str">
        <f xml:space="preserve"> setValueToTime(E57)</f>
        <v>89h50min</v>
      </c>
      <c r="F58" s="111"/>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3"/>
      <c r="BN58" s="111"/>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3"/>
      <c r="DV58" s="111"/>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3"/>
      <c r="GD58" s="111"/>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3"/>
      <c r="IL58" s="111"/>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2"/>
      <c r="KE58" s="112"/>
      <c r="KF58" s="112"/>
      <c r="KG58" s="112"/>
      <c r="KH58" s="112"/>
      <c r="KI58" s="112"/>
      <c r="KJ58" s="112"/>
      <c r="KK58" s="112"/>
      <c r="KL58" s="112"/>
      <c r="KM58" s="112"/>
      <c r="KN58" s="112"/>
      <c r="KO58" s="112"/>
      <c r="KP58" s="112"/>
      <c r="KQ58" s="112"/>
      <c r="KR58" s="112"/>
      <c r="KS58" s="113"/>
      <c r="KT58" s="111"/>
      <c r="KU58" s="112"/>
      <c r="KV58" s="112"/>
      <c r="KW58" s="112"/>
      <c r="KX58" s="112"/>
      <c r="KY58" s="112"/>
      <c r="KZ58" s="112"/>
      <c r="LA58" s="112"/>
      <c r="LB58" s="112"/>
      <c r="LC58" s="112"/>
      <c r="LD58" s="112"/>
      <c r="LE58" s="112"/>
      <c r="LF58" s="112"/>
      <c r="LG58" s="112"/>
      <c r="LH58" s="112"/>
      <c r="LI58" s="112"/>
      <c r="LJ58" s="112"/>
      <c r="LK58" s="112"/>
      <c r="LL58" s="112"/>
      <c r="LM58" s="112"/>
      <c r="LN58" s="112"/>
      <c r="LO58" s="112"/>
      <c r="LP58" s="112"/>
      <c r="LQ58" s="112"/>
      <c r="LR58" s="112"/>
      <c r="LS58" s="112"/>
      <c r="LT58" s="112"/>
      <c r="LU58" s="112"/>
      <c r="LV58" s="112"/>
      <c r="LW58" s="112"/>
      <c r="LX58" s="112"/>
      <c r="LY58" s="112"/>
      <c r="LZ58" s="112"/>
      <c r="MA58" s="112"/>
      <c r="MB58" s="112"/>
      <c r="MC58" s="112"/>
      <c r="MD58" s="112"/>
      <c r="ME58" s="112"/>
      <c r="MF58" s="112"/>
      <c r="MG58" s="112"/>
      <c r="MH58" s="112"/>
      <c r="MI58" s="112"/>
      <c r="MJ58" s="112"/>
      <c r="MK58" s="112"/>
      <c r="ML58" s="112"/>
      <c r="MM58" s="112"/>
      <c r="MN58" s="112"/>
      <c r="MO58" s="112"/>
      <c r="MP58" s="112"/>
      <c r="MQ58" s="112"/>
      <c r="MR58" s="112"/>
      <c r="MS58" s="112"/>
      <c r="MT58" s="112"/>
      <c r="MU58" s="112"/>
      <c r="MV58" s="112"/>
      <c r="MW58" s="112"/>
      <c r="MX58" s="112"/>
      <c r="MY58" s="112"/>
      <c r="MZ58" s="112"/>
      <c r="NA58" s="113"/>
      <c r="NB58" s="111"/>
      <c r="NC58" s="112"/>
      <c r="ND58" s="112"/>
      <c r="NE58" s="112"/>
      <c r="NF58" s="112"/>
      <c r="NG58" s="112"/>
      <c r="NH58" s="112"/>
      <c r="NI58" s="112"/>
      <c r="NJ58" s="112"/>
      <c r="NK58" s="112"/>
      <c r="NL58" s="112"/>
      <c r="NM58" s="112"/>
      <c r="NN58" s="112"/>
      <c r="NO58" s="112"/>
      <c r="NP58" s="112"/>
      <c r="NQ58" s="112"/>
      <c r="NR58" s="112"/>
      <c r="NS58" s="112"/>
      <c r="NT58" s="112"/>
      <c r="NU58" s="112"/>
      <c r="NV58" s="112"/>
      <c r="NW58" s="112"/>
      <c r="NX58" s="112"/>
      <c r="NY58" s="112"/>
      <c r="NZ58" s="112"/>
      <c r="OA58" s="112"/>
      <c r="OB58" s="112"/>
      <c r="OC58" s="112"/>
      <c r="OD58" s="112"/>
      <c r="OE58" s="112"/>
      <c r="OF58" s="112"/>
      <c r="OG58" s="112"/>
      <c r="OH58" s="112"/>
      <c r="OI58" s="112"/>
      <c r="OJ58" s="112"/>
      <c r="OK58" s="112"/>
      <c r="OL58" s="112"/>
      <c r="OM58" s="112"/>
      <c r="ON58" s="112"/>
      <c r="OO58" s="112"/>
      <c r="OP58" s="112"/>
      <c r="OQ58" s="112"/>
      <c r="OR58" s="112"/>
      <c r="OS58" s="112"/>
      <c r="OT58" s="112"/>
      <c r="OU58" s="112"/>
      <c r="OV58" s="112"/>
      <c r="OW58" s="112"/>
      <c r="OX58" s="112"/>
      <c r="OY58" s="112"/>
      <c r="OZ58" s="112"/>
      <c r="PA58" s="112"/>
      <c r="PB58" s="112"/>
      <c r="PC58" s="112"/>
      <c r="PD58" s="112"/>
      <c r="PE58" s="112"/>
      <c r="PF58" s="112"/>
      <c r="PG58" s="112"/>
      <c r="PH58" s="112"/>
      <c r="PI58" s="113"/>
      <c r="PJ58" s="111"/>
      <c r="PK58" s="112"/>
      <c r="PL58" s="112"/>
      <c r="PM58" s="112"/>
      <c r="PN58" s="112"/>
      <c r="PO58" s="112"/>
      <c r="PP58" s="112"/>
      <c r="PQ58" s="112"/>
      <c r="PR58" s="112"/>
      <c r="PS58" s="112"/>
      <c r="PT58" s="112"/>
      <c r="PU58" s="112"/>
      <c r="PV58" s="112"/>
      <c r="PW58" s="112"/>
      <c r="PX58" s="112"/>
      <c r="PY58" s="112"/>
      <c r="PZ58" s="112"/>
      <c r="QA58" s="112"/>
      <c r="QB58" s="112"/>
      <c r="QC58" s="112"/>
      <c r="QD58" s="112"/>
      <c r="QE58" s="112"/>
      <c r="QF58" s="112"/>
      <c r="QG58" s="112"/>
      <c r="QH58" s="112"/>
      <c r="QI58" s="112"/>
      <c r="QJ58" s="112"/>
      <c r="QK58" s="112"/>
      <c r="QL58" s="112"/>
      <c r="QM58" s="112"/>
      <c r="QN58" s="112"/>
      <c r="QO58" s="112"/>
      <c r="QP58" s="112"/>
      <c r="QQ58" s="112"/>
      <c r="QR58" s="112"/>
      <c r="QS58" s="112"/>
      <c r="QT58" s="112"/>
      <c r="QU58" s="112"/>
      <c r="QV58" s="112"/>
      <c r="QW58" s="112"/>
      <c r="QX58" s="112"/>
      <c r="QY58" s="112"/>
      <c r="QZ58" s="112"/>
      <c r="RA58" s="112"/>
      <c r="RB58" s="112"/>
      <c r="RC58" s="112"/>
      <c r="RD58" s="112"/>
      <c r="RE58" s="112"/>
      <c r="RF58" s="112"/>
      <c r="RG58" s="112"/>
      <c r="RH58" s="112"/>
      <c r="RI58" s="112"/>
      <c r="RJ58" s="112"/>
      <c r="RK58" s="112"/>
      <c r="RL58" s="112"/>
      <c r="RM58" s="112"/>
      <c r="RN58" s="112"/>
      <c r="RO58" s="112"/>
      <c r="RP58" s="112"/>
      <c r="RQ58" s="113"/>
      <c r="RR58" s="111"/>
      <c r="RS58" s="112"/>
      <c r="RT58" s="112"/>
      <c r="RU58" s="112"/>
      <c r="RV58" s="112"/>
      <c r="RW58" s="112"/>
      <c r="RX58" s="112"/>
      <c r="RY58" s="112"/>
      <c r="RZ58" s="112"/>
      <c r="SA58" s="112"/>
      <c r="SB58" s="112"/>
      <c r="SC58" s="112"/>
      <c r="SD58" s="112"/>
      <c r="SE58" s="112"/>
      <c r="SF58" s="112"/>
      <c r="SG58" s="112"/>
      <c r="SH58" s="112"/>
      <c r="SI58" s="112"/>
      <c r="SJ58" s="112"/>
      <c r="SK58" s="112"/>
      <c r="SL58" s="112"/>
      <c r="SM58" s="112"/>
      <c r="SN58" s="112"/>
      <c r="SO58" s="112"/>
      <c r="SP58" s="112"/>
      <c r="SQ58" s="112"/>
      <c r="SR58" s="112"/>
      <c r="SS58" s="112"/>
      <c r="ST58" s="112"/>
      <c r="SU58" s="112"/>
      <c r="SV58" s="112"/>
      <c r="SW58" s="112"/>
      <c r="SX58" s="112"/>
      <c r="SY58" s="112"/>
      <c r="SZ58" s="112"/>
      <c r="TA58" s="112"/>
      <c r="TB58" s="112"/>
      <c r="TC58" s="112"/>
      <c r="TD58" s="112"/>
      <c r="TE58" s="112"/>
      <c r="TF58" s="112"/>
      <c r="TG58" s="112"/>
      <c r="TH58" s="112"/>
      <c r="TI58" s="112"/>
      <c r="TJ58" s="112"/>
      <c r="TK58" s="112"/>
      <c r="TL58" s="112"/>
      <c r="TM58" s="112"/>
      <c r="TN58" s="112"/>
      <c r="TO58" s="112"/>
      <c r="TP58" s="112"/>
      <c r="TQ58" s="112"/>
      <c r="TR58" s="112"/>
      <c r="TS58" s="112"/>
      <c r="TT58" s="112"/>
      <c r="TU58" s="112"/>
      <c r="TV58" s="112"/>
      <c r="TW58" s="112"/>
      <c r="TX58" s="112"/>
      <c r="TY58" s="113"/>
      <c r="TZ58" s="111"/>
      <c r="UA58" s="112"/>
      <c r="UB58" s="112"/>
      <c r="UC58" s="112"/>
      <c r="UD58" s="112"/>
      <c r="UE58" s="112"/>
      <c r="UF58" s="112"/>
      <c r="UG58" s="112"/>
      <c r="UH58" s="112"/>
      <c r="UI58" s="112"/>
      <c r="UJ58" s="112"/>
      <c r="UK58" s="112"/>
      <c r="UL58" s="112"/>
      <c r="UM58" s="112"/>
      <c r="UN58" s="112"/>
      <c r="UO58" s="112"/>
      <c r="UP58" s="112"/>
      <c r="UQ58" s="112"/>
      <c r="UR58" s="112"/>
      <c r="US58" s="112"/>
      <c r="UT58" s="112"/>
      <c r="UU58" s="112"/>
      <c r="UV58" s="112"/>
      <c r="UW58" s="112"/>
      <c r="UX58" s="112"/>
      <c r="UY58" s="112"/>
      <c r="UZ58" s="112"/>
      <c r="VA58" s="112"/>
      <c r="VB58" s="112"/>
      <c r="VC58" s="112"/>
      <c r="VD58" s="112"/>
      <c r="VE58" s="112"/>
      <c r="VF58" s="112"/>
      <c r="VG58" s="112"/>
      <c r="VH58" s="112"/>
      <c r="VI58" s="112"/>
      <c r="VJ58" s="112"/>
      <c r="VK58" s="112"/>
      <c r="VL58" s="112"/>
      <c r="VM58" s="112"/>
      <c r="VN58" s="112"/>
      <c r="VO58" s="112"/>
      <c r="VP58" s="112"/>
      <c r="VQ58" s="112"/>
      <c r="VR58" s="112"/>
      <c r="VS58" s="112"/>
      <c r="VT58" s="112"/>
      <c r="VU58" s="112"/>
      <c r="VV58" s="112"/>
      <c r="VW58" s="112"/>
      <c r="VX58" s="112"/>
      <c r="VY58" s="112"/>
      <c r="VZ58" s="112"/>
      <c r="WA58" s="112"/>
      <c r="WB58" s="112"/>
      <c r="WC58" s="112"/>
      <c r="WD58" s="112"/>
      <c r="WE58" s="112"/>
      <c r="WF58" s="112"/>
      <c r="WG58" s="113"/>
      <c r="WH58" s="111"/>
      <c r="WI58" s="112"/>
      <c r="WJ58" s="112"/>
      <c r="WK58" s="112"/>
      <c r="WL58" s="112"/>
      <c r="WM58" s="112"/>
      <c r="WN58" s="112"/>
      <c r="WO58" s="112"/>
      <c r="WP58" s="112"/>
      <c r="WQ58" s="112"/>
      <c r="WR58" s="112"/>
      <c r="WS58" s="112"/>
      <c r="WT58" s="112"/>
      <c r="WU58" s="112"/>
      <c r="WV58" s="112"/>
      <c r="WW58" s="112"/>
      <c r="WX58" s="112"/>
      <c r="WY58" s="112"/>
      <c r="WZ58" s="112"/>
      <c r="XA58" s="112"/>
      <c r="XB58" s="112"/>
      <c r="XC58" s="112"/>
      <c r="XD58" s="112"/>
      <c r="XE58" s="112"/>
      <c r="XF58" s="112"/>
      <c r="XG58" s="112"/>
      <c r="XH58" s="112"/>
      <c r="XI58" s="112"/>
      <c r="XJ58" s="112"/>
      <c r="XK58" s="112"/>
      <c r="XL58" s="112"/>
      <c r="XM58" s="112"/>
      <c r="XN58" s="112"/>
      <c r="XO58" s="112"/>
      <c r="XP58" s="112"/>
      <c r="XQ58" s="112"/>
      <c r="XR58" s="112"/>
      <c r="XS58" s="112"/>
      <c r="XT58" s="112"/>
      <c r="XU58" s="112"/>
      <c r="XV58" s="112"/>
      <c r="XW58" s="112"/>
      <c r="XX58" s="112"/>
      <c r="XY58" s="112"/>
      <c r="XZ58" s="112"/>
      <c r="YA58" s="112"/>
      <c r="YB58" s="112"/>
      <c r="YC58" s="112"/>
      <c r="YD58" s="112"/>
      <c r="YE58" s="112"/>
      <c r="YF58" s="112"/>
      <c r="YG58" s="112"/>
      <c r="YH58" s="112"/>
      <c r="YI58" s="112"/>
      <c r="YJ58" s="112"/>
      <c r="YK58" s="112"/>
      <c r="YL58" s="112"/>
      <c r="YM58" s="112"/>
      <c r="YN58" s="112"/>
      <c r="YO58" s="113"/>
      <c r="YP58" s="111"/>
      <c r="YQ58" s="112"/>
      <c r="YR58" s="112"/>
      <c r="YS58" s="112"/>
      <c r="YT58" s="112"/>
      <c r="YU58" s="112"/>
      <c r="YV58" s="112"/>
      <c r="YW58" s="112"/>
      <c r="YX58" s="112"/>
      <c r="YY58" s="112"/>
      <c r="YZ58" s="112"/>
      <c r="ZA58" s="112"/>
      <c r="ZB58" s="112"/>
      <c r="ZC58" s="112"/>
      <c r="ZD58" s="112"/>
      <c r="ZE58" s="112"/>
      <c r="ZF58" s="112"/>
      <c r="ZG58" s="112"/>
      <c r="ZH58" s="112"/>
      <c r="ZI58" s="112"/>
      <c r="ZJ58" s="112"/>
      <c r="ZK58" s="112"/>
      <c r="ZL58" s="112"/>
      <c r="ZM58" s="112"/>
      <c r="ZN58" s="112"/>
      <c r="ZO58" s="112"/>
      <c r="ZP58" s="112"/>
      <c r="ZQ58" s="112"/>
      <c r="ZR58" s="112"/>
      <c r="ZS58" s="112"/>
      <c r="ZT58" s="112"/>
      <c r="ZU58" s="112"/>
      <c r="ZV58" s="112"/>
      <c r="ZW58" s="112"/>
      <c r="ZX58" s="112"/>
      <c r="ZY58" s="112"/>
      <c r="ZZ58" s="112"/>
      <c r="AAA58" s="112"/>
      <c r="AAB58" s="112"/>
      <c r="AAC58" s="112"/>
      <c r="AAD58" s="112"/>
      <c r="AAE58" s="112"/>
      <c r="AAF58" s="112"/>
      <c r="AAG58" s="112"/>
      <c r="AAH58" s="112"/>
      <c r="AAI58" s="112"/>
      <c r="AAJ58" s="112"/>
      <c r="AAK58" s="112"/>
      <c r="AAL58" s="112"/>
      <c r="AAM58" s="112"/>
      <c r="AAN58" s="112"/>
      <c r="AAO58" s="112"/>
      <c r="AAP58" s="112"/>
      <c r="AAQ58" s="112"/>
      <c r="AAR58" s="112"/>
      <c r="AAS58" s="112"/>
      <c r="AAT58" s="112"/>
      <c r="AAU58" s="112"/>
      <c r="AAV58" s="112"/>
      <c r="AAW58" s="113"/>
      <c r="AAX58" s="111"/>
      <c r="AAY58" s="112"/>
      <c r="AAZ58" s="112"/>
      <c r="ABA58" s="112"/>
      <c r="ABB58" s="112"/>
      <c r="ABC58" s="112"/>
      <c r="ABD58" s="112"/>
      <c r="ABE58" s="112"/>
      <c r="ABF58" s="112"/>
      <c r="ABG58" s="112"/>
      <c r="ABH58" s="112"/>
      <c r="ABI58" s="112"/>
      <c r="ABJ58" s="112"/>
      <c r="ABK58" s="112"/>
      <c r="ABL58" s="112"/>
      <c r="ABM58" s="112"/>
      <c r="ABN58" s="112"/>
      <c r="ABO58" s="112"/>
      <c r="ABP58" s="112"/>
      <c r="ABQ58" s="112"/>
      <c r="ABR58" s="112"/>
      <c r="ABS58" s="112"/>
      <c r="ABT58" s="112"/>
      <c r="ABU58" s="112"/>
      <c r="ABV58" s="112"/>
      <c r="ABW58" s="112"/>
      <c r="ABX58" s="112"/>
      <c r="ABY58" s="112"/>
      <c r="ABZ58" s="112"/>
      <c r="ACA58" s="112"/>
      <c r="ACB58" s="112"/>
      <c r="ACC58" s="112"/>
      <c r="ACD58" s="112"/>
      <c r="ACE58" s="112"/>
      <c r="ACF58" s="112"/>
      <c r="ACG58" s="112"/>
      <c r="ACH58" s="112"/>
      <c r="ACI58" s="112"/>
      <c r="ACJ58" s="112"/>
      <c r="ACK58" s="112"/>
      <c r="ACL58" s="112"/>
      <c r="ACM58" s="112"/>
      <c r="ACN58" s="112"/>
      <c r="ACO58" s="112"/>
      <c r="ACP58" s="112"/>
      <c r="ACQ58" s="112"/>
      <c r="ACR58" s="112"/>
      <c r="ACS58" s="112"/>
      <c r="ACT58" s="112"/>
      <c r="ACU58" s="112"/>
      <c r="ACV58" s="112"/>
      <c r="ACW58" s="112"/>
      <c r="ACX58" s="112"/>
      <c r="ACY58" s="112"/>
      <c r="ACZ58" s="112"/>
      <c r="ADA58" s="112"/>
      <c r="ADB58" s="112"/>
      <c r="ADC58" s="112"/>
      <c r="ADD58" s="112"/>
      <c r="ADE58" s="113"/>
      <c r="ADF58" s="111"/>
      <c r="ADG58" s="112"/>
      <c r="ADH58" s="112"/>
      <c r="ADI58" s="112"/>
      <c r="ADJ58" s="112"/>
      <c r="ADK58" s="112"/>
      <c r="ADL58" s="112"/>
      <c r="ADM58" s="112"/>
      <c r="ADN58" s="112"/>
      <c r="ADO58" s="112"/>
      <c r="ADP58" s="112"/>
      <c r="ADQ58" s="112"/>
      <c r="ADR58" s="112"/>
      <c r="ADS58" s="112"/>
      <c r="ADT58" s="112"/>
      <c r="ADU58" s="112"/>
      <c r="ADV58" s="112"/>
      <c r="ADW58" s="112"/>
      <c r="ADX58" s="112"/>
      <c r="ADY58" s="112"/>
      <c r="ADZ58" s="112"/>
      <c r="AEA58" s="112"/>
      <c r="AEB58" s="112"/>
      <c r="AEC58" s="112"/>
      <c r="AED58" s="112"/>
      <c r="AEE58" s="112"/>
      <c r="AEF58" s="112"/>
      <c r="AEG58" s="112"/>
      <c r="AEH58" s="112"/>
      <c r="AEI58" s="112"/>
      <c r="AEJ58" s="112"/>
      <c r="AEK58" s="112"/>
      <c r="AEL58" s="112"/>
      <c r="AEM58" s="112"/>
      <c r="AEN58" s="112"/>
      <c r="AEO58" s="112"/>
      <c r="AEP58" s="112"/>
      <c r="AEQ58" s="112"/>
      <c r="AER58" s="112"/>
      <c r="AES58" s="112"/>
      <c r="AET58" s="112"/>
      <c r="AEU58" s="112"/>
      <c r="AEV58" s="112"/>
      <c r="AEW58" s="112"/>
      <c r="AEX58" s="112"/>
      <c r="AEY58" s="112"/>
      <c r="AEZ58" s="112"/>
      <c r="AFA58" s="112"/>
      <c r="AFB58" s="112"/>
      <c r="AFC58" s="112"/>
      <c r="AFD58" s="112"/>
      <c r="AFE58" s="112"/>
      <c r="AFF58" s="112"/>
      <c r="AFG58" s="112"/>
      <c r="AFH58" s="112"/>
      <c r="AFI58" s="112"/>
      <c r="AFJ58" s="112"/>
      <c r="AFK58" s="112"/>
      <c r="AFL58" s="112"/>
      <c r="AFM58" s="113"/>
      <c r="AFN58" s="111"/>
      <c r="AFO58" s="112"/>
      <c r="AFP58" s="112"/>
      <c r="AFQ58" s="112"/>
      <c r="AFR58" s="112"/>
      <c r="AFS58" s="112"/>
      <c r="AFT58" s="112"/>
      <c r="AFU58" s="112"/>
      <c r="AFV58" s="112"/>
      <c r="AFW58" s="112"/>
      <c r="AFX58" s="112"/>
      <c r="AFY58" s="112"/>
      <c r="AFZ58" s="112"/>
      <c r="AGA58" s="112"/>
      <c r="AGB58" s="112"/>
      <c r="AGC58" s="112"/>
      <c r="AGD58" s="112"/>
      <c r="AGE58" s="112"/>
      <c r="AGF58" s="112"/>
      <c r="AGG58" s="112"/>
      <c r="AGH58" s="112"/>
      <c r="AGI58" s="112"/>
      <c r="AGJ58" s="112"/>
      <c r="AGK58" s="112"/>
      <c r="AGL58" s="112"/>
      <c r="AGM58" s="112"/>
      <c r="AGN58" s="112"/>
      <c r="AGO58" s="112"/>
      <c r="AGP58" s="112"/>
      <c r="AGQ58" s="112"/>
      <c r="AGR58" s="112"/>
      <c r="AGS58" s="112"/>
      <c r="AGT58" s="112"/>
      <c r="AGU58" s="112"/>
      <c r="AGV58" s="112"/>
      <c r="AGW58" s="112"/>
      <c r="AGX58" s="112"/>
      <c r="AGY58" s="112"/>
      <c r="AGZ58" s="112"/>
      <c r="AHA58" s="112"/>
      <c r="AHB58" s="112"/>
      <c r="AHC58" s="112"/>
      <c r="AHD58" s="112"/>
      <c r="AHE58" s="112"/>
      <c r="AHF58" s="112"/>
      <c r="AHG58" s="112"/>
      <c r="AHH58" s="112"/>
      <c r="AHI58" s="112"/>
      <c r="AHJ58" s="112"/>
      <c r="AHK58" s="112"/>
      <c r="AHL58" s="112"/>
      <c r="AHM58" s="112"/>
      <c r="AHN58" s="112"/>
      <c r="AHO58" s="112"/>
      <c r="AHP58" s="112"/>
      <c r="AHQ58" s="112"/>
      <c r="AHR58" s="112"/>
      <c r="AHS58" s="112"/>
      <c r="AHT58" s="112"/>
      <c r="AHU58" s="113"/>
      <c r="AHV58" s="111"/>
      <c r="AHW58" s="112"/>
      <c r="AHX58" s="112"/>
      <c r="AHY58" s="112"/>
      <c r="AHZ58" s="112"/>
      <c r="AIA58" s="112"/>
      <c r="AIB58" s="112"/>
      <c r="AIC58" s="112"/>
      <c r="AID58" s="112"/>
      <c r="AIE58" s="112"/>
      <c r="AIF58" s="112"/>
      <c r="AIG58" s="112"/>
      <c r="AIH58" s="112"/>
      <c r="AII58" s="112"/>
      <c r="AIJ58" s="112"/>
      <c r="AIK58" s="112"/>
      <c r="AIL58" s="112"/>
      <c r="AIM58" s="112"/>
      <c r="AIN58" s="112"/>
      <c r="AIO58" s="112"/>
      <c r="AIP58" s="112"/>
      <c r="AIQ58" s="112"/>
      <c r="AIR58" s="112"/>
      <c r="AIS58" s="112"/>
      <c r="AIT58" s="112"/>
      <c r="AIU58" s="112"/>
      <c r="AIV58" s="112"/>
      <c r="AIW58" s="112"/>
      <c r="AIX58" s="112"/>
      <c r="AIY58" s="112"/>
      <c r="AIZ58" s="112"/>
      <c r="AJA58" s="112"/>
      <c r="AJB58" s="112"/>
      <c r="AJC58" s="112"/>
      <c r="AJD58" s="112"/>
      <c r="AJE58" s="112"/>
      <c r="AJF58" s="112"/>
      <c r="AJG58" s="112"/>
      <c r="AJH58" s="112"/>
      <c r="AJI58" s="112"/>
      <c r="AJJ58" s="112"/>
      <c r="AJK58" s="112"/>
      <c r="AJL58" s="112"/>
      <c r="AJM58" s="112"/>
      <c r="AJN58" s="112"/>
      <c r="AJO58" s="112"/>
      <c r="AJP58" s="112"/>
      <c r="AJQ58" s="112"/>
      <c r="AJR58" s="112"/>
      <c r="AJS58" s="112"/>
      <c r="AJT58" s="112"/>
      <c r="AJU58" s="112"/>
      <c r="AJV58" s="112"/>
      <c r="AJW58" s="112"/>
      <c r="AJX58" s="112"/>
      <c r="AJY58" s="112"/>
      <c r="AJZ58" s="112"/>
      <c r="AKA58" s="112"/>
      <c r="AKB58" s="112"/>
      <c r="AKC58" s="113"/>
      <c r="AKD58" s="111"/>
      <c r="AKE58" s="112"/>
      <c r="AKF58" s="112"/>
      <c r="AKG58" s="112"/>
      <c r="AKH58" s="112"/>
      <c r="AKI58" s="112"/>
      <c r="AKJ58" s="112"/>
      <c r="AKK58" s="112"/>
      <c r="AKL58" s="112"/>
      <c r="AKM58" s="112"/>
      <c r="AKN58" s="112"/>
      <c r="AKO58" s="112"/>
      <c r="AKP58" s="112"/>
      <c r="AKQ58" s="112"/>
      <c r="AKR58" s="112"/>
      <c r="AKS58" s="112"/>
      <c r="AKT58" s="112"/>
      <c r="AKU58" s="112"/>
      <c r="AKV58" s="112"/>
      <c r="AKW58" s="112"/>
      <c r="AKX58" s="112"/>
      <c r="AKY58" s="112"/>
      <c r="AKZ58" s="112"/>
      <c r="ALA58" s="112"/>
      <c r="ALB58" s="112"/>
      <c r="ALC58" s="112"/>
      <c r="ALD58" s="112"/>
      <c r="ALE58" s="112"/>
      <c r="ALF58" s="112"/>
      <c r="ALG58" s="112"/>
      <c r="ALH58" s="112"/>
      <c r="ALI58" s="112"/>
      <c r="ALJ58" s="112"/>
      <c r="ALK58" s="112"/>
      <c r="ALL58" s="112"/>
      <c r="ALM58" s="112"/>
      <c r="ALN58" s="112"/>
      <c r="ALO58" s="112"/>
      <c r="ALP58" s="112"/>
      <c r="ALQ58" s="112"/>
      <c r="ALR58" s="112"/>
      <c r="ALS58" s="112"/>
      <c r="ALT58" s="112"/>
      <c r="ALU58" s="112"/>
      <c r="ALV58" s="112"/>
      <c r="ALW58" s="112"/>
      <c r="ALX58" s="112"/>
      <c r="ALY58" s="112"/>
      <c r="ALZ58" s="112"/>
      <c r="AMA58" s="112"/>
      <c r="AMB58" s="112"/>
      <c r="AMC58" s="112"/>
      <c r="AMD58" s="112"/>
      <c r="AME58" s="112"/>
      <c r="AMF58" s="112"/>
      <c r="AMG58" s="112"/>
      <c r="AMH58" s="112"/>
      <c r="AMI58" s="112"/>
      <c r="AMJ58" s="112"/>
      <c r="AMK58" s="113"/>
      <c r="AML58" s="111"/>
      <c r="AMM58" s="112"/>
      <c r="AMN58" s="112"/>
      <c r="AMO58" s="112"/>
      <c r="AMP58" s="112"/>
      <c r="AMQ58" s="112"/>
      <c r="AMR58" s="112"/>
      <c r="AMS58" s="112"/>
      <c r="AMT58" s="112"/>
      <c r="AMU58" s="112"/>
      <c r="AMV58" s="112"/>
      <c r="AMW58" s="112"/>
      <c r="AMX58" s="112"/>
      <c r="AMY58" s="112"/>
      <c r="AMZ58" s="112"/>
      <c r="ANA58" s="112"/>
      <c r="ANB58" s="112"/>
      <c r="ANC58" s="112"/>
      <c r="AND58" s="112"/>
      <c r="ANE58" s="112"/>
      <c r="ANF58" s="112"/>
      <c r="ANG58" s="112"/>
      <c r="ANH58" s="112"/>
      <c r="ANI58" s="112"/>
      <c r="ANJ58" s="112"/>
      <c r="ANK58" s="112"/>
      <c r="ANL58" s="112"/>
      <c r="ANM58" s="112"/>
      <c r="ANN58" s="112"/>
      <c r="ANO58" s="112"/>
      <c r="ANP58" s="112"/>
      <c r="ANQ58" s="112"/>
      <c r="ANR58" s="112"/>
      <c r="ANS58" s="112"/>
      <c r="ANT58" s="112"/>
      <c r="ANU58" s="112"/>
      <c r="ANV58" s="112"/>
      <c r="ANW58" s="112"/>
      <c r="ANX58" s="112"/>
      <c r="ANY58" s="112"/>
      <c r="ANZ58" s="112"/>
      <c r="AOA58" s="112"/>
      <c r="AOB58" s="112"/>
      <c r="AOC58" s="112"/>
      <c r="AOD58" s="112"/>
      <c r="AOE58" s="112"/>
      <c r="AOF58" s="112"/>
      <c r="AOG58" s="112"/>
      <c r="AOH58" s="112"/>
      <c r="AOI58" s="112"/>
      <c r="AOJ58" s="112"/>
      <c r="AOK58" s="112"/>
      <c r="AOL58" s="112"/>
      <c r="AOM58" s="112"/>
      <c r="AON58" s="112"/>
      <c r="AOO58" s="112"/>
      <c r="AOP58" s="112"/>
      <c r="AOQ58" s="112"/>
      <c r="AOR58" s="112"/>
      <c r="AOS58" s="113"/>
      <c r="AOT58" s="111"/>
      <c r="AOU58" s="112"/>
      <c r="AOV58" s="112"/>
      <c r="AOW58" s="112"/>
      <c r="AOX58" s="112"/>
      <c r="AOY58" s="112"/>
      <c r="AOZ58" s="112"/>
      <c r="APA58" s="112"/>
      <c r="APB58" s="112"/>
      <c r="APC58" s="112"/>
      <c r="APD58" s="112"/>
      <c r="APE58" s="112"/>
      <c r="APF58" s="112"/>
      <c r="APG58" s="112"/>
      <c r="APH58" s="112"/>
      <c r="API58" s="112"/>
      <c r="APJ58" s="112"/>
      <c r="APK58" s="112"/>
      <c r="APL58" s="112"/>
      <c r="APM58" s="112"/>
      <c r="APN58" s="112"/>
      <c r="APO58" s="112"/>
      <c r="APP58" s="112"/>
      <c r="APQ58" s="112"/>
      <c r="APR58" s="112"/>
      <c r="APS58" s="112"/>
      <c r="APT58" s="112"/>
      <c r="APU58" s="112"/>
      <c r="APV58" s="112"/>
      <c r="APW58" s="112"/>
      <c r="APX58" s="112"/>
      <c r="APY58" s="112"/>
      <c r="APZ58" s="112"/>
      <c r="AQA58" s="112"/>
      <c r="AQB58" s="112"/>
      <c r="AQC58" s="112"/>
      <c r="AQD58" s="112"/>
      <c r="AQE58" s="112"/>
      <c r="AQF58" s="112"/>
      <c r="AQG58" s="112"/>
      <c r="AQH58" s="112"/>
      <c r="AQI58" s="112"/>
      <c r="AQJ58" s="112"/>
      <c r="AQK58" s="112"/>
      <c r="AQL58" s="112"/>
      <c r="AQM58" s="112"/>
      <c r="AQN58" s="112"/>
      <c r="AQO58" s="112"/>
      <c r="AQP58" s="112"/>
      <c r="AQQ58" s="112"/>
      <c r="AQR58" s="112"/>
      <c r="AQS58" s="112"/>
      <c r="AQT58" s="112"/>
      <c r="AQU58" s="112"/>
      <c r="AQV58" s="112"/>
      <c r="AQW58" s="112"/>
      <c r="AQX58" s="112"/>
      <c r="AQY58" s="112"/>
      <c r="AQZ58" s="112"/>
      <c r="ARA58" s="113"/>
      <c r="ARB58" s="111"/>
      <c r="ARC58" s="112"/>
      <c r="ARD58" s="112"/>
      <c r="ARE58" s="112"/>
      <c r="ARF58" s="112"/>
      <c r="ARG58" s="112"/>
      <c r="ARH58" s="112"/>
      <c r="ARI58" s="112"/>
      <c r="ARJ58" s="112"/>
      <c r="ARK58" s="112"/>
      <c r="ARL58" s="112"/>
      <c r="ARM58" s="112"/>
      <c r="ARN58" s="112"/>
      <c r="ARO58" s="112"/>
      <c r="ARP58" s="112"/>
      <c r="ARQ58" s="112"/>
      <c r="ARR58" s="112"/>
      <c r="ARS58" s="112"/>
      <c r="ART58" s="112"/>
      <c r="ARU58" s="112"/>
      <c r="ARV58" s="112"/>
      <c r="ARW58" s="112"/>
      <c r="ARX58" s="112"/>
      <c r="ARY58" s="112"/>
      <c r="ARZ58" s="112"/>
      <c r="ASA58" s="112"/>
      <c r="ASB58" s="112"/>
      <c r="ASC58" s="112"/>
      <c r="ASD58" s="112"/>
      <c r="ASE58" s="112"/>
      <c r="ASF58" s="112"/>
      <c r="ASG58" s="112"/>
      <c r="ASH58" s="112"/>
      <c r="ASI58" s="112"/>
      <c r="ASJ58" s="112"/>
      <c r="ASK58" s="112"/>
      <c r="ASL58" s="112"/>
      <c r="ASM58" s="112"/>
      <c r="ASN58" s="112"/>
      <c r="ASO58" s="112"/>
      <c r="ASP58" s="112"/>
      <c r="ASQ58" s="112"/>
      <c r="ASR58" s="112"/>
      <c r="ASS58" s="112"/>
      <c r="AST58" s="112"/>
      <c r="ASU58" s="112"/>
      <c r="ASV58" s="112"/>
      <c r="ASW58" s="112"/>
      <c r="ASX58" s="112"/>
      <c r="ASY58" s="112"/>
      <c r="ASZ58" s="112"/>
      <c r="ATA58" s="112"/>
      <c r="ATB58" s="112"/>
      <c r="ATC58" s="112"/>
      <c r="ATD58" s="112"/>
      <c r="ATE58" s="112"/>
      <c r="ATF58" s="112"/>
      <c r="ATG58" s="112"/>
      <c r="ATH58" s="112"/>
      <c r="ATI58" s="113"/>
      <c r="ATJ58" s="111"/>
      <c r="ATK58" s="112"/>
      <c r="ATL58" s="112"/>
      <c r="ATM58" s="112"/>
      <c r="ATN58" s="112"/>
      <c r="ATO58" s="112"/>
      <c r="ATP58" s="112"/>
      <c r="ATQ58" s="112"/>
      <c r="ATR58" s="112"/>
      <c r="ATS58" s="112"/>
      <c r="ATT58" s="112"/>
      <c r="ATU58" s="112"/>
      <c r="ATV58" s="112"/>
      <c r="ATW58" s="112"/>
      <c r="ATX58" s="112"/>
      <c r="ATY58" s="112"/>
      <c r="ATZ58" s="112"/>
      <c r="AUA58" s="112"/>
      <c r="AUB58" s="112"/>
      <c r="AUC58" s="112"/>
      <c r="AUD58" s="112"/>
      <c r="AUE58" s="112"/>
      <c r="AUF58" s="112"/>
      <c r="AUG58" s="112"/>
      <c r="AUH58" s="112"/>
      <c r="AUI58" s="112"/>
      <c r="AUJ58" s="112"/>
      <c r="AUK58" s="112"/>
      <c r="AUL58" s="112"/>
      <c r="AUM58" s="112"/>
      <c r="AUN58" s="112"/>
      <c r="AUO58" s="112"/>
      <c r="AUP58" s="112"/>
      <c r="AUQ58" s="112"/>
      <c r="AUR58" s="112"/>
      <c r="AUS58" s="112"/>
      <c r="AUT58" s="112"/>
      <c r="AUU58" s="112"/>
      <c r="AUV58" s="112"/>
      <c r="AUW58" s="112"/>
      <c r="AUX58" s="112"/>
      <c r="AUY58" s="112"/>
      <c r="AUZ58" s="112"/>
      <c r="AVA58" s="112"/>
      <c r="AVB58" s="112"/>
      <c r="AVC58" s="112"/>
      <c r="AVD58" s="112"/>
      <c r="AVE58" s="112"/>
      <c r="AVF58" s="112"/>
      <c r="AVG58" s="112"/>
      <c r="AVH58" s="112"/>
      <c r="AVI58" s="112"/>
      <c r="AVJ58" s="112"/>
      <c r="AVK58" s="112"/>
      <c r="AVL58" s="112"/>
      <c r="AVM58" s="112"/>
      <c r="AVN58" s="112"/>
      <c r="AVO58" s="112"/>
      <c r="AVP58" s="112"/>
      <c r="AVQ58" s="113"/>
      <c r="AVR58" s="111"/>
      <c r="AVS58" s="112"/>
      <c r="AVT58" s="112"/>
      <c r="AVU58" s="112"/>
      <c r="AVV58" s="112"/>
      <c r="AVW58" s="112"/>
      <c r="AVX58" s="112"/>
      <c r="AVY58" s="112"/>
      <c r="AVZ58" s="112"/>
      <c r="AWA58" s="112"/>
      <c r="AWB58" s="112"/>
      <c r="AWC58" s="112"/>
      <c r="AWD58" s="112"/>
      <c r="AWE58" s="112"/>
      <c r="AWF58" s="112"/>
      <c r="AWG58" s="112"/>
      <c r="AWH58" s="112"/>
      <c r="AWI58" s="112"/>
      <c r="AWJ58" s="112"/>
      <c r="AWK58" s="112"/>
      <c r="AWL58" s="112"/>
      <c r="AWM58" s="112"/>
      <c r="AWN58" s="112"/>
      <c r="AWO58" s="112"/>
      <c r="AWP58" s="112"/>
      <c r="AWQ58" s="112"/>
      <c r="AWR58" s="112"/>
      <c r="AWS58" s="112"/>
      <c r="AWT58" s="112"/>
      <c r="AWU58" s="112"/>
      <c r="AWV58" s="112"/>
      <c r="AWW58" s="112"/>
      <c r="AWX58" s="112"/>
      <c r="AWY58" s="112"/>
      <c r="AWZ58" s="112"/>
      <c r="AXA58" s="112"/>
      <c r="AXB58" s="112"/>
      <c r="AXC58" s="112"/>
      <c r="AXD58" s="112"/>
      <c r="AXE58" s="112"/>
      <c r="AXF58" s="112"/>
      <c r="AXG58" s="112"/>
      <c r="AXH58" s="112"/>
      <c r="AXI58" s="112"/>
      <c r="AXJ58" s="112"/>
      <c r="AXK58" s="112"/>
      <c r="AXL58" s="112"/>
      <c r="AXM58" s="112"/>
      <c r="AXN58" s="112"/>
      <c r="AXO58" s="112"/>
      <c r="AXP58" s="112"/>
      <c r="AXQ58" s="112"/>
      <c r="AXR58" s="112"/>
      <c r="AXS58" s="112"/>
      <c r="AXT58" s="112"/>
      <c r="AXU58" s="112"/>
      <c r="AXV58" s="112"/>
      <c r="AXW58" s="112"/>
      <c r="AXX58" s="112"/>
      <c r="AXY58" s="113"/>
      <c r="AXZ58" s="111"/>
      <c r="AYA58" s="112"/>
      <c r="AYB58" s="112"/>
      <c r="AYC58" s="112"/>
      <c r="AYD58" s="112"/>
      <c r="AYE58" s="112"/>
      <c r="AYF58" s="112"/>
      <c r="AYG58" s="112"/>
      <c r="AYH58" s="112"/>
      <c r="AYI58" s="112"/>
      <c r="AYJ58" s="112"/>
      <c r="AYK58" s="112"/>
      <c r="AYL58" s="112"/>
      <c r="AYM58" s="112"/>
      <c r="AYN58" s="112"/>
      <c r="AYO58" s="112"/>
      <c r="AYP58" s="112"/>
      <c r="AYQ58" s="112"/>
      <c r="AYR58" s="112"/>
      <c r="AYS58" s="112"/>
      <c r="AYT58" s="112"/>
      <c r="AYU58" s="112"/>
      <c r="AYV58" s="112"/>
      <c r="AYW58" s="112"/>
      <c r="AYX58" s="112"/>
      <c r="AYY58" s="112"/>
      <c r="AYZ58" s="112"/>
      <c r="AZA58" s="112"/>
      <c r="AZB58" s="112"/>
      <c r="AZC58" s="112"/>
      <c r="AZD58" s="112"/>
      <c r="AZE58" s="112"/>
      <c r="AZF58" s="112"/>
      <c r="AZG58" s="112"/>
      <c r="AZH58" s="112"/>
      <c r="AZI58" s="112"/>
      <c r="AZJ58" s="112"/>
      <c r="AZK58" s="112"/>
      <c r="AZL58" s="112"/>
      <c r="AZM58" s="112"/>
      <c r="AZN58" s="112"/>
      <c r="AZO58" s="112"/>
      <c r="AZP58" s="112"/>
      <c r="AZQ58" s="112"/>
      <c r="AZR58" s="112"/>
      <c r="AZS58" s="112"/>
      <c r="AZT58" s="112"/>
      <c r="AZU58" s="112"/>
      <c r="AZV58" s="112"/>
      <c r="AZW58" s="112"/>
      <c r="AZX58" s="112"/>
      <c r="AZY58" s="112"/>
      <c r="AZZ58" s="112"/>
      <c r="BAA58" s="112"/>
      <c r="BAB58" s="112"/>
      <c r="BAC58" s="112"/>
      <c r="BAD58" s="112"/>
      <c r="BAE58" s="112"/>
      <c r="BAF58" s="112"/>
      <c r="BAG58" s="113"/>
      <c r="BAH58" s="111"/>
      <c r="BAI58" s="112"/>
      <c r="BAJ58" s="112"/>
      <c r="BAK58" s="112"/>
      <c r="BAL58" s="112"/>
      <c r="BAM58" s="112"/>
      <c r="BAN58" s="112"/>
      <c r="BAO58" s="112"/>
      <c r="BAP58" s="112"/>
      <c r="BAQ58" s="112"/>
      <c r="BAR58" s="112"/>
      <c r="BAS58" s="112"/>
      <c r="BAT58" s="112"/>
      <c r="BAU58" s="112"/>
      <c r="BAV58" s="112"/>
      <c r="BAW58" s="112"/>
      <c r="BAX58" s="112"/>
      <c r="BAY58" s="112"/>
      <c r="BAZ58" s="112"/>
      <c r="BBA58" s="112"/>
      <c r="BBB58" s="112"/>
      <c r="BBC58" s="112"/>
      <c r="BBD58" s="112"/>
      <c r="BBE58" s="112"/>
      <c r="BBF58" s="112"/>
      <c r="BBG58" s="112"/>
      <c r="BBH58" s="112"/>
      <c r="BBI58" s="112"/>
      <c r="BBJ58" s="112"/>
      <c r="BBK58" s="112"/>
      <c r="BBL58" s="112"/>
      <c r="BBM58" s="112"/>
      <c r="BBN58" s="112"/>
      <c r="BBO58" s="112"/>
      <c r="BBP58" s="112"/>
      <c r="BBQ58" s="112"/>
      <c r="BBR58" s="112"/>
      <c r="BBS58" s="112"/>
      <c r="BBT58" s="112"/>
      <c r="BBU58" s="112"/>
      <c r="BBV58" s="112"/>
      <c r="BBW58" s="112"/>
      <c r="BBX58" s="112"/>
      <c r="BBY58" s="112"/>
      <c r="BBZ58" s="112"/>
      <c r="BCA58" s="112"/>
      <c r="BCB58" s="112"/>
      <c r="BCC58" s="112"/>
      <c r="BCD58" s="112"/>
      <c r="BCE58" s="112"/>
      <c r="BCF58" s="112"/>
      <c r="BCG58" s="112"/>
      <c r="BCH58" s="112"/>
      <c r="BCI58" s="112"/>
      <c r="BCJ58" s="112"/>
      <c r="BCK58" s="112"/>
      <c r="BCL58" s="112"/>
      <c r="BCM58" s="112"/>
      <c r="BCN58" s="112"/>
      <c r="BCO58" s="113"/>
      <c r="BCP58" s="111"/>
      <c r="BCQ58" s="112"/>
      <c r="BCR58" s="112"/>
      <c r="BCS58" s="112"/>
      <c r="BCT58" s="112"/>
      <c r="BCU58" s="112"/>
      <c r="BCV58" s="112"/>
      <c r="BCW58" s="112"/>
      <c r="BCX58" s="112"/>
      <c r="BCY58" s="112"/>
      <c r="BCZ58" s="112"/>
      <c r="BDA58" s="112"/>
      <c r="BDB58" s="112"/>
      <c r="BDC58" s="112"/>
      <c r="BDD58" s="112"/>
      <c r="BDE58" s="112"/>
      <c r="BDF58" s="112"/>
      <c r="BDG58" s="112"/>
      <c r="BDH58" s="112"/>
      <c r="BDI58" s="112"/>
      <c r="BDJ58" s="112"/>
      <c r="BDK58" s="112"/>
      <c r="BDL58" s="112"/>
      <c r="BDM58" s="112"/>
      <c r="BDN58" s="112"/>
      <c r="BDO58" s="112"/>
      <c r="BDP58" s="112"/>
      <c r="BDQ58" s="112"/>
      <c r="BDR58" s="112"/>
      <c r="BDS58" s="112"/>
      <c r="BDT58" s="112"/>
      <c r="BDU58" s="112"/>
      <c r="BDV58" s="112"/>
      <c r="BDW58" s="112"/>
      <c r="BDX58" s="112"/>
      <c r="BDY58" s="112"/>
      <c r="BDZ58" s="112"/>
      <c r="BEA58" s="112"/>
      <c r="BEB58" s="112"/>
      <c r="BEC58" s="112"/>
      <c r="BED58" s="112"/>
      <c r="BEE58" s="112"/>
      <c r="BEF58" s="112"/>
      <c r="BEG58" s="112"/>
      <c r="BEH58" s="112"/>
      <c r="BEI58" s="112"/>
      <c r="BEJ58" s="112"/>
      <c r="BEK58" s="112"/>
      <c r="BEL58" s="112"/>
      <c r="BEM58" s="112"/>
      <c r="BEN58" s="112"/>
      <c r="BEO58" s="112"/>
      <c r="BEP58" s="112"/>
      <c r="BEQ58" s="112"/>
      <c r="BER58" s="112"/>
      <c r="BES58" s="112"/>
      <c r="BET58" s="112"/>
      <c r="BEU58" s="112"/>
      <c r="BEV58" s="112"/>
      <c r="BEW58" s="113"/>
      <c r="BEX58" s="111"/>
      <c r="BEY58" s="112"/>
      <c r="BEZ58" s="112"/>
      <c r="BFA58" s="112"/>
      <c r="BFB58" s="112"/>
      <c r="BFC58" s="112"/>
      <c r="BFD58" s="112"/>
      <c r="BFE58" s="112"/>
      <c r="BFF58" s="112"/>
      <c r="BFG58" s="112"/>
      <c r="BFH58" s="112"/>
      <c r="BFI58" s="112"/>
      <c r="BFJ58" s="112"/>
      <c r="BFK58" s="112"/>
      <c r="BFL58" s="112"/>
      <c r="BFM58" s="112"/>
      <c r="BFN58" s="112"/>
      <c r="BFO58" s="112"/>
      <c r="BFP58" s="112"/>
      <c r="BFQ58" s="112"/>
      <c r="BFR58" s="112"/>
      <c r="BFS58" s="112"/>
      <c r="BFT58" s="112"/>
      <c r="BFU58" s="112"/>
      <c r="BFV58" s="112"/>
      <c r="BFW58" s="112"/>
      <c r="BFX58" s="112"/>
      <c r="BFY58" s="112"/>
      <c r="BFZ58" s="112"/>
      <c r="BGA58" s="112"/>
      <c r="BGB58" s="112"/>
      <c r="BGC58" s="112"/>
      <c r="BGD58" s="112"/>
      <c r="BGE58" s="112"/>
      <c r="BGF58" s="112"/>
      <c r="BGG58" s="112"/>
      <c r="BGH58" s="112"/>
      <c r="BGI58" s="112"/>
      <c r="BGJ58" s="112"/>
      <c r="BGK58" s="112"/>
      <c r="BGL58" s="112"/>
      <c r="BGM58" s="112"/>
      <c r="BGN58" s="112"/>
      <c r="BGO58" s="112"/>
      <c r="BGP58" s="112"/>
      <c r="BGQ58" s="112"/>
      <c r="BGR58" s="112"/>
      <c r="BGS58" s="112"/>
      <c r="BGT58" s="112"/>
      <c r="BGU58" s="112"/>
      <c r="BGV58" s="112"/>
      <c r="BGW58" s="112"/>
      <c r="BGX58" s="112"/>
      <c r="BGY58" s="112"/>
      <c r="BGZ58" s="112"/>
      <c r="BHA58" s="112"/>
      <c r="BHB58" s="112"/>
      <c r="BHC58" s="112"/>
      <c r="BHD58" s="112"/>
      <c r="BHE58" s="11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C59" s="259" t="s">
        <v>10</v>
      </c>
      <c r="D59" s="260"/>
      <c r="E59" s="117">
        <f>SUM(E16,E18,E20,E22,E24,E26,E28,E30,E32,E34,E36,E38,E40,E42,E44,E46,E48,E50,E52,E54,E56)</f>
        <v>650</v>
      </c>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5"/>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5"/>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5"/>
      <c r="GD59" s="114"/>
      <c r="GE59" s="114"/>
      <c r="GF59" s="114"/>
      <c r="GG59" s="114"/>
      <c r="GH59" s="114"/>
      <c r="GI59" s="114"/>
      <c r="GJ59" s="114"/>
      <c r="GK59" s="114"/>
      <c r="GL59" s="114"/>
      <c r="GM59" s="114"/>
      <c r="GN59" s="114"/>
      <c r="GO59" s="114"/>
      <c r="GP59" s="114"/>
      <c r="GQ59" s="114"/>
      <c r="GR59" s="114"/>
      <c r="GS59" s="114"/>
      <c r="GT59" s="114"/>
      <c r="GU59" s="114"/>
      <c r="GV59" s="114"/>
      <c r="GW59" s="114"/>
      <c r="GX59" s="114"/>
      <c r="GY59" s="114"/>
      <c r="GZ59" s="114"/>
      <c r="HA59" s="114"/>
      <c r="HB59" s="114"/>
      <c r="HC59" s="114"/>
      <c r="HD59" s="114"/>
      <c r="HE59" s="114"/>
      <c r="HF59" s="114"/>
      <c r="HG59" s="114"/>
      <c r="HH59" s="114"/>
      <c r="HI59" s="114"/>
      <c r="HJ59" s="114"/>
      <c r="HK59" s="114"/>
      <c r="HL59" s="114"/>
      <c r="HM59" s="114"/>
      <c r="HN59" s="114"/>
      <c r="HO59" s="114"/>
      <c r="HP59" s="114"/>
      <c r="HQ59" s="114"/>
      <c r="HR59" s="114"/>
      <c r="HS59" s="114"/>
      <c r="HT59" s="114"/>
      <c r="HU59" s="114"/>
      <c r="HV59" s="114"/>
      <c r="HW59" s="114"/>
      <c r="HX59" s="114"/>
      <c r="HY59" s="114"/>
      <c r="HZ59" s="114"/>
      <c r="IA59" s="114"/>
      <c r="IB59" s="114"/>
      <c r="IC59" s="114"/>
      <c r="ID59" s="114"/>
      <c r="IE59" s="114"/>
      <c r="IF59" s="114"/>
      <c r="IG59" s="114"/>
      <c r="IH59" s="114"/>
      <c r="II59" s="114"/>
      <c r="IJ59" s="114"/>
      <c r="IK59" s="115"/>
      <c r="IL59" s="114"/>
      <c r="IM59" s="114"/>
      <c r="IN59" s="114"/>
      <c r="IO59" s="114"/>
      <c r="IP59" s="114"/>
      <c r="IQ59" s="114"/>
      <c r="IR59" s="114"/>
      <c r="IS59" s="114"/>
      <c r="IT59" s="114"/>
      <c r="IU59" s="114"/>
      <c r="IV59" s="114"/>
      <c r="IW59" s="114"/>
      <c r="IX59" s="114"/>
      <c r="IY59" s="114"/>
      <c r="IZ59" s="114"/>
      <c r="JA59" s="114"/>
      <c r="JB59" s="114"/>
      <c r="JC59" s="114"/>
      <c r="JD59" s="114"/>
      <c r="JE59" s="114"/>
      <c r="JF59" s="114"/>
      <c r="JG59" s="114"/>
      <c r="JH59" s="114"/>
      <c r="JI59" s="114"/>
      <c r="JJ59" s="114"/>
      <c r="JK59" s="114"/>
      <c r="JL59" s="114"/>
      <c r="JM59" s="114"/>
      <c r="JN59" s="114"/>
      <c r="JO59" s="114"/>
      <c r="JP59" s="114"/>
      <c r="JQ59" s="114"/>
      <c r="JR59" s="114"/>
      <c r="JS59" s="114"/>
      <c r="JT59" s="114"/>
      <c r="JU59" s="114"/>
      <c r="JV59" s="114"/>
      <c r="JW59" s="114"/>
      <c r="JX59" s="114"/>
      <c r="JY59" s="114"/>
      <c r="JZ59" s="114"/>
      <c r="KA59" s="114"/>
      <c r="KB59" s="114"/>
      <c r="KC59" s="114"/>
      <c r="KD59" s="114"/>
      <c r="KE59" s="114"/>
      <c r="KF59" s="114"/>
      <c r="KG59" s="114"/>
      <c r="KH59" s="114"/>
      <c r="KI59" s="114"/>
      <c r="KJ59" s="114"/>
      <c r="KK59" s="114"/>
      <c r="KL59" s="114"/>
      <c r="KM59" s="114"/>
      <c r="KN59" s="114"/>
      <c r="KO59" s="114"/>
      <c r="KP59" s="114"/>
      <c r="KQ59" s="114"/>
      <c r="KR59" s="114"/>
      <c r="KS59" s="115"/>
      <c r="KT59" s="114"/>
      <c r="KU59" s="114"/>
      <c r="KV59" s="114"/>
      <c r="KW59" s="114"/>
      <c r="KX59" s="114"/>
      <c r="KY59" s="114"/>
      <c r="KZ59" s="114"/>
      <c r="LA59" s="114"/>
      <c r="LB59" s="114"/>
      <c r="LC59" s="114"/>
      <c r="LD59" s="114"/>
      <c r="LE59" s="114"/>
      <c r="LF59" s="114"/>
      <c r="LG59" s="114"/>
      <c r="LH59" s="114"/>
      <c r="LI59" s="114"/>
      <c r="LJ59" s="114"/>
      <c r="LK59" s="114"/>
      <c r="LL59" s="114"/>
      <c r="LM59" s="114"/>
      <c r="LN59" s="114"/>
      <c r="LO59" s="114"/>
      <c r="LP59" s="114"/>
      <c r="LQ59" s="114"/>
      <c r="LR59" s="114"/>
      <c r="LS59" s="114"/>
      <c r="LT59" s="114"/>
      <c r="LU59" s="114"/>
      <c r="LV59" s="114"/>
      <c r="LW59" s="114"/>
      <c r="LX59" s="114"/>
      <c r="LY59" s="114"/>
      <c r="LZ59" s="114"/>
      <c r="MA59" s="114"/>
      <c r="MB59" s="114"/>
      <c r="MC59" s="114"/>
      <c r="MD59" s="114"/>
      <c r="ME59" s="114"/>
      <c r="MF59" s="114"/>
      <c r="MG59" s="114"/>
      <c r="MH59" s="114"/>
      <c r="MI59" s="114"/>
      <c r="MJ59" s="114"/>
      <c r="MK59" s="114"/>
      <c r="ML59" s="114"/>
      <c r="MM59" s="114"/>
      <c r="MN59" s="114"/>
      <c r="MO59" s="114"/>
      <c r="MP59" s="114"/>
      <c r="MQ59" s="114"/>
      <c r="MR59" s="114"/>
      <c r="MS59" s="114"/>
      <c r="MT59" s="114"/>
      <c r="MU59" s="114"/>
      <c r="MV59" s="114"/>
      <c r="MW59" s="114"/>
      <c r="MX59" s="114"/>
      <c r="MY59" s="114"/>
      <c r="MZ59" s="114"/>
      <c r="NA59" s="115"/>
      <c r="NB59" s="114"/>
      <c r="NC59" s="114"/>
      <c r="ND59" s="114"/>
      <c r="NE59" s="114"/>
      <c r="NF59" s="114"/>
      <c r="NG59" s="114"/>
      <c r="NH59" s="114"/>
      <c r="NI59" s="114"/>
      <c r="NJ59" s="114"/>
      <c r="NK59" s="114"/>
      <c r="NL59" s="114"/>
      <c r="NM59" s="114"/>
      <c r="NN59" s="114"/>
      <c r="NO59" s="114"/>
      <c r="NP59" s="114"/>
      <c r="NQ59" s="114"/>
      <c r="NR59" s="114"/>
      <c r="NS59" s="114"/>
      <c r="NT59" s="114"/>
      <c r="NU59" s="114"/>
      <c r="NV59" s="114"/>
      <c r="NW59" s="114"/>
      <c r="NX59" s="114"/>
      <c r="NY59" s="114"/>
      <c r="NZ59" s="114"/>
      <c r="OA59" s="114"/>
      <c r="OB59" s="114"/>
      <c r="OC59" s="114"/>
      <c r="OD59" s="114"/>
      <c r="OE59" s="114"/>
      <c r="OF59" s="114"/>
      <c r="OG59" s="114"/>
      <c r="OH59" s="114"/>
      <c r="OI59" s="114"/>
      <c r="OJ59" s="114"/>
      <c r="OK59" s="114"/>
      <c r="OL59" s="114"/>
      <c r="OM59" s="114"/>
      <c r="ON59" s="114"/>
      <c r="OO59" s="114"/>
      <c r="OP59" s="114"/>
      <c r="OQ59" s="114"/>
      <c r="OR59" s="114"/>
      <c r="OS59" s="114"/>
      <c r="OT59" s="114"/>
      <c r="OU59" s="114"/>
      <c r="OV59" s="114"/>
      <c r="OW59" s="114"/>
      <c r="OX59" s="114"/>
      <c r="OY59" s="114"/>
      <c r="OZ59" s="114"/>
      <c r="PA59" s="114"/>
      <c r="PB59" s="114"/>
      <c r="PC59" s="114"/>
      <c r="PD59" s="114"/>
      <c r="PE59" s="114"/>
      <c r="PF59" s="114"/>
      <c r="PG59" s="114"/>
      <c r="PH59" s="114"/>
      <c r="PI59" s="115"/>
      <c r="PJ59" s="114"/>
      <c r="PK59" s="114"/>
      <c r="PL59" s="114"/>
      <c r="PM59" s="114"/>
      <c r="PN59" s="114"/>
      <c r="PO59" s="114"/>
      <c r="PP59" s="114"/>
      <c r="PQ59" s="114"/>
      <c r="PR59" s="114"/>
      <c r="PS59" s="114"/>
      <c r="PT59" s="114"/>
      <c r="PU59" s="114"/>
      <c r="PV59" s="114"/>
      <c r="PW59" s="114"/>
      <c r="PX59" s="114"/>
      <c r="PY59" s="114"/>
      <c r="PZ59" s="114"/>
      <c r="QA59" s="114"/>
      <c r="QB59" s="114"/>
      <c r="QC59" s="114"/>
      <c r="QD59" s="114"/>
      <c r="QE59" s="114"/>
      <c r="QF59" s="114"/>
      <c r="QG59" s="114"/>
      <c r="QH59" s="114"/>
      <c r="QI59" s="114"/>
      <c r="QJ59" s="114"/>
      <c r="QK59" s="114"/>
      <c r="QL59" s="114"/>
      <c r="QM59" s="114"/>
      <c r="QN59" s="114"/>
      <c r="QO59" s="114"/>
      <c r="QP59" s="114"/>
      <c r="QQ59" s="114"/>
      <c r="QR59" s="114"/>
      <c r="QS59" s="114"/>
      <c r="QT59" s="114"/>
      <c r="QU59" s="114"/>
      <c r="QV59" s="114"/>
      <c r="QW59" s="114"/>
      <c r="QX59" s="114"/>
      <c r="QY59" s="114"/>
      <c r="QZ59" s="114"/>
      <c r="RA59" s="114"/>
      <c r="RB59" s="114"/>
      <c r="RC59" s="114"/>
      <c r="RD59" s="114"/>
      <c r="RE59" s="114"/>
      <c r="RF59" s="114"/>
      <c r="RG59" s="114"/>
      <c r="RH59" s="114"/>
      <c r="RI59" s="114"/>
      <c r="RJ59" s="114"/>
      <c r="RK59" s="114"/>
      <c r="RL59" s="114"/>
      <c r="RM59" s="114"/>
      <c r="RN59" s="114"/>
      <c r="RO59" s="114"/>
      <c r="RP59" s="114"/>
      <c r="RQ59" s="115"/>
      <c r="RR59" s="114"/>
      <c r="RS59" s="114"/>
      <c r="RT59" s="114"/>
      <c r="RU59" s="114"/>
      <c r="RV59" s="114"/>
      <c r="RW59" s="114"/>
      <c r="RX59" s="114"/>
      <c r="RY59" s="114"/>
      <c r="RZ59" s="114"/>
      <c r="SA59" s="114"/>
      <c r="SB59" s="114"/>
      <c r="SC59" s="114"/>
      <c r="SD59" s="114"/>
      <c r="SE59" s="114"/>
      <c r="SF59" s="114"/>
      <c r="SG59" s="114"/>
      <c r="SH59" s="114"/>
      <c r="SI59" s="114"/>
      <c r="SJ59" s="114"/>
      <c r="SK59" s="114"/>
      <c r="SL59" s="114"/>
      <c r="SM59" s="114"/>
      <c r="SN59" s="114"/>
      <c r="SO59" s="114"/>
      <c r="SP59" s="114"/>
      <c r="SQ59" s="114"/>
      <c r="SR59" s="114"/>
      <c r="SS59" s="114"/>
      <c r="ST59" s="114"/>
      <c r="SU59" s="114"/>
      <c r="SV59" s="114"/>
      <c r="SW59" s="114"/>
      <c r="SX59" s="114"/>
      <c r="SY59" s="114"/>
      <c r="SZ59" s="114"/>
      <c r="TA59" s="114"/>
      <c r="TB59" s="114"/>
      <c r="TC59" s="114"/>
      <c r="TD59" s="114"/>
      <c r="TE59" s="114"/>
      <c r="TF59" s="114"/>
      <c r="TG59" s="114"/>
      <c r="TH59" s="114"/>
      <c r="TI59" s="114"/>
      <c r="TJ59" s="114"/>
      <c r="TK59" s="114"/>
      <c r="TL59" s="114"/>
      <c r="TM59" s="114"/>
      <c r="TN59" s="114"/>
      <c r="TO59" s="114"/>
      <c r="TP59" s="114"/>
      <c r="TQ59" s="114"/>
      <c r="TR59" s="114"/>
      <c r="TS59" s="114"/>
      <c r="TT59" s="114"/>
      <c r="TU59" s="114"/>
      <c r="TV59" s="114"/>
      <c r="TW59" s="114"/>
      <c r="TX59" s="114"/>
      <c r="TY59" s="115"/>
      <c r="TZ59" s="114"/>
      <c r="UA59" s="114"/>
      <c r="UB59" s="114"/>
      <c r="UC59" s="114"/>
      <c r="UD59" s="114"/>
      <c r="UE59" s="114"/>
      <c r="UF59" s="114"/>
      <c r="UG59" s="114"/>
      <c r="UH59" s="114"/>
      <c r="UI59" s="114"/>
      <c r="UJ59" s="114"/>
      <c r="UK59" s="114"/>
      <c r="UL59" s="114"/>
      <c r="UM59" s="114"/>
      <c r="UN59" s="114"/>
      <c r="UO59" s="114"/>
      <c r="UP59" s="114"/>
      <c r="UQ59" s="114"/>
      <c r="UR59" s="114"/>
      <c r="US59" s="114"/>
      <c r="UT59" s="114"/>
      <c r="UU59" s="114"/>
      <c r="UV59" s="114"/>
      <c r="UW59" s="114"/>
      <c r="UX59" s="114"/>
      <c r="UY59" s="114"/>
      <c r="UZ59" s="114"/>
      <c r="VA59" s="114"/>
      <c r="VB59" s="114"/>
      <c r="VC59" s="114"/>
      <c r="VD59" s="114"/>
      <c r="VE59" s="114"/>
      <c r="VF59" s="114"/>
      <c r="VG59" s="114"/>
      <c r="VH59" s="114"/>
      <c r="VI59" s="114"/>
      <c r="VJ59" s="114"/>
      <c r="VK59" s="114"/>
      <c r="VL59" s="114"/>
      <c r="VM59" s="114"/>
      <c r="VN59" s="114"/>
      <c r="VO59" s="114"/>
      <c r="VP59" s="114"/>
      <c r="VQ59" s="114"/>
      <c r="VR59" s="114"/>
      <c r="VS59" s="114"/>
      <c r="VT59" s="114"/>
      <c r="VU59" s="114"/>
      <c r="VV59" s="114"/>
      <c r="VW59" s="114"/>
      <c r="VX59" s="114"/>
      <c r="VY59" s="114"/>
      <c r="VZ59" s="114"/>
      <c r="WA59" s="114"/>
      <c r="WB59" s="114"/>
      <c r="WC59" s="114"/>
      <c r="WD59" s="114"/>
      <c r="WE59" s="114"/>
      <c r="WF59" s="114"/>
      <c r="WG59" s="115"/>
      <c r="WH59" s="114"/>
      <c r="WI59" s="114"/>
      <c r="WJ59" s="114"/>
      <c r="WK59" s="114"/>
      <c r="WL59" s="114"/>
      <c r="WM59" s="114"/>
      <c r="WN59" s="114"/>
      <c r="WO59" s="114"/>
      <c r="WP59" s="114"/>
      <c r="WQ59" s="114"/>
      <c r="WR59" s="114"/>
      <c r="WS59" s="114"/>
      <c r="WT59" s="114"/>
      <c r="WU59" s="114"/>
      <c r="WV59" s="114"/>
      <c r="WW59" s="114"/>
      <c r="WX59" s="114"/>
      <c r="WY59" s="114"/>
      <c r="WZ59" s="114"/>
      <c r="XA59" s="114"/>
      <c r="XB59" s="114"/>
      <c r="XC59" s="114"/>
      <c r="XD59" s="114"/>
      <c r="XE59" s="114"/>
      <c r="XF59" s="114"/>
      <c r="XG59" s="114"/>
      <c r="XH59" s="114"/>
      <c r="XI59" s="114"/>
      <c r="XJ59" s="114"/>
      <c r="XK59" s="114"/>
      <c r="XL59" s="114"/>
      <c r="XM59" s="114"/>
      <c r="XN59" s="114"/>
      <c r="XO59" s="114"/>
      <c r="XP59" s="114"/>
      <c r="XQ59" s="114"/>
      <c r="XR59" s="114"/>
      <c r="XS59" s="114"/>
      <c r="XT59" s="114"/>
      <c r="XU59" s="114"/>
      <c r="XV59" s="114"/>
      <c r="XW59" s="114"/>
      <c r="XX59" s="114"/>
      <c r="XY59" s="114"/>
      <c r="XZ59" s="114"/>
      <c r="YA59" s="114"/>
      <c r="YB59" s="114"/>
      <c r="YC59" s="114"/>
      <c r="YD59" s="114"/>
      <c r="YE59" s="114"/>
      <c r="YF59" s="114"/>
      <c r="YG59" s="114"/>
      <c r="YH59" s="114"/>
      <c r="YI59" s="114"/>
      <c r="YJ59" s="114"/>
      <c r="YK59" s="114"/>
      <c r="YL59" s="114"/>
      <c r="YM59" s="114"/>
      <c r="YN59" s="114"/>
      <c r="YO59" s="115"/>
      <c r="YP59" s="114"/>
      <c r="YQ59" s="114"/>
      <c r="YR59" s="114"/>
      <c r="YS59" s="114"/>
      <c r="YT59" s="114"/>
      <c r="YU59" s="114"/>
      <c r="YV59" s="114"/>
      <c r="YW59" s="114"/>
      <c r="YX59" s="114"/>
      <c r="YY59" s="114"/>
      <c r="YZ59" s="114"/>
      <c r="ZA59" s="114"/>
      <c r="ZB59" s="114"/>
      <c r="ZC59" s="114"/>
      <c r="ZD59" s="114"/>
      <c r="ZE59" s="114"/>
      <c r="ZF59" s="114"/>
      <c r="ZG59" s="114"/>
      <c r="ZH59" s="114"/>
      <c r="ZI59" s="114"/>
      <c r="ZJ59" s="114"/>
      <c r="ZK59" s="114"/>
      <c r="ZL59" s="114"/>
      <c r="ZM59" s="114"/>
      <c r="ZN59" s="114"/>
      <c r="ZO59" s="114"/>
      <c r="ZP59" s="114"/>
      <c r="ZQ59" s="114"/>
      <c r="ZR59" s="114"/>
      <c r="ZS59" s="114"/>
      <c r="ZT59" s="114"/>
      <c r="ZU59" s="114"/>
      <c r="ZV59" s="114"/>
      <c r="ZW59" s="114"/>
      <c r="ZX59" s="114"/>
      <c r="ZY59" s="114"/>
      <c r="ZZ59" s="114"/>
      <c r="AAA59" s="114"/>
      <c r="AAB59" s="114"/>
      <c r="AAC59" s="114"/>
      <c r="AAD59" s="114"/>
      <c r="AAE59" s="114"/>
      <c r="AAF59" s="114"/>
      <c r="AAG59" s="114"/>
      <c r="AAH59" s="114"/>
      <c r="AAI59" s="114"/>
      <c r="AAJ59" s="114"/>
      <c r="AAK59" s="114"/>
      <c r="AAL59" s="114"/>
      <c r="AAM59" s="114"/>
      <c r="AAN59" s="114"/>
      <c r="AAO59" s="114"/>
      <c r="AAP59" s="114"/>
      <c r="AAQ59" s="114"/>
      <c r="AAR59" s="114"/>
      <c r="AAS59" s="114"/>
      <c r="AAT59" s="114"/>
      <c r="AAU59" s="114"/>
      <c r="AAV59" s="114"/>
      <c r="AAW59" s="115"/>
      <c r="AAX59" s="114"/>
      <c r="AAY59" s="114"/>
      <c r="AAZ59" s="114"/>
      <c r="ABA59" s="114"/>
      <c r="ABB59" s="114"/>
      <c r="ABC59" s="114"/>
      <c r="ABD59" s="114"/>
      <c r="ABE59" s="114"/>
      <c r="ABF59" s="114"/>
      <c r="ABG59" s="114"/>
      <c r="ABH59" s="114"/>
      <c r="ABI59" s="114"/>
      <c r="ABJ59" s="114"/>
      <c r="ABK59" s="114"/>
      <c r="ABL59" s="114"/>
      <c r="ABM59" s="114"/>
      <c r="ABN59" s="114"/>
      <c r="ABO59" s="114"/>
      <c r="ABP59" s="114"/>
      <c r="ABQ59" s="114"/>
      <c r="ABR59" s="114"/>
      <c r="ABS59" s="114"/>
      <c r="ABT59" s="114"/>
      <c r="ABU59" s="114"/>
      <c r="ABV59" s="114"/>
      <c r="ABW59" s="114"/>
      <c r="ABX59" s="114"/>
      <c r="ABY59" s="114"/>
      <c r="ABZ59" s="114"/>
      <c r="ACA59" s="114"/>
      <c r="ACB59" s="114"/>
      <c r="ACC59" s="114"/>
      <c r="ACD59" s="114"/>
      <c r="ACE59" s="114"/>
      <c r="ACF59" s="114"/>
      <c r="ACG59" s="114"/>
      <c r="ACH59" s="114"/>
      <c r="ACI59" s="114"/>
      <c r="ACJ59" s="114"/>
      <c r="ACK59" s="114"/>
      <c r="ACL59" s="114"/>
      <c r="ACM59" s="114"/>
      <c r="ACN59" s="114"/>
      <c r="ACO59" s="114"/>
      <c r="ACP59" s="114"/>
      <c r="ACQ59" s="114"/>
      <c r="ACR59" s="114"/>
      <c r="ACS59" s="114"/>
      <c r="ACT59" s="114"/>
      <c r="ACU59" s="114"/>
      <c r="ACV59" s="114"/>
      <c r="ACW59" s="114"/>
      <c r="ACX59" s="114"/>
      <c r="ACY59" s="114"/>
      <c r="ACZ59" s="114"/>
      <c r="ADA59" s="114"/>
      <c r="ADB59" s="114"/>
      <c r="ADC59" s="114"/>
      <c r="ADD59" s="114"/>
      <c r="ADE59" s="115"/>
      <c r="ADF59" s="114"/>
      <c r="ADG59" s="114"/>
      <c r="ADH59" s="114"/>
      <c r="ADI59" s="114"/>
      <c r="ADJ59" s="114"/>
      <c r="ADK59" s="114"/>
      <c r="ADL59" s="114"/>
      <c r="ADM59" s="114"/>
      <c r="ADN59" s="114"/>
      <c r="ADO59" s="114"/>
      <c r="ADP59" s="114"/>
      <c r="ADQ59" s="114"/>
      <c r="ADR59" s="114"/>
      <c r="ADS59" s="114"/>
      <c r="ADT59" s="114"/>
      <c r="ADU59" s="114"/>
      <c r="ADV59" s="114"/>
      <c r="ADW59" s="114"/>
      <c r="ADX59" s="114"/>
      <c r="ADY59" s="114"/>
      <c r="ADZ59" s="114"/>
      <c r="AEA59" s="114"/>
      <c r="AEB59" s="114"/>
      <c r="AEC59" s="114"/>
      <c r="AED59" s="114"/>
      <c r="AEE59" s="114"/>
      <c r="AEF59" s="114"/>
      <c r="AEG59" s="114"/>
      <c r="AEH59" s="114"/>
      <c r="AEI59" s="114"/>
      <c r="AEJ59" s="114"/>
      <c r="AEK59" s="114"/>
      <c r="AEL59" s="114"/>
      <c r="AEM59" s="114"/>
      <c r="AEN59" s="114"/>
      <c r="AEO59" s="114"/>
      <c r="AEP59" s="114"/>
      <c r="AEQ59" s="114"/>
      <c r="AER59" s="114"/>
      <c r="AES59" s="114"/>
      <c r="AET59" s="114"/>
      <c r="AEU59" s="114"/>
      <c r="AEV59" s="114"/>
      <c r="AEW59" s="114"/>
      <c r="AEX59" s="114"/>
      <c r="AEY59" s="114"/>
      <c r="AEZ59" s="114"/>
      <c r="AFA59" s="114"/>
      <c r="AFB59" s="114"/>
      <c r="AFC59" s="114"/>
      <c r="AFD59" s="114"/>
      <c r="AFE59" s="114"/>
      <c r="AFF59" s="114"/>
      <c r="AFG59" s="114"/>
      <c r="AFH59" s="114"/>
      <c r="AFI59" s="114"/>
      <c r="AFJ59" s="114"/>
      <c r="AFK59" s="114"/>
      <c r="AFL59" s="114"/>
      <c r="AFM59" s="115"/>
      <c r="AFN59" s="114"/>
      <c r="AFO59" s="114"/>
      <c r="AFP59" s="114"/>
      <c r="AFQ59" s="114"/>
      <c r="AFR59" s="114"/>
      <c r="AFS59" s="114"/>
      <c r="AFT59" s="114"/>
      <c r="AFU59" s="114"/>
      <c r="AFV59" s="114"/>
      <c r="AFW59" s="114"/>
      <c r="AFX59" s="114"/>
      <c r="AFY59" s="114"/>
      <c r="AFZ59" s="114"/>
      <c r="AGA59" s="114"/>
      <c r="AGB59" s="114"/>
      <c r="AGC59" s="114"/>
      <c r="AGD59" s="114"/>
      <c r="AGE59" s="114"/>
      <c r="AGF59" s="114"/>
      <c r="AGG59" s="114"/>
      <c r="AGH59" s="114"/>
      <c r="AGI59" s="114"/>
      <c r="AGJ59" s="114"/>
      <c r="AGK59" s="114"/>
      <c r="AGL59" s="114"/>
      <c r="AGM59" s="114"/>
      <c r="AGN59" s="114"/>
      <c r="AGO59" s="114"/>
      <c r="AGP59" s="114"/>
      <c r="AGQ59" s="114"/>
      <c r="AGR59" s="114"/>
      <c r="AGS59" s="114"/>
      <c r="AGT59" s="114"/>
      <c r="AGU59" s="114"/>
      <c r="AGV59" s="114"/>
      <c r="AGW59" s="114"/>
      <c r="AGX59" s="114"/>
      <c r="AGY59" s="114"/>
      <c r="AGZ59" s="114"/>
      <c r="AHA59" s="114"/>
      <c r="AHB59" s="114"/>
      <c r="AHC59" s="114"/>
      <c r="AHD59" s="114"/>
      <c r="AHE59" s="114"/>
      <c r="AHF59" s="114"/>
      <c r="AHG59" s="114"/>
      <c r="AHH59" s="114"/>
      <c r="AHI59" s="114"/>
      <c r="AHJ59" s="114"/>
      <c r="AHK59" s="114"/>
      <c r="AHL59" s="114"/>
      <c r="AHM59" s="114"/>
      <c r="AHN59" s="114"/>
      <c r="AHO59" s="114"/>
      <c r="AHP59" s="114"/>
      <c r="AHQ59" s="114"/>
      <c r="AHR59" s="114"/>
      <c r="AHS59" s="114"/>
      <c r="AHT59" s="114"/>
      <c r="AHU59" s="115"/>
      <c r="AHV59" s="114"/>
      <c r="AHW59" s="114"/>
      <c r="AHX59" s="114"/>
      <c r="AHY59" s="114"/>
      <c r="AHZ59" s="114"/>
      <c r="AIA59" s="114"/>
      <c r="AIB59" s="114"/>
      <c r="AIC59" s="114"/>
      <c r="AID59" s="114"/>
      <c r="AIE59" s="114"/>
      <c r="AIF59" s="114"/>
      <c r="AIG59" s="114"/>
      <c r="AIH59" s="114"/>
      <c r="AII59" s="114"/>
      <c r="AIJ59" s="114"/>
      <c r="AIK59" s="114"/>
      <c r="AIL59" s="114"/>
      <c r="AIM59" s="114"/>
      <c r="AIN59" s="114"/>
      <c r="AIO59" s="114"/>
      <c r="AIP59" s="114"/>
      <c r="AIQ59" s="114"/>
      <c r="AIR59" s="114"/>
      <c r="AIS59" s="114"/>
      <c r="AIT59" s="114"/>
      <c r="AIU59" s="114"/>
      <c r="AIV59" s="114"/>
      <c r="AIW59" s="114"/>
      <c r="AIX59" s="114"/>
      <c r="AIY59" s="114"/>
      <c r="AIZ59" s="114"/>
      <c r="AJA59" s="114"/>
      <c r="AJB59" s="114"/>
      <c r="AJC59" s="114"/>
      <c r="AJD59" s="114"/>
      <c r="AJE59" s="114"/>
      <c r="AJF59" s="114"/>
      <c r="AJG59" s="114"/>
      <c r="AJH59" s="114"/>
      <c r="AJI59" s="114"/>
      <c r="AJJ59" s="114"/>
      <c r="AJK59" s="114"/>
      <c r="AJL59" s="114"/>
      <c r="AJM59" s="114"/>
      <c r="AJN59" s="114"/>
      <c r="AJO59" s="114"/>
      <c r="AJP59" s="114"/>
      <c r="AJQ59" s="114"/>
      <c r="AJR59" s="114"/>
      <c r="AJS59" s="114"/>
      <c r="AJT59" s="114"/>
      <c r="AJU59" s="114"/>
      <c r="AJV59" s="114"/>
      <c r="AJW59" s="114"/>
      <c r="AJX59" s="114"/>
      <c r="AJY59" s="114"/>
      <c r="AJZ59" s="114"/>
      <c r="AKA59" s="114"/>
      <c r="AKB59" s="114"/>
      <c r="AKC59" s="115"/>
      <c r="AKD59" s="114"/>
      <c r="AKE59" s="114"/>
      <c r="AKF59" s="114"/>
      <c r="AKG59" s="114"/>
      <c r="AKH59" s="114"/>
      <c r="AKI59" s="114"/>
      <c r="AKJ59" s="114"/>
      <c r="AKK59" s="114"/>
      <c r="AKL59" s="114"/>
      <c r="AKM59" s="114"/>
      <c r="AKN59" s="114"/>
      <c r="AKO59" s="114"/>
      <c r="AKP59" s="114"/>
      <c r="AKQ59" s="114"/>
      <c r="AKR59" s="114"/>
      <c r="AKS59" s="114"/>
      <c r="AKT59" s="114"/>
      <c r="AKU59" s="114"/>
      <c r="AKV59" s="114"/>
      <c r="AKW59" s="114"/>
      <c r="AKX59" s="114"/>
      <c r="AKY59" s="114"/>
      <c r="AKZ59" s="114"/>
      <c r="ALA59" s="114"/>
      <c r="ALB59" s="114"/>
      <c r="ALC59" s="114"/>
      <c r="ALD59" s="114"/>
      <c r="ALE59" s="114"/>
      <c r="ALF59" s="114"/>
      <c r="ALG59" s="114"/>
      <c r="ALH59" s="114"/>
      <c r="ALI59" s="114"/>
      <c r="ALJ59" s="114"/>
      <c r="ALK59" s="114"/>
      <c r="ALL59" s="114"/>
      <c r="ALM59" s="114"/>
      <c r="ALN59" s="114"/>
      <c r="ALO59" s="114"/>
      <c r="ALP59" s="114"/>
      <c r="ALQ59" s="114"/>
      <c r="ALR59" s="114"/>
      <c r="ALS59" s="114"/>
      <c r="ALT59" s="114"/>
      <c r="ALU59" s="114"/>
      <c r="ALV59" s="114"/>
      <c r="ALW59" s="114"/>
      <c r="ALX59" s="114"/>
      <c r="ALY59" s="114"/>
      <c r="ALZ59" s="114"/>
      <c r="AMA59" s="114"/>
      <c r="AMB59" s="114"/>
      <c r="AMC59" s="114"/>
      <c r="AMD59" s="114"/>
      <c r="AME59" s="114"/>
      <c r="AMF59" s="114"/>
      <c r="AMG59" s="114"/>
      <c r="AMH59" s="114"/>
      <c r="AMI59" s="114"/>
      <c r="AMJ59" s="114"/>
      <c r="AMK59" s="115"/>
      <c r="AML59" s="114"/>
      <c r="AMM59" s="114"/>
      <c r="AMN59" s="114"/>
      <c r="AMO59" s="114"/>
      <c r="AMP59" s="114"/>
      <c r="AMQ59" s="114"/>
      <c r="AMR59" s="114"/>
      <c r="AMS59" s="114"/>
      <c r="AMT59" s="114"/>
      <c r="AMU59" s="114"/>
      <c r="AMV59" s="114"/>
      <c r="AMW59" s="114"/>
      <c r="AMX59" s="114"/>
      <c r="AMY59" s="114"/>
      <c r="AMZ59" s="114"/>
      <c r="ANA59" s="114"/>
      <c r="ANB59" s="114"/>
      <c r="ANC59" s="114"/>
      <c r="AND59" s="114"/>
      <c r="ANE59" s="114"/>
      <c r="ANF59" s="114"/>
      <c r="ANG59" s="114"/>
      <c r="ANH59" s="114"/>
      <c r="ANI59" s="114"/>
      <c r="ANJ59" s="114"/>
      <c r="ANK59" s="114"/>
      <c r="ANL59" s="114"/>
      <c r="ANM59" s="114"/>
      <c r="ANN59" s="114"/>
      <c r="ANO59" s="114"/>
      <c r="ANP59" s="114"/>
      <c r="ANQ59" s="114"/>
      <c r="ANR59" s="114"/>
      <c r="ANS59" s="114"/>
      <c r="ANT59" s="114"/>
      <c r="ANU59" s="114"/>
      <c r="ANV59" s="114"/>
      <c r="ANW59" s="114"/>
      <c r="ANX59" s="114"/>
      <c r="ANY59" s="114"/>
      <c r="ANZ59" s="114"/>
      <c r="AOA59" s="114"/>
      <c r="AOB59" s="114"/>
      <c r="AOC59" s="114"/>
      <c r="AOD59" s="114"/>
      <c r="AOE59" s="114"/>
      <c r="AOF59" s="114"/>
      <c r="AOG59" s="114"/>
      <c r="AOH59" s="114"/>
      <c r="AOI59" s="114"/>
      <c r="AOJ59" s="114"/>
      <c r="AOK59" s="114"/>
      <c r="AOL59" s="114"/>
      <c r="AOM59" s="114"/>
      <c r="AON59" s="114"/>
      <c r="AOO59" s="114"/>
      <c r="AOP59" s="114"/>
      <c r="AOQ59" s="114"/>
      <c r="AOR59" s="114"/>
      <c r="AOS59" s="115"/>
      <c r="AOT59" s="114"/>
      <c r="AOU59" s="114"/>
      <c r="AOV59" s="114"/>
      <c r="AOW59" s="114"/>
      <c r="AOX59" s="114"/>
      <c r="AOY59" s="114"/>
      <c r="AOZ59" s="114"/>
      <c r="APA59" s="114"/>
      <c r="APB59" s="114"/>
      <c r="APC59" s="114"/>
      <c r="APD59" s="114"/>
      <c r="APE59" s="114"/>
      <c r="APF59" s="114"/>
      <c r="APG59" s="114"/>
      <c r="APH59" s="114"/>
      <c r="API59" s="114"/>
      <c r="APJ59" s="114"/>
      <c r="APK59" s="114"/>
      <c r="APL59" s="114"/>
      <c r="APM59" s="114"/>
      <c r="APN59" s="114"/>
      <c r="APO59" s="114"/>
      <c r="APP59" s="114"/>
      <c r="APQ59" s="114"/>
      <c r="APR59" s="114"/>
      <c r="APS59" s="114"/>
      <c r="APT59" s="114"/>
      <c r="APU59" s="114"/>
      <c r="APV59" s="114"/>
      <c r="APW59" s="114"/>
      <c r="APX59" s="114"/>
      <c r="APY59" s="114"/>
      <c r="APZ59" s="114"/>
      <c r="AQA59" s="114"/>
      <c r="AQB59" s="114"/>
      <c r="AQC59" s="114"/>
      <c r="AQD59" s="114"/>
      <c r="AQE59" s="114"/>
      <c r="AQF59" s="114"/>
      <c r="AQG59" s="114"/>
      <c r="AQH59" s="114"/>
      <c r="AQI59" s="114"/>
      <c r="AQJ59" s="114"/>
      <c r="AQK59" s="114"/>
      <c r="AQL59" s="114"/>
      <c r="AQM59" s="114"/>
      <c r="AQN59" s="114"/>
      <c r="AQO59" s="114"/>
      <c r="AQP59" s="114"/>
      <c r="AQQ59" s="114"/>
      <c r="AQR59" s="114"/>
      <c r="AQS59" s="114"/>
      <c r="AQT59" s="114"/>
      <c r="AQU59" s="114"/>
      <c r="AQV59" s="114"/>
      <c r="AQW59" s="114"/>
      <c r="AQX59" s="114"/>
      <c r="AQY59" s="114"/>
      <c r="AQZ59" s="114"/>
      <c r="ARA59" s="115"/>
      <c r="ARB59" s="114"/>
      <c r="ARC59" s="114"/>
      <c r="ARD59" s="114"/>
      <c r="ARE59" s="114"/>
      <c r="ARF59" s="114"/>
      <c r="ARG59" s="114"/>
      <c r="ARH59" s="114"/>
      <c r="ARI59" s="114"/>
      <c r="ARJ59" s="114"/>
      <c r="ARK59" s="114"/>
      <c r="ARL59" s="114"/>
      <c r="ARM59" s="114"/>
      <c r="ARN59" s="114"/>
      <c r="ARO59" s="114"/>
      <c r="ARP59" s="114"/>
      <c r="ARQ59" s="114"/>
      <c r="ARR59" s="114"/>
      <c r="ARS59" s="114"/>
      <c r="ART59" s="114"/>
      <c r="ARU59" s="114"/>
      <c r="ARV59" s="114"/>
      <c r="ARW59" s="114"/>
      <c r="ARX59" s="114"/>
      <c r="ARY59" s="114"/>
      <c r="ARZ59" s="114"/>
      <c r="ASA59" s="114"/>
      <c r="ASB59" s="114"/>
      <c r="ASC59" s="114"/>
      <c r="ASD59" s="114"/>
      <c r="ASE59" s="114"/>
      <c r="ASF59" s="114"/>
      <c r="ASG59" s="114"/>
      <c r="ASH59" s="114"/>
      <c r="ASI59" s="114"/>
      <c r="ASJ59" s="114"/>
      <c r="ASK59" s="114"/>
      <c r="ASL59" s="114"/>
      <c r="ASM59" s="114"/>
      <c r="ASN59" s="114"/>
      <c r="ASO59" s="114"/>
      <c r="ASP59" s="114"/>
      <c r="ASQ59" s="114"/>
      <c r="ASR59" s="114"/>
      <c r="ASS59" s="114"/>
      <c r="AST59" s="114"/>
      <c r="ASU59" s="114"/>
      <c r="ASV59" s="114"/>
      <c r="ASW59" s="114"/>
      <c r="ASX59" s="114"/>
      <c r="ASY59" s="114"/>
      <c r="ASZ59" s="114"/>
      <c r="ATA59" s="114"/>
      <c r="ATB59" s="114"/>
      <c r="ATC59" s="114"/>
      <c r="ATD59" s="114"/>
      <c r="ATE59" s="114"/>
      <c r="ATF59" s="114"/>
      <c r="ATG59" s="114"/>
      <c r="ATH59" s="114"/>
      <c r="ATI59" s="115"/>
      <c r="ATJ59" s="114"/>
      <c r="ATK59" s="114"/>
      <c r="ATL59" s="114"/>
      <c r="ATM59" s="114"/>
      <c r="ATN59" s="114"/>
      <c r="ATO59" s="114"/>
      <c r="ATP59" s="114"/>
      <c r="ATQ59" s="114"/>
      <c r="ATR59" s="114"/>
      <c r="ATS59" s="114"/>
      <c r="ATT59" s="114"/>
      <c r="ATU59" s="114"/>
      <c r="ATV59" s="114"/>
      <c r="ATW59" s="114"/>
      <c r="ATX59" s="114"/>
      <c r="ATY59" s="114"/>
      <c r="ATZ59" s="114"/>
      <c r="AUA59" s="114"/>
      <c r="AUB59" s="114"/>
      <c r="AUC59" s="114"/>
      <c r="AUD59" s="114"/>
      <c r="AUE59" s="114"/>
      <c r="AUF59" s="114"/>
      <c r="AUG59" s="114"/>
      <c r="AUH59" s="114"/>
      <c r="AUI59" s="114"/>
      <c r="AUJ59" s="114"/>
      <c r="AUK59" s="114"/>
      <c r="AUL59" s="114"/>
      <c r="AUM59" s="114"/>
      <c r="AUN59" s="114"/>
      <c r="AUO59" s="114"/>
      <c r="AUP59" s="114"/>
      <c r="AUQ59" s="114"/>
      <c r="AUR59" s="114"/>
      <c r="AUS59" s="114"/>
      <c r="AUT59" s="114"/>
      <c r="AUU59" s="114"/>
      <c r="AUV59" s="114"/>
      <c r="AUW59" s="114"/>
      <c r="AUX59" s="114"/>
      <c r="AUY59" s="114"/>
      <c r="AUZ59" s="114"/>
      <c r="AVA59" s="114"/>
      <c r="AVB59" s="114"/>
      <c r="AVC59" s="114"/>
      <c r="AVD59" s="114"/>
      <c r="AVE59" s="114"/>
      <c r="AVF59" s="114"/>
      <c r="AVG59" s="114"/>
      <c r="AVH59" s="114"/>
      <c r="AVI59" s="114"/>
      <c r="AVJ59" s="114"/>
      <c r="AVK59" s="114"/>
      <c r="AVL59" s="114"/>
      <c r="AVM59" s="114"/>
      <c r="AVN59" s="114"/>
      <c r="AVO59" s="114"/>
      <c r="AVP59" s="114"/>
      <c r="AVQ59" s="115"/>
      <c r="AVR59" s="114"/>
      <c r="AVS59" s="114"/>
      <c r="AVT59" s="114"/>
      <c r="AVU59" s="114"/>
      <c r="AVV59" s="114"/>
      <c r="AVW59" s="114"/>
      <c r="AVX59" s="114"/>
      <c r="AVY59" s="114"/>
      <c r="AVZ59" s="114"/>
      <c r="AWA59" s="114"/>
      <c r="AWB59" s="114"/>
      <c r="AWC59" s="114"/>
      <c r="AWD59" s="114"/>
      <c r="AWE59" s="114"/>
      <c r="AWF59" s="114"/>
      <c r="AWG59" s="114"/>
      <c r="AWH59" s="114"/>
      <c r="AWI59" s="114"/>
      <c r="AWJ59" s="114"/>
      <c r="AWK59" s="114"/>
      <c r="AWL59" s="114"/>
      <c r="AWM59" s="114"/>
      <c r="AWN59" s="114"/>
      <c r="AWO59" s="114"/>
      <c r="AWP59" s="114"/>
      <c r="AWQ59" s="114"/>
      <c r="AWR59" s="114"/>
      <c r="AWS59" s="114"/>
      <c r="AWT59" s="114"/>
      <c r="AWU59" s="114"/>
      <c r="AWV59" s="114"/>
      <c r="AWW59" s="114"/>
      <c r="AWX59" s="114"/>
      <c r="AWY59" s="114"/>
      <c r="AWZ59" s="114"/>
      <c r="AXA59" s="114"/>
      <c r="AXB59" s="114"/>
      <c r="AXC59" s="114"/>
      <c r="AXD59" s="114"/>
      <c r="AXE59" s="114"/>
      <c r="AXF59" s="114"/>
      <c r="AXG59" s="114"/>
      <c r="AXH59" s="114"/>
      <c r="AXI59" s="114"/>
      <c r="AXJ59" s="114"/>
      <c r="AXK59" s="114"/>
      <c r="AXL59" s="114"/>
      <c r="AXM59" s="114"/>
      <c r="AXN59" s="114"/>
      <c r="AXO59" s="114"/>
      <c r="AXP59" s="114"/>
      <c r="AXQ59" s="114"/>
      <c r="AXR59" s="114"/>
      <c r="AXS59" s="114"/>
      <c r="AXT59" s="114"/>
      <c r="AXU59" s="114"/>
      <c r="AXV59" s="114"/>
      <c r="AXW59" s="114"/>
      <c r="AXX59" s="114"/>
      <c r="AXY59" s="115"/>
      <c r="AXZ59" s="114"/>
      <c r="AYA59" s="114"/>
      <c r="AYB59" s="114"/>
      <c r="AYC59" s="114"/>
      <c r="AYD59" s="114"/>
      <c r="AYE59" s="114"/>
      <c r="AYF59" s="114"/>
      <c r="AYG59" s="114"/>
      <c r="AYH59" s="114"/>
      <c r="AYI59" s="114"/>
      <c r="AYJ59" s="114"/>
      <c r="AYK59" s="114"/>
      <c r="AYL59" s="114"/>
      <c r="AYM59" s="114"/>
      <c r="AYN59" s="114"/>
      <c r="AYO59" s="114"/>
      <c r="AYP59" s="114"/>
      <c r="AYQ59" s="114"/>
      <c r="AYR59" s="114"/>
      <c r="AYS59" s="114"/>
      <c r="AYT59" s="114"/>
      <c r="AYU59" s="114"/>
      <c r="AYV59" s="114"/>
      <c r="AYW59" s="114"/>
      <c r="AYX59" s="114"/>
      <c r="AYY59" s="114"/>
      <c r="AYZ59" s="114"/>
      <c r="AZA59" s="114"/>
      <c r="AZB59" s="114"/>
      <c r="AZC59" s="114"/>
      <c r="AZD59" s="114"/>
      <c r="AZE59" s="114"/>
      <c r="AZF59" s="114"/>
      <c r="AZG59" s="114"/>
      <c r="AZH59" s="114"/>
      <c r="AZI59" s="114"/>
      <c r="AZJ59" s="114"/>
      <c r="AZK59" s="114"/>
      <c r="AZL59" s="114"/>
      <c r="AZM59" s="114"/>
      <c r="AZN59" s="114"/>
      <c r="AZO59" s="114"/>
      <c r="AZP59" s="114"/>
      <c r="AZQ59" s="114"/>
      <c r="AZR59" s="114"/>
      <c r="AZS59" s="114"/>
      <c r="AZT59" s="114"/>
      <c r="AZU59" s="114"/>
      <c r="AZV59" s="114"/>
      <c r="AZW59" s="114"/>
      <c r="AZX59" s="114"/>
      <c r="AZY59" s="114"/>
      <c r="AZZ59" s="114"/>
      <c r="BAA59" s="114"/>
      <c r="BAB59" s="114"/>
      <c r="BAC59" s="114"/>
      <c r="BAD59" s="114"/>
      <c r="BAE59" s="114"/>
      <c r="BAF59" s="114"/>
      <c r="BAG59" s="115"/>
      <c r="BAH59" s="114"/>
      <c r="BAI59" s="114"/>
      <c r="BAJ59" s="114"/>
      <c r="BAK59" s="114"/>
      <c r="BAL59" s="114"/>
      <c r="BAM59" s="114"/>
      <c r="BAN59" s="114"/>
      <c r="BAO59" s="114"/>
      <c r="BAP59" s="114"/>
      <c r="BAQ59" s="114"/>
      <c r="BAR59" s="114"/>
      <c r="BAS59" s="114"/>
      <c r="BAT59" s="114"/>
      <c r="BAU59" s="114"/>
      <c r="BAV59" s="114"/>
      <c r="BAW59" s="114"/>
      <c r="BAX59" s="114"/>
      <c r="BAY59" s="114"/>
      <c r="BAZ59" s="114"/>
      <c r="BBA59" s="114"/>
      <c r="BBB59" s="114"/>
      <c r="BBC59" s="114"/>
      <c r="BBD59" s="114"/>
      <c r="BBE59" s="114"/>
      <c r="BBF59" s="114"/>
      <c r="BBG59" s="114"/>
      <c r="BBH59" s="114"/>
      <c r="BBI59" s="114"/>
      <c r="BBJ59" s="114"/>
      <c r="BBK59" s="114"/>
      <c r="BBL59" s="114"/>
      <c r="BBM59" s="114"/>
      <c r="BBN59" s="114"/>
      <c r="BBO59" s="114"/>
      <c r="BBP59" s="114"/>
      <c r="BBQ59" s="114"/>
      <c r="BBR59" s="114"/>
      <c r="BBS59" s="114"/>
      <c r="BBT59" s="114"/>
      <c r="BBU59" s="114"/>
      <c r="BBV59" s="114"/>
      <c r="BBW59" s="114"/>
      <c r="BBX59" s="114"/>
      <c r="BBY59" s="114"/>
      <c r="BBZ59" s="114"/>
      <c r="BCA59" s="114"/>
      <c r="BCB59" s="114"/>
      <c r="BCC59" s="114"/>
      <c r="BCD59" s="114"/>
      <c r="BCE59" s="114"/>
      <c r="BCF59" s="114"/>
      <c r="BCG59" s="114"/>
      <c r="BCH59" s="114"/>
      <c r="BCI59" s="114"/>
      <c r="BCJ59" s="114"/>
      <c r="BCK59" s="114"/>
      <c r="BCL59" s="114"/>
      <c r="BCM59" s="114"/>
      <c r="BCN59" s="114"/>
      <c r="BCO59" s="115"/>
      <c r="BCP59" s="114"/>
      <c r="BCQ59" s="114"/>
      <c r="BCR59" s="114"/>
      <c r="BCS59" s="114"/>
      <c r="BCT59" s="114"/>
      <c r="BCU59" s="114"/>
      <c r="BCV59" s="114"/>
      <c r="BCW59" s="114"/>
      <c r="BCX59" s="114"/>
      <c r="BCY59" s="114"/>
      <c r="BCZ59" s="114"/>
      <c r="BDA59" s="114"/>
      <c r="BDB59" s="114"/>
      <c r="BDC59" s="114"/>
      <c r="BDD59" s="114"/>
      <c r="BDE59" s="114"/>
      <c r="BDF59" s="114"/>
      <c r="BDG59" s="114"/>
      <c r="BDH59" s="114"/>
      <c r="BDI59" s="114"/>
      <c r="BDJ59" s="114"/>
      <c r="BDK59" s="114"/>
      <c r="BDL59" s="114"/>
      <c r="BDM59" s="114"/>
      <c r="BDN59" s="114"/>
      <c r="BDO59" s="114"/>
      <c r="BDP59" s="114"/>
      <c r="BDQ59" s="114"/>
      <c r="BDR59" s="114"/>
      <c r="BDS59" s="114"/>
      <c r="BDT59" s="114"/>
      <c r="BDU59" s="114"/>
      <c r="BDV59" s="114"/>
      <c r="BDW59" s="114"/>
      <c r="BDX59" s="114"/>
      <c r="BDY59" s="114"/>
      <c r="BDZ59" s="114"/>
      <c r="BEA59" s="114"/>
      <c r="BEB59" s="114"/>
      <c r="BEC59" s="114"/>
      <c r="BED59" s="114"/>
      <c r="BEE59" s="114"/>
      <c r="BEF59" s="114"/>
      <c r="BEG59" s="114"/>
      <c r="BEH59" s="114"/>
      <c r="BEI59" s="114"/>
      <c r="BEJ59" s="114"/>
      <c r="BEK59" s="114"/>
      <c r="BEL59" s="114"/>
      <c r="BEM59" s="114"/>
      <c r="BEN59" s="114"/>
      <c r="BEO59" s="114"/>
      <c r="BEP59" s="114"/>
      <c r="BEQ59" s="114"/>
      <c r="BER59" s="114"/>
      <c r="BES59" s="114"/>
      <c r="BET59" s="114"/>
      <c r="BEU59" s="114"/>
      <c r="BEV59" s="114"/>
      <c r="BEW59" s="115"/>
      <c r="BEX59" s="114"/>
      <c r="BEY59" s="114"/>
      <c r="BEZ59" s="114"/>
      <c r="BFA59" s="114"/>
      <c r="BFB59" s="114"/>
      <c r="BFC59" s="114"/>
      <c r="BFD59" s="114"/>
      <c r="BFE59" s="114"/>
      <c r="BFF59" s="114"/>
      <c r="BFG59" s="114"/>
      <c r="BFH59" s="114"/>
      <c r="BFI59" s="114"/>
      <c r="BFJ59" s="114"/>
      <c r="BFK59" s="114"/>
      <c r="BFL59" s="114"/>
      <c r="BFM59" s="114"/>
      <c r="BFN59" s="114"/>
      <c r="BFO59" s="114"/>
      <c r="BFP59" s="114"/>
      <c r="BFQ59" s="114"/>
      <c r="BFR59" s="114"/>
      <c r="BFS59" s="114"/>
      <c r="BFT59" s="114"/>
      <c r="BFU59" s="114"/>
      <c r="BFV59" s="114"/>
      <c r="BFW59" s="114"/>
      <c r="BFX59" s="114"/>
      <c r="BFY59" s="114"/>
      <c r="BFZ59" s="114"/>
      <c r="BGA59" s="114"/>
      <c r="BGB59" s="114"/>
      <c r="BGC59" s="114"/>
      <c r="BGD59" s="114"/>
      <c r="BGE59" s="114"/>
      <c r="BGF59" s="114"/>
      <c r="BGG59" s="114"/>
      <c r="BGH59" s="114"/>
      <c r="BGI59" s="114"/>
      <c r="BGJ59" s="114"/>
      <c r="BGK59" s="114"/>
      <c r="BGL59" s="114"/>
      <c r="BGM59" s="114"/>
      <c r="BGN59" s="114"/>
      <c r="BGO59" s="114"/>
      <c r="BGP59" s="114"/>
      <c r="BGQ59" s="114"/>
      <c r="BGR59" s="114"/>
      <c r="BGS59" s="114"/>
      <c r="BGT59" s="114"/>
      <c r="BGU59" s="114"/>
      <c r="BGV59" s="114"/>
      <c r="BGW59" s="114"/>
      <c r="BGX59" s="114"/>
      <c r="BGY59" s="114"/>
      <c r="BGZ59" s="114"/>
      <c r="BHA59" s="114"/>
      <c r="BHB59" s="114"/>
      <c r="BHC59" s="114"/>
      <c r="BHD59" s="114"/>
      <c r="BHE59" s="115"/>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thickBot="1" x14ac:dyDescent="0.3">
      <c r="A60" s="100" t="s">
        <v>21</v>
      </c>
      <c r="B60" s="63"/>
      <c r="C60" s="261"/>
      <c r="D60" s="262"/>
      <c r="E60" s="121" t="str">
        <f xml:space="preserve"> setValueToTime(E59)</f>
        <v>54h10min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86"/>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86"/>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86"/>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86"/>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86"/>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86"/>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86"/>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86"/>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86"/>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86"/>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86"/>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86"/>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86"/>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86"/>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86"/>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86"/>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86"/>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86"/>
      <c r="AOT60" s="71"/>
      <c r="AOU60" s="71"/>
      <c r="AOV60" s="71"/>
      <c r="AOW60" s="71"/>
      <c r="AOX60" s="71"/>
      <c r="AOY60" s="71"/>
      <c r="AOZ60" s="71"/>
      <c r="APA60" s="71"/>
      <c r="APB60" s="71"/>
      <c r="APC60" s="71"/>
      <c r="APD60" s="71"/>
      <c r="APE60" s="71"/>
      <c r="APF60" s="71"/>
      <c r="APG60" s="71"/>
      <c r="APH60" s="71"/>
      <c r="API60" s="71"/>
      <c r="APJ60" s="71"/>
      <c r="APK60" s="71"/>
      <c r="APL60" s="71"/>
      <c r="APM60" s="71"/>
      <c r="APN60" s="71"/>
      <c r="APO60" s="71"/>
      <c r="APP60" s="71"/>
      <c r="APQ60" s="71"/>
      <c r="APR60" s="71"/>
      <c r="APS60" s="71"/>
      <c r="APT60" s="71"/>
      <c r="APU60" s="71"/>
      <c r="APV60" s="71"/>
      <c r="APW60" s="71"/>
      <c r="APX60" s="71"/>
      <c r="APY60" s="71"/>
      <c r="APZ60" s="71"/>
      <c r="AQA60" s="71"/>
      <c r="AQB60" s="71"/>
      <c r="AQC60" s="71"/>
      <c r="AQD60" s="71"/>
      <c r="AQE60" s="71"/>
      <c r="AQF60" s="71"/>
      <c r="AQG60" s="71"/>
      <c r="AQH60" s="71"/>
      <c r="AQI60" s="71"/>
      <c r="AQJ60" s="71"/>
      <c r="AQK60" s="71"/>
      <c r="AQL60" s="71"/>
      <c r="AQM60" s="71"/>
      <c r="AQN60" s="71"/>
      <c r="AQO60" s="71"/>
      <c r="AQP60" s="71"/>
      <c r="AQQ60" s="71"/>
      <c r="AQR60" s="71"/>
      <c r="AQS60" s="71"/>
      <c r="AQT60" s="71"/>
      <c r="AQU60" s="71"/>
      <c r="AQV60" s="71"/>
      <c r="AQW60" s="71"/>
      <c r="AQX60" s="71"/>
      <c r="AQY60" s="71"/>
      <c r="AQZ60" s="71"/>
      <c r="ARA60" s="86"/>
      <c r="ARB60" s="71"/>
      <c r="ARC60" s="71"/>
      <c r="ARD60" s="71"/>
      <c r="ARE60" s="71"/>
      <c r="ARF60" s="71"/>
      <c r="ARG60" s="71"/>
      <c r="ARH60" s="71"/>
      <c r="ARI60" s="71"/>
      <c r="ARJ60" s="71"/>
      <c r="ARK60" s="71"/>
      <c r="ARL60" s="71"/>
      <c r="ARM60" s="71"/>
      <c r="ARN60" s="71"/>
      <c r="ARO60" s="71"/>
      <c r="ARP60" s="71"/>
      <c r="ARQ60" s="71"/>
      <c r="ARR60" s="71"/>
      <c r="ARS60" s="71"/>
      <c r="ART60" s="71"/>
      <c r="ARU60" s="71"/>
      <c r="ARV60" s="71"/>
      <c r="ARW60" s="71"/>
      <c r="ARX60" s="71"/>
      <c r="ARY60" s="71"/>
      <c r="ARZ60" s="71"/>
      <c r="ASA60" s="71"/>
      <c r="ASB60" s="71"/>
      <c r="ASC60" s="71"/>
      <c r="ASD60" s="71"/>
      <c r="ASE60" s="71"/>
      <c r="ASF60" s="71"/>
      <c r="ASG60" s="71"/>
      <c r="ASH60" s="71"/>
      <c r="ASI60" s="71"/>
      <c r="ASJ60" s="71"/>
      <c r="ASK60" s="71"/>
      <c r="ASL60" s="71"/>
      <c r="ASM60" s="71"/>
      <c r="ASN60" s="71"/>
      <c r="ASO60" s="71"/>
      <c r="ASP60" s="71"/>
      <c r="ASQ60" s="71"/>
      <c r="ASR60" s="71"/>
      <c r="ASS60" s="71"/>
      <c r="AST60" s="71"/>
      <c r="ASU60" s="71"/>
      <c r="ASV60" s="71"/>
      <c r="ASW60" s="71"/>
      <c r="ASX60" s="71"/>
      <c r="ASY60" s="71"/>
      <c r="ASZ60" s="71"/>
      <c r="ATA60" s="71"/>
      <c r="ATB60" s="71"/>
      <c r="ATC60" s="71"/>
      <c r="ATD60" s="71"/>
      <c r="ATE60" s="71"/>
      <c r="ATF60" s="71"/>
      <c r="ATG60" s="71"/>
      <c r="ATH60" s="71"/>
      <c r="ATI60" s="86"/>
      <c r="ATJ60" s="71"/>
      <c r="ATK60" s="71"/>
      <c r="ATL60" s="71"/>
      <c r="ATM60" s="71"/>
      <c r="ATN60" s="71"/>
      <c r="ATO60" s="71"/>
      <c r="ATP60" s="71"/>
      <c r="ATQ60" s="71"/>
      <c r="ATR60" s="71"/>
      <c r="ATS60" s="71"/>
      <c r="ATT60" s="71"/>
      <c r="ATU60" s="71"/>
      <c r="ATV60" s="71"/>
      <c r="ATW60" s="71"/>
      <c r="ATX60" s="71"/>
      <c r="ATY60" s="71"/>
      <c r="ATZ60" s="71"/>
      <c r="AUA60" s="71"/>
      <c r="AUB60" s="71"/>
      <c r="AUC60" s="71"/>
      <c r="AUD60" s="71"/>
      <c r="AUE60" s="71"/>
      <c r="AUF60" s="71"/>
      <c r="AUG60" s="71"/>
      <c r="AUH60" s="71"/>
      <c r="AUI60" s="71"/>
      <c r="AUJ60" s="71"/>
      <c r="AUK60" s="71"/>
      <c r="AUL60" s="71"/>
      <c r="AUM60" s="71"/>
      <c r="AUN60" s="71"/>
      <c r="AUO60" s="71"/>
      <c r="AUP60" s="71"/>
      <c r="AUQ60" s="71"/>
      <c r="AUR60" s="71"/>
      <c r="AUS60" s="71"/>
      <c r="AUT60" s="71"/>
      <c r="AUU60" s="71"/>
      <c r="AUV60" s="71"/>
      <c r="AUW60" s="71"/>
      <c r="AUX60" s="71"/>
      <c r="AUY60" s="71"/>
      <c r="AUZ60" s="71"/>
      <c r="AVA60" s="71"/>
      <c r="AVB60" s="71"/>
      <c r="AVC60" s="71"/>
      <c r="AVD60" s="71"/>
      <c r="AVE60" s="71"/>
      <c r="AVF60" s="71"/>
      <c r="AVG60" s="71"/>
      <c r="AVH60" s="71"/>
      <c r="AVI60" s="71"/>
      <c r="AVJ60" s="71"/>
      <c r="AVK60" s="71"/>
      <c r="AVL60" s="71"/>
      <c r="AVM60" s="71"/>
      <c r="AVN60" s="71"/>
      <c r="AVO60" s="71"/>
      <c r="AVP60" s="71"/>
      <c r="AVQ60" s="86"/>
      <c r="AVR60" s="71"/>
      <c r="AVS60" s="71"/>
      <c r="AVT60" s="71"/>
      <c r="AVU60" s="71"/>
      <c r="AVV60" s="71"/>
      <c r="AVW60" s="71"/>
      <c r="AVX60" s="71"/>
      <c r="AVY60" s="71"/>
      <c r="AVZ60" s="71"/>
      <c r="AWA60" s="71"/>
      <c r="AWB60" s="71"/>
      <c r="AWC60" s="71"/>
      <c r="AWD60" s="71"/>
      <c r="AWE60" s="71"/>
      <c r="AWF60" s="71"/>
      <c r="AWG60" s="71"/>
      <c r="AWH60" s="71"/>
      <c r="AWI60" s="71"/>
      <c r="AWJ60" s="71"/>
      <c r="AWK60" s="71"/>
      <c r="AWL60" s="71"/>
      <c r="AWM60" s="71"/>
      <c r="AWN60" s="71"/>
      <c r="AWO60" s="71"/>
      <c r="AWP60" s="71"/>
      <c r="AWQ60" s="71"/>
      <c r="AWR60" s="71"/>
      <c r="AWS60" s="71"/>
      <c r="AWT60" s="71"/>
      <c r="AWU60" s="71"/>
      <c r="AWV60" s="71"/>
      <c r="AWW60" s="71"/>
      <c r="AWX60" s="71"/>
      <c r="AWY60" s="71"/>
      <c r="AWZ60" s="71"/>
      <c r="AXA60" s="71"/>
      <c r="AXB60" s="71"/>
      <c r="AXC60" s="71"/>
      <c r="AXD60" s="71"/>
      <c r="AXE60" s="71"/>
      <c r="AXF60" s="71"/>
      <c r="AXG60" s="71"/>
      <c r="AXH60" s="71"/>
      <c r="AXI60" s="71"/>
      <c r="AXJ60" s="71"/>
      <c r="AXK60" s="71"/>
      <c r="AXL60" s="71"/>
      <c r="AXM60" s="71"/>
      <c r="AXN60" s="71"/>
      <c r="AXO60" s="71"/>
      <c r="AXP60" s="71"/>
      <c r="AXQ60" s="71"/>
      <c r="AXR60" s="71"/>
      <c r="AXS60" s="71"/>
      <c r="AXT60" s="71"/>
      <c r="AXU60" s="71"/>
      <c r="AXV60" s="71"/>
      <c r="AXW60" s="71"/>
      <c r="AXX60" s="71"/>
      <c r="AXY60" s="86"/>
      <c r="AXZ60" s="71"/>
      <c r="AYA60" s="71"/>
      <c r="AYB60" s="71"/>
      <c r="AYC60" s="71"/>
      <c r="AYD60" s="71"/>
      <c r="AYE60" s="71"/>
      <c r="AYF60" s="71"/>
      <c r="AYG60" s="71"/>
      <c r="AYH60" s="71"/>
      <c r="AYI60" s="71"/>
      <c r="AYJ60" s="71"/>
      <c r="AYK60" s="71"/>
      <c r="AYL60" s="71"/>
      <c r="AYM60" s="71"/>
      <c r="AYN60" s="71"/>
      <c r="AYO60" s="71"/>
      <c r="AYP60" s="71"/>
      <c r="AYQ60" s="71"/>
      <c r="AYR60" s="71"/>
      <c r="AYS60" s="71"/>
      <c r="AYT60" s="71"/>
      <c r="AYU60" s="71"/>
      <c r="AYV60" s="71"/>
      <c r="AYW60" s="71"/>
      <c r="AYX60" s="71"/>
      <c r="AYY60" s="71"/>
      <c r="AYZ60" s="71"/>
      <c r="AZA60" s="71"/>
      <c r="AZB60" s="71"/>
      <c r="AZC60" s="71"/>
      <c r="AZD60" s="71"/>
      <c r="AZE60" s="71"/>
      <c r="AZF60" s="71"/>
      <c r="AZG60" s="71"/>
      <c r="AZH60" s="71"/>
      <c r="AZI60" s="71"/>
      <c r="AZJ60" s="71"/>
      <c r="AZK60" s="71"/>
      <c r="AZL60" s="71"/>
      <c r="AZM60" s="71"/>
      <c r="AZN60" s="71"/>
      <c r="AZO60" s="71"/>
      <c r="AZP60" s="71"/>
      <c r="AZQ60" s="71"/>
      <c r="AZR60" s="71"/>
      <c r="AZS60" s="71"/>
      <c r="AZT60" s="71"/>
      <c r="AZU60" s="71"/>
      <c r="AZV60" s="71"/>
      <c r="AZW60" s="71"/>
      <c r="AZX60" s="71"/>
      <c r="AZY60" s="71"/>
      <c r="AZZ60" s="71"/>
      <c r="BAA60" s="71"/>
      <c r="BAB60" s="71"/>
      <c r="BAC60" s="71"/>
      <c r="BAD60" s="71"/>
      <c r="BAE60" s="71"/>
      <c r="BAF60" s="71"/>
      <c r="BAG60" s="86"/>
      <c r="BAH60" s="71"/>
      <c r="BAI60" s="71"/>
      <c r="BAJ60" s="71"/>
      <c r="BAK60" s="71"/>
      <c r="BAL60" s="71"/>
      <c r="BAM60" s="71"/>
      <c r="BAN60" s="71"/>
      <c r="BAO60" s="71"/>
      <c r="BAP60" s="71"/>
      <c r="BAQ60" s="71"/>
      <c r="BAR60" s="71"/>
      <c r="BAS60" s="71"/>
      <c r="BAT60" s="71"/>
      <c r="BAU60" s="71"/>
      <c r="BAV60" s="71"/>
      <c r="BAW60" s="71"/>
      <c r="BAX60" s="71"/>
      <c r="BAY60" s="71"/>
      <c r="BAZ60" s="71"/>
      <c r="BBA60" s="71"/>
      <c r="BBB60" s="71"/>
      <c r="BBC60" s="71"/>
      <c r="BBD60" s="71"/>
      <c r="BBE60" s="71"/>
      <c r="BBF60" s="71"/>
      <c r="BBG60" s="71"/>
      <c r="BBH60" s="71"/>
      <c r="BBI60" s="71"/>
      <c r="BBJ60" s="71"/>
      <c r="BBK60" s="71"/>
      <c r="BBL60" s="71"/>
      <c r="BBM60" s="71"/>
      <c r="BBN60" s="71"/>
      <c r="BBO60" s="71"/>
      <c r="BBP60" s="71"/>
      <c r="BBQ60" s="71"/>
      <c r="BBR60" s="71"/>
      <c r="BBS60" s="71"/>
      <c r="BBT60" s="71"/>
      <c r="BBU60" s="71"/>
      <c r="BBV60" s="71"/>
      <c r="BBW60" s="71"/>
      <c r="BBX60" s="71"/>
      <c r="BBY60" s="71"/>
      <c r="BBZ60" s="71"/>
      <c r="BCA60" s="71"/>
      <c r="BCB60" s="71"/>
      <c r="BCC60" s="71"/>
      <c r="BCD60" s="71"/>
      <c r="BCE60" s="71"/>
      <c r="BCF60" s="71"/>
      <c r="BCG60" s="71"/>
      <c r="BCH60" s="71"/>
      <c r="BCI60" s="71"/>
      <c r="BCJ60" s="71"/>
      <c r="BCK60" s="71"/>
      <c r="BCL60" s="71"/>
      <c r="BCM60" s="71"/>
      <c r="BCN60" s="71"/>
      <c r="BCO60" s="86"/>
      <c r="BCP60" s="71"/>
      <c r="BCQ60" s="71"/>
      <c r="BCR60" s="71"/>
      <c r="BCS60" s="71"/>
      <c r="BCT60" s="71"/>
      <c r="BCU60" s="71"/>
      <c r="BCV60" s="71"/>
      <c r="BCW60" s="71"/>
      <c r="BCX60" s="71"/>
      <c r="BCY60" s="71"/>
      <c r="BCZ60" s="71"/>
      <c r="BDA60" s="71"/>
      <c r="BDB60" s="71"/>
      <c r="BDC60" s="71"/>
      <c r="BDD60" s="71"/>
      <c r="BDE60" s="71"/>
      <c r="BDF60" s="71"/>
      <c r="BDG60" s="71"/>
      <c r="BDH60" s="71"/>
      <c r="BDI60" s="71"/>
      <c r="BDJ60" s="71"/>
      <c r="BDK60" s="71"/>
      <c r="BDL60" s="71"/>
      <c r="BDM60" s="71"/>
      <c r="BDN60" s="71"/>
      <c r="BDO60" s="71"/>
      <c r="BDP60" s="71"/>
      <c r="BDQ60" s="71"/>
      <c r="BDR60" s="71"/>
      <c r="BDS60" s="71"/>
      <c r="BDT60" s="71"/>
      <c r="BDU60" s="71"/>
      <c r="BDV60" s="71"/>
      <c r="BDW60" s="71"/>
      <c r="BDX60" s="71"/>
      <c r="BDY60" s="71"/>
      <c r="BDZ60" s="71"/>
      <c r="BEA60" s="71"/>
      <c r="BEB60" s="71"/>
      <c r="BEC60" s="71"/>
      <c r="BED60" s="71"/>
      <c r="BEE60" s="71"/>
      <c r="BEF60" s="71"/>
      <c r="BEG60" s="71"/>
      <c r="BEH60" s="71"/>
      <c r="BEI60" s="71"/>
      <c r="BEJ60" s="71"/>
      <c r="BEK60" s="71"/>
      <c r="BEL60" s="71"/>
      <c r="BEM60" s="71"/>
      <c r="BEN60" s="71"/>
      <c r="BEO60" s="71"/>
      <c r="BEP60" s="71"/>
      <c r="BEQ60" s="71"/>
      <c r="BER60" s="71"/>
      <c r="BES60" s="71"/>
      <c r="BET60" s="71"/>
      <c r="BEU60" s="71"/>
      <c r="BEV60" s="71"/>
      <c r="BEW60" s="86"/>
      <c r="BEX60" s="71"/>
      <c r="BEY60" s="71"/>
      <c r="BEZ60" s="71"/>
      <c r="BFA60" s="71"/>
      <c r="BFB60" s="71"/>
      <c r="BFC60" s="71"/>
      <c r="BFD60" s="71"/>
      <c r="BFE60" s="71"/>
      <c r="BFF60" s="71"/>
      <c r="BFG60" s="71"/>
      <c r="BFH60" s="71"/>
      <c r="BFI60" s="71"/>
      <c r="BFJ60" s="71"/>
      <c r="BFK60" s="71"/>
      <c r="BFL60" s="71"/>
      <c r="BFM60" s="71"/>
      <c r="BFN60" s="71"/>
      <c r="BFO60" s="71"/>
      <c r="BFP60" s="71"/>
      <c r="BFQ60" s="71"/>
      <c r="BFR60" s="71"/>
      <c r="BFS60" s="71"/>
      <c r="BFT60" s="71"/>
      <c r="BFU60" s="71"/>
      <c r="BFV60" s="71"/>
      <c r="BFW60" s="71"/>
      <c r="BFX60" s="71"/>
      <c r="BFY60" s="71"/>
      <c r="BFZ60" s="71"/>
      <c r="BGA60" s="71"/>
      <c r="BGB60" s="71"/>
      <c r="BGC60" s="71"/>
      <c r="BGD60" s="71"/>
      <c r="BGE60" s="71"/>
      <c r="BGF60" s="71"/>
      <c r="BGG60" s="71"/>
      <c r="BGH60" s="71"/>
      <c r="BGI60" s="71"/>
      <c r="BGJ60" s="71"/>
      <c r="BGK60" s="71"/>
      <c r="BGL60" s="71"/>
      <c r="BGM60" s="71"/>
      <c r="BGN60" s="71"/>
      <c r="BGO60" s="71"/>
      <c r="BGP60" s="71"/>
      <c r="BGQ60" s="71"/>
      <c r="BGR60" s="71"/>
      <c r="BGS60" s="71"/>
      <c r="BGT60" s="71"/>
      <c r="BGU60" s="71"/>
      <c r="BGV60" s="71"/>
      <c r="BGW60" s="71"/>
      <c r="BGX60" s="71"/>
      <c r="BGY60" s="71"/>
      <c r="BGZ60" s="71"/>
      <c r="BHA60" s="71"/>
      <c r="BHB60" s="71"/>
      <c r="BHC60" s="71"/>
      <c r="BHD60" s="71"/>
      <c r="BHE60" s="86"/>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thickBot="1" x14ac:dyDescent="0.3">
      <c r="A61" s="100" t="s">
        <v>20</v>
      </c>
      <c r="B61" s="63"/>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89"/>
      <c r="APO61" s="89"/>
      <c r="APP61" s="89"/>
      <c r="APQ61" s="89"/>
      <c r="APR61" s="89"/>
      <c r="APS61" s="89"/>
      <c r="APT61" s="89"/>
      <c r="APU61" s="89"/>
      <c r="APV61" s="89"/>
      <c r="APW61" s="89"/>
      <c r="APX61" s="89"/>
      <c r="APY61" s="89"/>
      <c r="APZ61" s="89"/>
      <c r="AQA61" s="89"/>
      <c r="AQB61" s="89"/>
      <c r="AQC61" s="89"/>
      <c r="AQD61" s="89"/>
      <c r="AQE61" s="89"/>
      <c r="AQF61" s="89"/>
      <c r="AQG61" s="89"/>
      <c r="AQH61" s="89"/>
      <c r="AQI61" s="89"/>
      <c r="AQJ61" s="89"/>
      <c r="AQK61" s="89"/>
      <c r="AQL61" s="89"/>
      <c r="AQM61" s="89"/>
      <c r="AQN61" s="89"/>
      <c r="AQO61" s="89"/>
      <c r="AQP61" s="89"/>
      <c r="AQQ61" s="89"/>
      <c r="AQR61" s="89"/>
      <c r="AQS61" s="89"/>
      <c r="AQT61" s="89"/>
      <c r="AQU61" s="89"/>
      <c r="AQV61" s="89"/>
      <c r="AQW61" s="89"/>
      <c r="AQX61" s="89"/>
      <c r="AQY61" s="89"/>
      <c r="AQZ61" s="89"/>
      <c r="ARA61" s="89"/>
      <c r="ARB61" s="89"/>
      <c r="ARC61" s="89"/>
      <c r="ARD61" s="89"/>
      <c r="ARE61" s="89"/>
      <c r="ARF61" s="89"/>
      <c r="ARG61" s="89"/>
      <c r="ARH61" s="89"/>
      <c r="ARI61" s="89"/>
      <c r="ARJ61" s="89"/>
      <c r="ARK61" s="89"/>
      <c r="ARL61" s="89"/>
      <c r="ARM61" s="89"/>
      <c r="ARN61" s="89"/>
      <c r="ARO61" s="89"/>
      <c r="ARP61" s="89"/>
      <c r="ARQ61" s="89"/>
      <c r="ARR61" s="89"/>
      <c r="ARS61" s="89"/>
      <c r="ART61" s="89"/>
      <c r="ARU61" s="89"/>
      <c r="ARV61" s="89"/>
      <c r="ARW61" s="89"/>
      <c r="ARX61" s="89"/>
      <c r="ARY61" s="89"/>
      <c r="ARZ61" s="89"/>
      <c r="ASA61" s="89"/>
      <c r="ASB61" s="89"/>
      <c r="ASC61" s="89"/>
      <c r="ASD61" s="89"/>
      <c r="ASE61" s="89"/>
      <c r="ASF61" s="89"/>
      <c r="ASG61" s="89"/>
      <c r="ASH61" s="89"/>
      <c r="ASI61" s="89"/>
      <c r="ASJ61" s="89"/>
      <c r="ASK61" s="89"/>
      <c r="ASL61" s="89"/>
      <c r="ASM61" s="89"/>
      <c r="ASN61" s="89"/>
      <c r="ASO61" s="89"/>
      <c r="ASP61" s="89"/>
      <c r="ASQ61" s="89"/>
      <c r="ASR61" s="89"/>
      <c r="ASS61" s="89"/>
      <c r="AST61" s="89"/>
      <c r="ASU61" s="89"/>
      <c r="ASV61" s="89"/>
      <c r="ASW61" s="89"/>
      <c r="ASX61" s="89"/>
      <c r="ASY61" s="89"/>
      <c r="ASZ61" s="89"/>
      <c r="ATA61" s="89"/>
      <c r="ATB61" s="89"/>
      <c r="ATC61" s="89"/>
      <c r="ATD61" s="89"/>
      <c r="ATE61" s="89"/>
      <c r="ATF61" s="89"/>
      <c r="ATG61" s="89"/>
      <c r="ATH61" s="89"/>
      <c r="ATI61" s="89"/>
      <c r="ATJ61" s="89"/>
      <c r="ATK61" s="89"/>
      <c r="ATL61" s="89"/>
      <c r="ATM61" s="89"/>
      <c r="ATN61" s="89"/>
      <c r="ATO61" s="89"/>
      <c r="ATP61" s="89"/>
      <c r="ATQ61" s="89"/>
      <c r="ATR61" s="89"/>
      <c r="ATS61" s="89"/>
      <c r="ATT61" s="89"/>
      <c r="ATU61" s="89"/>
      <c r="ATV61" s="89"/>
      <c r="ATW61" s="89"/>
      <c r="ATX61" s="89"/>
      <c r="ATY61" s="89"/>
      <c r="ATZ61" s="89"/>
      <c r="AUA61" s="89"/>
      <c r="AUB61" s="89"/>
      <c r="AUC61" s="89"/>
      <c r="AUD61" s="89"/>
      <c r="AUE61" s="89"/>
      <c r="AUF61" s="89"/>
      <c r="AUG61" s="89"/>
      <c r="AUH61" s="89"/>
      <c r="AUI61" s="89"/>
      <c r="AUJ61" s="89"/>
      <c r="AUK61" s="89"/>
      <c r="AUL61" s="89"/>
      <c r="AUM61" s="89"/>
      <c r="AUN61" s="89"/>
      <c r="AUO61" s="89"/>
      <c r="AUP61" s="89"/>
      <c r="AUQ61" s="89"/>
      <c r="AUR61" s="89"/>
      <c r="AUS61" s="89"/>
      <c r="AUT61" s="89"/>
      <c r="AUU61" s="89"/>
      <c r="AUV61" s="89"/>
      <c r="AUW61" s="89"/>
      <c r="AUX61" s="89"/>
      <c r="AUY61" s="89"/>
      <c r="AUZ61" s="89"/>
      <c r="AVA61" s="89"/>
      <c r="AVB61" s="89"/>
      <c r="AVC61" s="89"/>
      <c r="AVD61" s="89"/>
      <c r="AVE61" s="89"/>
      <c r="AVF61" s="89"/>
      <c r="AVG61" s="89"/>
      <c r="AVH61" s="89"/>
      <c r="AVI61" s="89"/>
      <c r="AVJ61" s="89"/>
      <c r="AVK61" s="89"/>
      <c r="AVL61" s="89"/>
      <c r="AVM61" s="89"/>
      <c r="AVN61" s="89"/>
      <c r="AVO61" s="89"/>
      <c r="AVP61" s="89"/>
      <c r="AVQ61" s="89"/>
      <c r="AVR61" s="89"/>
      <c r="AVS61" s="89"/>
      <c r="AVT61" s="89"/>
      <c r="AVU61" s="89"/>
      <c r="AVV61" s="89"/>
      <c r="AVW61" s="89"/>
      <c r="AVX61" s="89"/>
      <c r="AVY61" s="89"/>
      <c r="AVZ61" s="89"/>
      <c r="AWA61" s="89"/>
      <c r="AWB61" s="89"/>
      <c r="AWC61" s="89"/>
      <c r="AWD61" s="89"/>
      <c r="AWE61" s="89"/>
      <c r="AWF61" s="89"/>
      <c r="AWG61" s="89"/>
      <c r="AWH61" s="89"/>
      <c r="AWI61" s="89"/>
      <c r="AWJ61" s="89"/>
      <c r="AWK61" s="89"/>
      <c r="AWL61" s="89"/>
      <c r="AWM61" s="89"/>
      <c r="AWN61" s="89"/>
      <c r="AWO61" s="89"/>
      <c r="AWP61" s="89"/>
      <c r="AWQ61" s="89"/>
      <c r="AWR61" s="89"/>
      <c r="AWS61" s="89"/>
      <c r="AWT61" s="89"/>
      <c r="AWU61" s="89"/>
      <c r="AWV61" s="89"/>
      <c r="AWW61" s="89"/>
      <c r="AWX61" s="89"/>
      <c r="AWY61" s="89"/>
      <c r="AWZ61" s="89"/>
      <c r="AXA61" s="89"/>
      <c r="AXB61" s="89"/>
      <c r="AXC61" s="89"/>
      <c r="AXD61" s="89"/>
      <c r="AXE61" s="89"/>
      <c r="AXF61" s="89"/>
      <c r="AXG61" s="89"/>
      <c r="AXH61" s="89"/>
      <c r="AXI61" s="89"/>
      <c r="AXJ61" s="89"/>
      <c r="AXK61" s="89"/>
      <c r="AXL61" s="89"/>
      <c r="AXM61" s="89"/>
      <c r="AXN61" s="89"/>
      <c r="AXO61" s="89"/>
      <c r="AXP61" s="89"/>
      <c r="AXQ61" s="89"/>
      <c r="AXR61" s="89"/>
      <c r="AXS61" s="89"/>
      <c r="AXT61" s="89"/>
      <c r="AXU61" s="89"/>
      <c r="AXV61" s="89"/>
      <c r="AXW61" s="89"/>
      <c r="AXX61" s="89"/>
      <c r="AXY61" s="89"/>
      <c r="AXZ61" s="89"/>
      <c r="AYA61" s="89"/>
      <c r="AYB61" s="89"/>
      <c r="AYC61" s="89"/>
      <c r="AYD61" s="89"/>
      <c r="AYE61" s="89"/>
      <c r="AYF61" s="89"/>
      <c r="AYG61" s="89"/>
      <c r="AYH61" s="89"/>
      <c r="AYI61" s="89"/>
      <c r="AYJ61" s="89"/>
      <c r="AYK61" s="89"/>
      <c r="AYL61" s="89"/>
      <c r="AYM61" s="89"/>
      <c r="AYN61" s="89"/>
      <c r="AYO61" s="89"/>
      <c r="AYP61" s="89"/>
      <c r="AYQ61" s="89"/>
      <c r="AYR61" s="89"/>
      <c r="AYS61" s="89"/>
      <c r="AYT61" s="89"/>
      <c r="AYU61" s="89"/>
      <c r="AYV61" s="89"/>
      <c r="AYW61" s="89"/>
      <c r="AYX61" s="89"/>
      <c r="AYY61" s="89"/>
      <c r="AYZ61" s="89"/>
      <c r="AZA61" s="89"/>
      <c r="AZB61" s="89"/>
      <c r="AZC61" s="89"/>
      <c r="AZD61" s="89"/>
      <c r="AZE61" s="89"/>
      <c r="AZF61" s="89"/>
      <c r="AZG61" s="89"/>
      <c r="AZH61" s="89"/>
      <c r="AZI61" s="89"/>
      <c r="AZJ61" s="89"/>
      <c r="AZK61" s="89"/>
      <c r="AZL61" s="89"/>
      <c r="AZM61" s="89"/>
      <c r="AZN61" s="89"/>
      <c r="AZO61" s="89"/>
      <c r="AZP61" s="89"/>
      <c r="AZQ61" s="89"/>
      <c r="AZR61" s="89"/>
      <c r="AZS61" s="89"/>
      <c r="AZT61" s="89"/>
      <c r="AZU61" s="89"/>
      <c r="AZV61" s="89"/>
      <c r="AZW61" s="89"/>
      <c r="AZX61" s="89"/>
      <c r="AZY61" s="89"/>
      <c r="AZZ61" s="89"/>
      <c r="BAA61" s="89"/>
      <c r="BAB61" s="89"/>
      <c r="BAC61" s="89"/>
      <c r="BAD61" s="89"/>
      <c r="BAE61" s="89"/>
      <c r="BAF61" s="89"/>
      <c r="BAG61" s="89"/>
      <c r="BAH61" s="89"/>
      <c r="BAI61" s="89"/>
      <c r="BAJ61" s="89"/>
      <c r="BAK61" s="89"/>
      <c r="BAL61" s="89"/>
      <c r="BAM61" s="89"/>
      <c r="BAN61" s="89"/>
      <c r="BAO61" s="89"/>
      <c r="BAP61" s="89"/>
      <c r="BAQ61" s="89"/>
      <c r="BAR61" s="89"/>
      <c r="BAS61" s="89"/>
      <c r="BAT61" s="89"/>
      <c r="BAU61" s="89"/>
      <c r="BAV61" s="89"/>
      <c r="BAW61" s="89"/>
      <c r="BAX61" s="89"/>
      <c r="BAY61" s="89"/>
      <c r="BAZ61" s="89"/>
      <c r="BBA61" s="89"/>
      <c r="BBB61" s="89"/>
      <c r="BBC61" s="89"/>
      <c r="BBD61" s="89"/>
      <c r="BBE61" s="89"/>
      <c r="BBF61" s="89"/>
      <c r="BBG61" s="89"/>
      <c r="BBH61" s="89"/>
      <c r="BBI61" s="89"/>
      <c r="BBJ61" s="89"/>
      <c r="BBK61" s="89"/>
      <c r="BBL61" s="89"/>
      <c r="BBM61" s="89"/>
      <c r="BBN61" s="89"/>
      <c r="BBO61" s="89"/>
      <c r="BBP61" s="89"/>
      <c r="BBQ61" s="89"/>
      <c r="BBR61" s="89"/>
      <c r="BBS61" s="89"/>
      <c r="BBT61" s="89"/>
      <c r="BBU61" s="89"/>
      <c r="BBV61" s="89"/>
      <c r="BBW61" s="89"/>
      <c r="BBX61" s="89"/>
      <c r="BBY61" s="89"/>
      <c r="BBZ61" s="89"/>
      <c r="BCA61" s="89"/>
      <c r="BCB61" s="89"/>
      <c r="BCC61" s="89"/>
      <c r="BCD61" s="89"/>
      <c r="BCE61" s="89"/>
      <c r="BCF61" s="89"/>
      <c r="BCG61" s="89"/>
      <c r="BCH61" s="89"/>
      <c r="BCI61" s="89"/>
      <c r="BCJ61" s="89"/>
      <c r="BCK61" s="89"/>
      <c r="BCL61" s="89"/>
      <c r="BCM61" s="89"/>
      <c r="BCN61" s="89"/>
      <c r="BCO61" s="89"/>
      <c r="BCP61" s="89"/>
      <c r="BCQ61" s="89"/>
      <c r="BCR61" s="89"/>
      <c r="BCS61" s="89"/>
      <c r="BCT61" s="89"/>
      <c r="BCU61" s="89"/>
      <c r="BCV61" s="89"/>
      <c r="BCW61" s="89"/>
      <c r="BCX61" s="89"/>
      <c r="BCY61" s="89"/>
      <c r="BCZ61" s="89"/>
      <c r="BDA61" s="89"/>
      <c r="BDB61" s="89"/>
      <c r="BDC61" s="89"/>
      <c r="BDD61" s="89"/>
      <c r="BDE61" s="89"/>
      <c r="BDF61" s="89"/>
      <c r="BDG61" s="89"/>
      <c r="BDH61" s="89"/>
      <c r="BDI61" s="89"/>
      <c r="BDJ61" s="89"/>
      <c r="BDK61" s="89"/>
      <c r="BDL61" s="89"/>
      <c r="BDM61" s="89"/>
      <c r="BDN61" s="89"/>
      <c r="BDO61" s="89"/>
      <c r="BDP61" s="89"/>
      <c r="BDQ61" s="89"/>
      <c r="BDR61" s="89"/>
      <c r="BDS61" s="89"/>
      <c r="BDT61" s="89"/>
      <c r="BDU61" s="89"/>
      <c r="BDV61" s="89"/>
      <c r="BDW61" s="89"/>
      <c r="BDX61" s="89"/>
      <c r="BDY61" s="89"/>
      <c r="BDZ61" s="89"/>
      <c r="BEA61" s="89"/>
      <c r="BEB61" s="89"/>
      <c r="BEC61" s="89"/>
      <c r="BED61" s="89"/>
      <c r="BEE61" s="89"/>
      <c r="BEF61" s="89"/>
      <c r="BEG61" s="89"/>
      <c r="BEH61" s="89"/>
      <c r="BEI61" s="89"/>
      <c r="BEJ61" s="89"/>
      <c r="BEK61" s="89"/>
      <c r="BEL61" s="89"/>
      <c r="BEM61" s="89"/>
      <c r="BEN61" s="89"/>
      <c r="BEO61" s="89"/>
      <c r="BEP61" s="89"/>
      <c r="BEQ61" s="89"/>
      <c r="BER61" s="89"/>
      <c r="BES61" s="89"/>
      <c r="BET61" s="89"/>
      <c r="BEU61" s="89"/>
      <c r="BEV61" s="89"/>
      <c r="BEW61" s="89"/>
      <c r="BEX61" s="89"/>
      <c r="BEY61" s="89"/>
      <c r="BEZ61" s="89"/>
      <c r="BFA61" s="89"/>
      <c r="BFB61" s="89"/>
      <c r="BFC61" s="89"/>
      <c r="BFD61" s="89"/>
      <c r="BFE61" s="89"/>
      <c r="BFF61" s="89"/>
      <c r="BFG61" s="89"/>
      <c r="BFH61" s="89"/>
      <c r="BFI61" s="89"/>
      <c r="BFJ61" s="89"/>
      <c r="BFK61" s="89"/>
      <c r="BFL61" s="89"/>
      <c r="BFM61" s="89"/>
      <c r="BFN61" s="89"/>
      <c r="BFO61" s="89"/>
      <c r="BFP61" s="89"/>
      <c r="BFQ61" s="89"/>
      <c r="BFR61" s="89"/>
      <c r="BFS61" s="89"/>
      <c r="BFT61" s="89"/>
      <c r="BFU61" s="89"/>
      <c r="BFV61" s="89"/>
      <c r="BFW61" s="89"/>
      <c r="BFX61" s="89"/>
      <c r="BFY61" s="89"/>
      <c r="BFZ61" s="89"/>
      <c r="BGA61" s="89"/>
      <c r="BGB61" s="89"/>
      <c r="BGC61" s="89"/>
      <c r="BGD61" s="89"/>
      <c r="BGE61" s="89"/>
      <c r="BGF61" s="89"/>
      <c r="BGG61" s="89"/>
      <c r="BGH61" s="89"/>
      <c r="BGI61" s="89"/>
      <c r="BGJ61" s="89"/>
      <c r="BGK61" s="89"/>
      <c r="BGL61" s="89"/>
      <c r="BGM61" s="89"/>
      <c r="BGN61" s="89"/>
      <c r="BGO61" s="89"/>
      <c r="BGP61" s="89"/>
      <c r="BGQ61" s="89"/>
      <c r="BGR61" s="89"/>
      <c r="BGS61" s="89"/>
      <c r="BGT61" s="89"/>
      <c r="BGU61" s="89"/>
      <c r="BGV61" s="89"/>
      <c r="BGW61" s="89"/>
      <c r="BGX61" s="89"/>
      <c r="BGY61" s="89"/>
      <c r="BGZ61" s="89"/>
      <c r="BHA61" s="89"/>
      <c r="BHB61" s="89"/>
      <c r="BHC61" s="89"/>
      <c r="BHD61" s="89"/>
      <c r="BHE61" s="89"/>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164"/>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164"/>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64"/>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164"/>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x14ac:dyDescent="0.25">
      <c r="B95" s="96"/>
      <c r="BHF95" s="90"/>
    </row>
    <row r="96" spans="1:2 1566:1865" ht="20.100000000000001" customHeight="1" x14ac:dyDescent="0.25">
      <c r="B96" s="96"/>
      <c r="BHF96" s="90"/>
    </row>
    <row r="97" spans="2:2 1566:1566" ht="20.100000000000001" customHeight="1" x14ac:dyDescent="0.25">
      <c r="B97" s="96"/>
      <c r="BHF97" s="123"/>
    </row>
    <row r="98" spans="2:2 1566:1566" ht="20.100000000000001" customHeight="1" x14ac:dyDescent="0.25">
      <c r="B98" s="96"/>
      <c r="BHF98" s="90"/>
    </row>
    <row r="99" spans="2:2 1566:1566" ht="20.100000000000001" customHeight="1" thickBot="1" x14ac:dyDescent="0.3">
      <c r="B99" s="98"/>
      <c r="BHF99" s="91"/>
    </row>
  </sheetData>
  <sheetProtection insertRows="0" insertHyperlinks="0" selectLockedCells="1"/>
  <mergeCells count="369">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C57:D58"/>
    <mergeCell ref="C59:D60"/>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C53:C54"/>
    <mergeCell ref="C55:C56"/>
    <mergeCell ref="G9:U9"/>
    <mergeCell ref="EL14:EO14"/>
    <mergeCell ref="EX14:FA14"/>
    <mergeCell ref="FJ14:FM14"/>
    <mergeCell ref="DV10:GC10"/>
    <mergeCell ref="DV11:GC11"/>
    <mergeCell ref="DV12:GC12"/>
    <mergeCell ref="CR10:DU10"/>
    <mergeCell ref="BN10:CP10"/>
    <mergeCell ref="BN11:DU11"/>
    <mergeCell ref="BN12:DU12"/>
    <mergeCell ref="C37:C38"/>
    <mergeCell ref="C45:C46"/>
    <mergeCell ref="C31:C32"/>
    <mergeCell ref="C33:C34"/>
    <mergeCell ref="C35:C36"/>
    <mergeCell ref="C21:C22"/>
    <mergeCell ref="C15:C16"/>
    <mergeCell ref="C11:E12"/>
    <mergeCell ref="DZ14:EC14"/>
    <mergeCell ref="FV14:FY14"/>
    <mergeCell ref="EF14:EI14"/>
    <mergeCell ref="ER14:EU14"/>
    <mergeCell ref="FD14:FG14"/>
    <mergeCell ref="V14:Y14"/>
    <mergeCell ref="AB14:AE14"/>
    <mergeCell ref="AH14:AK14"/>
    <mergeCell ref="FP14:FS14"/>
    <mergeCell ref="F13:BM13"/>
    <mergeCell ref="J14:M14"/>
    <mergeCell ref="P14:S14"/>
    <mergeCell ref="BN13:DU13"/>
    <mergeCell ref="DH14:DK14"/>
    <mergeCell ref="DN14:DQ14"/>
    <mergeCell ref="DV13:GC13"/>
    <mergeCell ref="C1:E1"/>
    <mergeCell ref="C7:E7"/>
    <mergeCell ref="C47:C48"/>
    <mergeCell ref="C49:C50"/>
    <mergeCell ref="C51:C52"/>
    <mergeCell ref="F12:BM12"/>
    <mergeCell ref="F11:BM11"/>
    <mergeCell ref="W9:AG9"/>
    <mergeCell ref="AH9:AW9"/>
    <mergeCell ref="E13:E14"/>
    <mergeCell ref="C29:C30"/>
    <mergeCell ref="C19:C2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44</v>
      </c>
      <c r="G2" s="46"/>
    </row>
    <row r="3" spans="1:7" s="47" customFormat="1" ht="30" customHeight="1" thickBot="1" x14ac:dyDescent="0.3">
      <c r="A3" s="80" t="s">
        <v>5</v>
      </c>
      <c r="B3" s="149" t="s">
        <v>40</v>
      </c>
      <c r="C3" s="150">
        <v>48</v>
      </c>
      <c r="D3" s="80" t="s">
        <v>13</v>
      </c>
      <c r="E3" s="271" t="s">
        <v>14</v>
      </c>
      <c r="F3" s="272"/>
      <c r="G3" s="46"/>
    </row>
    <row r="4" spans="1:7" s="52" customFormat="1" x14ac:dyDescent="0.3">
      <c r="A4" s="173" t="s">
        <v>16</v>
      </c>
      <c r="B4" s="54">
        <v>15</v>
      </c>
      <c r="C4" s="152" t="str">
        <f t="shared" ref="C4:C9" si="0" xml:space="preserve"> IF(B4="","",setValueToTime(B4))</f>
        <v>1h15min</v>
      </c>
      <c r="D4" s="174" t="s">
        <v>152</v>
      </c>
      <c r="E4" s="273"/>
      <c r="F4" s="274"/>
      <c r="G4" s="51"/>
    </row>
    <row r="5" spans="1:7" s="52" customFormat="1" x14ac:dyDescent="0.3">
      <c r="A5" s="53" t="s">
        <v>98</v>
      </c>
      <c r="B5" s="54">
        <v>4</v>
      </c>
      <c r="C5" s="152" t="str">
        <f t="shared" si="0"/>
        <v>0h20min</v>
      </c>
      <c r="D5" s="174" t="s">
        <v>153</v>
      </c>
      <c r="E5" s="265"/>
      <c r="F5" s="266"/>
      <c r="G5" s="51"/>
    </row>
    <row r="6" spans="1:7" s="52" customFormat="1" x14ac:dyDescent="0.3">
      <c r="A6" s="53" t="s">
        <v>102</v>
      </c>
      <c r="B6" s="54">
        <v>16</v>
      </c>
      <c r="C6" s="152" t="str">
        <f t="shared" si="0"/>
        <v>1h20min</v>
      </c>
      <c r="D6" s="174" t="s">
        <v>154</v>
      </c>
      <c r="E6" s="265"/>
      <c r="F6" s="266"/>
      <c r="G6" s="51"/>
    </row>
    <row r="7" spans="1:7" s="52" customFormat="1" x14ac:dyDescent="0.3">
      <c r="A7" s="53" t="s">
        <v>95</v>
      </c>
      <c r="B7" s="54">
        <v>10</v>
      </c>
      <c r="C7" s="152" t="str">
        <f t="shared" si="0"/>
        <v>0h50min</v>
      </c>
      <c r="D7" s="174" t="s">
        <v>155</v>
      </c>
      <c r="E7" s="265"/>
      <c r="F7" s="266"/>
      <c r="G7" s="51"/>
    </row>
    <row r="8" spans="1:7" s="52" customFormat="1" x14ac:dyDescent="0.3">
      <c r="A8" s="53" t="s">
        <v>17</v>
      </c>
      <c r="B8" s="54">
        <v>2</v>
      </c>
      <c r="C8" s="152" t="str">
        <f t="shared" si="0"/>
        <v>0h10min</v>
      </c>
      <c r="D8" s="174" t="s">
        <v>157</v>
      </c>
      <c r="E8" s="265"/>
      <c r="F8" s="266"/>
      <c r="G8" s="51"/>
    </row>
    <row r="9" spans="1:7" s="52" customFormat="1" x14ac:dyDescent="0.3">
      <c r="A9" s="53" t="s">
        <v>101</v>
      </c>
      <c r="B9" s="54">
        <v>1</v>
      </c>
      <c r="C9" s="152" t="str">
        <f t="shared" si="0"/>
        <v>0h5min</v>
      </c>
      <c r="D9" s="174" t="s">
        <v>156</v>
      </c>
      <c r="E9" s="265"/>
      <c r="F9" s="266"/>
      <c r="G9" s="51"/>
    </row>
    <row r="10" spans="1:7" s="52" customFormat="1" x14ac:dyDescent="0.3">
      <c r="A10" s="54"/>
      <c r="B10" s="54"/>
      <c r="C10" s="153" t="str">
        <f t="shared" ref="C10:C11" si="1" xml:space="preserve"> IF(B10="","",setValueToTime(B10))</f>
        <v/>
      </c>
      <c r="D10" s="55"/>
      <c r="E10" s="265"/>
      <c r="F10" s="266"/>
      <c r="G10" s="51"/>
    </row>
    <row r="11" spans="1:7" s="52" customFormat="1" ht="15" thickBot="1" x14ac:dyDescent="0.35">
      <c r="A11" s="56"/>
      <c r="B11" s="56"/>
      <c r="C11" s="154" t="str">
        <f t="shared" si="1"/>
        <v/>
      </c>
      <c r="D11" s="57"/>
      <c r="E11" s="267"/>
      <c r="F11" s="268"/>
      <c r="G11" s="51"/>
    </row>
    <row r="12" spans="1:7" s="52" customFormat="1" ht="15" thickBot="1" x14ac:dyDescent="0.35">
      <c r="A12" s="110" t="s">
        <v>29</v>
      </c>
      <c r="B12" s="84">
        <f>SUM(B4:B11)</f>
        <v>48</v>
      </c>
      <c r="C12" s="110" t="str">
        <f xml:space="preserve"> setValueToTime(B12)</f>
        <v>4h</v>
      </c>
      <c r="D12" s="119"/>
      <c r="E12" s="269"/>
      <c r="F12" s="270"/>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43</v>
      </c>
      <c r="G14" s="46"/>
    </row>
    <row r="15" spans="1:7" s="47" customFormat="1" ht="30" customHeight="1" thickBot="1" x14ac:dyDescent="0.3">
      <c r="A15" s="80" t="s">
        <v>5</v>
      </c>
      <c r="B15" s="149" t="s">
        <v>40</v>
      </c>
      <c r="C15" s="150">
        <v>38</v>
      </c>
      <c r="D15" s="80" t="s">
        <v>13</v>
      </c>
      <c r="E15" s="271" t="s">
        <v>14</v>
      </c>
      <c r="F15" s="272"/>
      <c r="G15" s="46"/>
    </row>
    <row r="16" spans="1:7" s="52" customFormat="1" x14ac:dyDescent="0.3">
      <c r="A16" s="173" t="s">
        <v>98</v>
      </c>
      <c r="B16" s="54">
        <v>15</v>
      </c>
      <c r="C16" s="152" t="str">
        <f xml:space="preserve"> IF(B16="","",setValueToTime(B16))</f>
        <v>1h15min</v>
      </c>
      <c r="D16" s="174" t="s">
        <v>149</v>
      </c>
      <c r="E16" s="273"/>
      <c r="F16" s="274"/>
      <c r="G16" s="51"/>
    </row>
    <row r="17" spans="1:7" s="52" customFormat="1" x14ac:dyDescent="0.3">
      <c r="A17" s="53" t="s">
        <v>99</v>
      </c>
      <c r="B17" s="54">
        <v>4</v>
      </c>
      <c r="C17" s="152" t="str">
        <f xml:space="preserve"> IF(B17="","",setValueToTime(B17))</f>
        <v>0h20min</v>
      </c>
      <c r="D17" s="174" t="s">
        <v>150</v>
      </c>
      <c r="E17" s="265"/>
      <c r="F17" s="266"/>
      <c r="G17" s="51"/>
    </row>
    <row r="18" spans="1:7" s="52" customFormat="1" x14ac:dyDescent="0.3">
      <c r="A18" s="53" t="s">
        <v>102</v>
      </c>
      <c r="B18" s="54">
        <v>16</v>
      </c>
      <c r="C18" s="152" t="str">
        <f xml:space="preserve"> IF(B18="","",setValueToTime(B18))</f>
        <v>1h20min</v>
      </c>
      <c r="D18" s="174" t="s">
        <v>151</v>
      </c>
      <c r="E18" s="265"/>
      <c r="F18" s="266"/>
      <c r="G18" s="51"/>
    </row>
    <row r="19" spans="1:7" s="52" customFormat="1" x14ac:dyDescent="0.3">
      <c r="A19" s="53" t="s">
        <v>17</v>
      </c>
      <c r="B19" s="54">
        <v>2</v>
      </c>
      <c r="C19" s="152" t="str">
        <f xml:space="preserve"> IF(B19="","",setValueToTime(B19))</f>
        <v>0h10min</v>
      </c>
      <c r="D19" s="174" t="s">
        <v>115</v>
      </c>
      <c r="E19" s="265"/>
      <c r="F19" s="266"/>
      <c r="G19" s="51"/>
    </row>
    <row r="20" spans="1:7" s="52" customFormat="1" x14ac:dyDescent="0.3">
      <c r="A20" s="53" t="s">
        <v>101</v>
      </c>
      <c r="B20" s="54">
        <v>1</v>
      </c>
      <c r="C20" s="152" t="str">
        <f xml:space="preserve"> IF(B20="","",setValueToTime(B20))</f>
        <v>0h5min</v>
      </c>
      <c r="D20" s="174" t="s">
        <v>121</v>
      </c>
      <c r="E20" s="265"/>
      <c r="F20" s="266"/>
      <c r="G20" s="51"/>
    </row>
    <row r="21" spans="1:7" s="52" customFormat="1" x14ac:dyDescent="0.3">
      <c r="A21" s="54"/>
      <c r="B21" s="54"/>
      <c r="C21" s="153" t="str">
        <f t="shared" ref="C21:C23" si="2" xml:space="preserve"> IF(B21="","",setValueToTime(B21))</f>
        <v/>
      </c>
      <c r="D21" s="55"/>
      <c r="E21" s="265"/>
      <c r="F21" s="266"/>
      <c r="G21" s="51"/>
    </row>
    <row r="22" spans="1:7" s="52" customFormat="1" x14ac:dyDescent="0.3">
      <c r="A22" s="54"/>
      <c r="B22" s="54"/>
      <c r="C22" s="153" t="str">
        <f t="shared" si="2"/>
        <v/>
      </c>
      <c r="D22" s="55"/>
      <c r="E22" s="265"/>
      <c r="F22" s="266"/>
      <c r="G22" s="51"/>
    </row>
    <row r="23" spans="1:7" s="52" customFormat="1" ht="15" thickBot="1" x14ac:dyDescent="0.35">
      <c r="A23" s="56"/>
      <c r="B23" s="56"/>
      <c r="C23" s="154" t="str">
        <f t="shared" si="2"/>
        <v/>
      </c>
      <c r="D23" s="57"/>
      <c r="E23" s="267"/>
      <c r="F23" s="268"/>
      <c r="G23" s="51"/>
    </row>
    <row r="24" spans="1:7" s="52" customFormat="1" ht="15" thickBot="1" x14ac:dyDescent="0.35">
      <c r="A24" s="110" t="s">
        <v>29</v>
      </c>
      <c r="B24" s="84">
        <f>SUM(B16:B23)</f>
        <v>38</v>
      </c>
      <c r="C24" s="110" t="str">
        <f xml:space="preserve"> setValueToTime(B24)</f>
        <v>3h10min</v>
      </c>
      <c r="D24" s="119"/>
      <c r="E24" s="269"/>
      <c r="F24" s="270"/>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44</v>
      </c>
      <c r="G26" s="46"/>
    </row>
    <row r="27" spans="1:7" s="47" customFormat="1" ht="30" customHeight="1" thickBot="1" x14ac:dyDescent="0.3">
      <c r="A27" s="80" t="s">
        <v>5</v>
      </c>
      <c r="B27" s="149" t="s">
        <v>40</v>
      </c>
      <c r="C27" s="150">
        <v>48</v>
      </c>
      <c r="D27" s="80" t="s">
        <v>13</v>
      </c>
      <c r="E27" s="271" t="s">
        <v>14</v>
      </c>
      <c r="F27" s="272"/>
      <c r="G27" s="46"/>
    </row>
    <row r="28" spans="1:7" s="52" customFormat="1" x14ac:dyDescent="0.3">
      <c r="A28" s="172" t="s">
        <v>94</v>
      </c>
      <c r="B28" s="49">
        <v>10</v>
      </c>
      <c r="C28" s="151" t="str">
        <f xml:space="preserve"> IF(B28="","",setValueToTime(B28))</f>
        <v>0h50min</v>
      </c>
      <c r="D28" s="171" t="s">
        <v>148</v>
      </c>
      <c r="E28" s="273"/>
      <c r="F28" s="274"/>
      <c r="G28" s="51"/>
    </row>
    <row r="29" spans="1:7" s="52" customFormat="1" x14ac:dyDescent="0.3">
      <c r="A29" s="173" t="s">
        <v>98</v>
      </c>
      <c r="B29" s="54">
        <v>26</v>
      </c>
      <c r="C29" s="152" t="str">
        <f xml:space="preserve"> IF(B29="","",setValueToTime(B29))</f>
        <v>2h10min</v>
      </c>
      <c r="D29" s="174" t="s">
        <v>149</v>
      </c>
      <c r="E29" s="265"/>
      <c r="F29" s="266"/>
      <c r="G29" s="51"/>
    </row>
    <row r="30" spans="1:7" s="52" customFormat="1" x14ac:dyDescent="0.3">
      <c r="A30" s="53" t="s">
        <v>99</v>
      </c>
      <c r="B30" s="54">
        <v>10</v>
      </c>
      <c r="C30" s="152" t="str">
        <f xml:space="preserve"> IF(B30="","",setValueToTime(B30))</f>
        <v>0h50min</v>
      </c>
      <c r="D30" s="174" t="s">
        <v>144</v>
      </c>
      <c r="E30" s="265"/>
      <c r="F30" s="266"/>
      <c r="G30" s="51"/>
    </row>
    <row r="31" spans="1:7" s="52" customFormat="1" x14ac:dyDescent="0.3">
      <c r="A31" s="53" t="s">
        <v>17</v>
      </c>
      <c r="B31" s="54">
        <v>2</v>
      </c>
      <c r="C31" s="152" t="str">
        <f xml:space="preserve"> IF(B31="","",setValueToTime(B31))</f>
        <v>0h10min</v>
      </c>
      <c r="D31" s="174" t="s">
        <v>115</v>
      </c>
      <c r="E31" s="265"/>
      <c r="F31" s="266"/>
      <c r="G31" s="51"/>
    </row>
    <row r="32" spans="1:7" s="52" customFormat="1" x14ac:dyDescent="0.3">
      <c r="A32" s="53"/>
      <c r="B32" s="54"/>
      <c r="C32" s="152"/>
      <c r="D32" s="174"/>
      <c r="E32" s="265"/>
      <c r="F32" s="266"/>
      <c r="G32" s="51"/>
    </row>
    <row r="33" spans="1:7" s="52" customFormat="1" x14ac:dyDescent="0.3">
      <c r="A33" s="54"/>
      <c r="B33" s="54"/>
      <c r="C33" s="153" t="str">
        <f t="shared" ref="C33:C35" si="3" xml:space="preserve"> IF(B33="","",setValueToTime(B33))</f>
        <v/>
      </c>
      <c r="D33" s="55"/>
      <c r="E33" s="265"/>
      <c r="F33" s="266"/>
      <c r="G33" s="51"/>
    </row>
    <row r="34" spans="1:7" s="52" customFormat="1" x14ac:dyDescent="0.3">
      <c r="A34" s="54"/>
      <c r="B34" s="54"/>
      <c r="C34" s="153" t="str">
        <f t="shared" si="3"/>
        <v/>
      </c>
      <c r="D34" s="55"/>
      <c r="E34" s="265"/>
      <c r="F34" s="266"/>
      <c r="G34" s="51"/>
    </row>
    <row r="35" spans="1:7" s="52" customFormat="1" ht="15" thickBot="1" x14ac:dyDescent="0.35">
      <c r="A35" s="56"/>
      <c r="B35" s="56"/>
      <c r="C35" s="154" t="str">
        <f t="shared" si="3"/>
        <v/>
      </c>
      <c r="D35" s="57"/>
      <c r="E35" s="267"/>
      <c r="F35" s="268"/>
      <c r="G35" s="51"/>
    </row>
    <row r="36" spans="1:7" s="52" customFormat="1" ht="15" thickBot="1" x14ac:dyDescent="0.35">
      <c r="A36" s="110" t="s">
        <v>29</v>
      </c>
      <c r="B36" s="84">
        <f>SUM(B28:B35)</f>
        <v>48</v>
      </c>
      <c r="C36" s="110" t="str">
        <f xml:space="preserve"> setValueToTime(B36)</f>
        <v>4h</v>
      </c>
      <c r="D36" s="119"/>
      <c r="E36" s="269"/>
      <c r="F36" s="270"/>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43</v>
      </c>
      <c r="G38" s="46"/>
    </row>
    <row r="39" spans="1:7" s="47" customFormat="1" ht="30" customHeight="1" thickBot="1" x14ac:dyDescent="0.3">
      <c r="A39" s="80" t="s">
        <v>5</v>
      </c>
      <c r="B39" s="149" t="s">
        <v>40</v>
      </c>
      <c r="C39" s="150">
        <v>38</v>
      </c>
      <c r="D39" s="80" t="s">
        <v>13</v>
      </c>
      <c r="E39" s="271" t="s">
        <v>14</v>
      </c>
      <c r="F39" s="272"/>
      <c r="G39" s="46"/>
    </row>
    <row r="40" spans="1:7" s="52" customFormat="1" x14ac:dyDescent="0.3">
      <c r="A40" s="172" t="s">
        <v>94</v>
      </c>
      <c r="B40" s="49">
        <v>18</v>
      </c>
      <c r="C40" s="151" t="str">
        <f xml:space="preserve"> IF(B40="","",setValueToTime(B40))</f>
        <v>1h30min</v>
      </c>
      <c r="D40" s="171" t="s">
        <v>146</v>
      </c>
      <c r="E40" s="273"/>
      <c r="F40" s="274"/>
      <c r="G40" s="51"/>
    </row>
    <row r="41" spans="1:7" s="52" customFormat="1" x14ac:dyDescent="0.3">
      <c r="A41" s="173" t="s">
        <v>94</v>
      </c>
      <c r="B41" s="54">
        <v>8</v>
      </c>
      <c r="C41" s="152" t="str">
        <f xml:space="preserve"> IF(B41="","",setValueToTime(B41))</f>
        <v>0h40min</v>
      </c>
      <c r="D41" s="174" t="s">
        <v>147</v>
      </c>
      <c r="E41" s="265"/>
      <c r="F41" s="266"/>
      <c r="G41" s="51"/>
    </row>
    <row r="42" spans="1:7" s="52" customFormat="1" x14ac:dyDescent="0.3">
      <c r="A42" s="53" t="s">
        <v>98</v>
      </c>
      <c r="B42" s="54">
        <v>9</v>
      </c>
      <c r="C42" s="152" t="str">
        <f xml:space="preserve"> IF(B42="","",setValueToTime(B42))</f>
        <v>0h45min</v>
      </c>
      <c r="D42" s="174" t="s">
        <v>149</v>
      </c>
      <c r="E42" s="265"/>
      <c r="F42" s="266"/>
      <c r="G42" s="51"/>
    </row>
    <row r="43" spans="1:7" s="52" customFormat="1" x14ac:dyDescent="0.3">
      <c r="A43" s="53" t="s">
        <v>17</v>
      </c>
      <c r="B43" s="54">
        <v>2</v>
      </c>
      <c r="C43" s="152" t="str">
        <f xml:space="preserve"> IF(B43="","",setValueToTime(B43))</f>
        <v>0h10min</v>
      </c>
      <c r="D43" s="174" t="s">
        <v>115</v>
      </c>
      <c r="E43" s="265"/>
      <c r="F43" s="266"/>
      <c r="G43" s="51"/>
    </row>
    <row r="44" spans="1:7" s="52" customFormat="1" x14ac:dyDescent="0.3">
      <c r="A44" s="53" t="s">
        <v>101</v>
      </c>
      <c r="B44" s="54">
        <v>1</v>
      </c>
      <c r="C44" s="152" t="str">
        <f xml:space="preserve"> IF(B44="","",setValueToTime(B44))</f>
        <v>0h5min</v>
      </c>
      <c r="D44" s="174" t="s">
        <v>121</v>
      </c>
      <c r="E44" s="265"/>
      <c r="F44" s="266"/>
      <c r="G44" s="51"/>
    </row>
    <row r="45" spans="1:7" s="52" customFormat="1" x14ac:dyDescent="0.3">
      <c r="A45" s="54"/>
      <c r="B45" s="54"/>
      <c r="C45" s="153" t="str">
        <f t="shared" ref="C45:C47" si="4" xml:space="preserve"> IF(B45="","",setValueToTime(B45))</f>
        <v/>
      </c>
      <c r="D45" s="55"/>
      <c r="E45" s="265"/>
      <c r="F45" s="266"/>
      <c r="G45" s="51"/>
    </row>
    <row r="46" spans="1:7" s="52" customFormat="1" x14ac:dyDescent="0.3">
      <c r="A46" s="54"/>
      <c r="B46" s="54"/>
      <c r="C46" s="153" t="str">
        <f t="shared" si="4"/>
        <v/>
      </c>
      <c r="D46" s="55"/>
      <c r="E46" s="265"/>
      <c r="F46" s="266"/>
      <c r="G46" s="51"/>
    </row>
    <row r="47" spans="1:7" s="52" customFormat="1" ht="15" thickBot="1" x14ac:dyDescent="0.35">
      <c r="A47" s="56"/>
      <c r="B47" s="56"/>
      <c r="C47" s="154" t="str">
        <f t="shared" si="4"/>
        <v/>
      </c>
      <c r="D47" s="57"/>
      <c r="E47" s="267"/>
      <c r="F47" s="268"/>
      <c r="G47" s="51"/>
    </row>
    <row r="48" spans="1:7" s="52" customFormat="1" ht="15" thickBot="1" x14ac:dyDescent="0.35">
      <c r="A48" s="110" t="s">
        <v>29</v>
      </c>
      <c r="B48" s="84">
        <f>SUM(B40:B47)</f>
        <v>38</v>
      </c>
      <c r="C48" s="110" t="str">
        <f xml:space="preserve"> setValueToTime(B48)</f>
        <v>3h10min</v>
      </c>
      <c r="D48" s="119"/>
      <c r="E48" s="269"/>
      <c r="F48" s="270"/>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44</v>
      </c>
      <c r="G50" s="46"/>
    </row>
    <row r="51" spans="1:7" s="47" customFormat="1" ht="30" customHeight="1" thickBot="1" x14ac:dyDescent="0.3">
      <c r="A51" s="80" t="s">
        <v>5</v>
      </c>
      <c r="B51" s="149" t="s">
        <v>40</v>
      </c>
      <c r="C51" s="150">
        <v>48</v>
      </c>
      <c r="D51" s="80" t="s">
        <v>13</v>
      </c>
      <c r="E51" s="271" t="s">
        <v>14</v>
      </c>
      <c r="F51" s="272"/>
      <c r="G51" s="46"/>
    </row>
    <row r="52" spans="1:7" s="52" customFormat="1" x14ac:dyDescent="0.3">
      <c r="A52" s="172" t="s">
        <v>94</v>
      </c>
      <c r="B52" s="49">
        <v>23</v>
      </c>
      <c r="C52" s="151" t="str">
        <f xml:space="preserve"> IF(B52="","",setValueToTime(B52))</f>
        <v>1h55min</v>
      </c>
      <c r="D52" s="171" t="s">
        <v>142</v>
      </c>
      <c r="E52" s="273"/>
      <c r="F52" s="274"/>
      <c r="G52" s="51"/>
    </row>
    <row r="53" spans="1:7" s="52" customFormat="1" x14ac:dyDescent="0.3">
      <c r="A53" s="53" t="s">
        <v>96</v>
      </c>
      <c r="B53" s="54">
        <v>11</v>
      </c>
      <c r="C53" s="152" t="str">
        <f xml:space="preserve"> IF(B53="","",setValueToTime(B53))</f>
        <v>0h55min</v>
      </c>
      <c r="D53" s="174" t="s">
        <v>143</v>
      </c>
      <c r="E53" s="265"/>
      <c r="F53" s="266"/>
      <c r="G53" s="51"/>
    </row>
    <row r="54" spans="1:7" s="52" customFormat="1" x14ac:dyDescent="0.3">
      <c r="A54" s="53" t="s">
        <v>16</v>
      </c>
      <c r="B54" s="54">
        <v>11</v>
      </c>
      <c r="C54" s="152" t="str">
        <f xml:space="preserve"> IF(B54="","",setValueToTime(B54))</f>
        <v>0h55min</v>
      </c>
      <c r="D54" s="174" t="s">
        <v>141</v>
      </c>
      <c r="E54" s="265"/>
      <c r="F54" s="266"/>
      <c r="G54" s="51"/>
    </row>
    <row r="55" spans="1:7" s="52" customFormat="1" x14ac:dyDescent="0.3">
      <c r="A55" s="53" t="s">
        <v>17</v>
      </c>
      <c r="B55" s="54">
        <v>2</v>
      </c>
      <c r="C55" s="152" t="str">
        <f xml:space="preserve"> IF(B55="","",setValueToTime(B55))</f>
        <v>0h10min</v>
      </c>
      <c r="D55" s="174" t="s">
        <v>115</v>
      </c>
      <c r="E55" s="265"/>
      <c r="F55" s="266"/>
      <c r="G55" s="51"/>
    </row>
    <row r="56" spans="1:7" s="52" customFormat="1" x14ac:dyDescent="0.3">
      <c r="A56" s="53" t="s">
        <v>101</v>
      </c>
      <c r="B56" s="54">
        <v>1</v>
      </c>
      <c r="C56" s="152" t="str">
        <f xml:space="preserve"> IF(B56="","",setValueToTime(B56))</f>
        <v>0h5min</v>
      </c>
      <c r="D56" s="174" t="s">
        <v>121</v>
      </c>
      <c r="E56" s="265"/>
      <c r="F56" s="266"/>
      <c r="G56" s="51"/>
    </row>
    <row r="57" spans="1:7" s="52" customFormat="1" x14ac:dyDescent="0.3">
      <c r="A57" s="54"/>
      <c r="B57" s="54"/>
      <c r="C57" s="153" t="str">
        <f t="shared" ref="C57:C59" si="5" xml:space="preserve"> IF(B57="","",setValueToTime(B57))</f>
        <v/>
      </c>
      <c r="D57" s="55"/>
      <c r="E57" s="265"/>
      <c r="F57" s="266"/>
      <c r="G57" s="51"/>
    </row>
    <row r="58" spans="1:7" s="52" customFormat="1" x14ac:dyDescent="0.3">
      <c r="A58" s="54"/>
      <c r="B58" s="54"/>
      <c r="C58" s="153" t="str">
        <f t="shared" si="5"/>
        <v/>
      </c>
      <c r="D58" s="55"/>
      <c r="E58" s="265"/>
      <c r="F58" s="266"/>
      <c r="G58" s="51"/>
    </row>
    <row r="59" spans="1:7" s="52" customFormat="1" ht="15" thickBot="1" x14ac:dyDescent="0.35">
      <c r="A59" s="56"/>
      <c r="B59" s="56"/>
      <c r="C59" s="154" t="str">
        <f t="shared" si="5"/>
        <v/>
      </c>
      <c r="D59" s="57"/>
      <c r="E59" s="267"/>
      <c r="F59" s="268"/>
      <c r="G59" s="51"/>
    </row>
    <row r="60" spans="1:7" s="52" customFormat="1" ht="15" thickBot="1" x14ac:dyDescent="0.35">
      <c r="A60" s="110" t="s">
        <v>29</v>
      </c>
      <c r="B60" s="84">
        <f>SUM(B52:B59)</f>
        <v>48</v>
      </c>
      <c r="C60" s="110" t="str">
        <f xml:space="preserve"> setValueToTime(B60)</f>
        <v>4h</v>
      </c>
      <c r="D60" s="119"/>
      <c r="E60" s="269"/>
      <c r="F60" s="270"/>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44</v>
      </c>
      <c r="G62" s="46"/>
    </row>
    <row r="63" spans="1:7" s="47" customFormat="1" ht="30" customHeight="1" thickBot="1" x14ac:dyDescent="0.3">
      <c r="A63" s="80" t="s">
        <v>5</v>
      </c>
      <c r="B63" s="149" t="s">
        <v>40</v>
      </c>
      <c r="C63" s="150">
        <v>38</v>
      </c>
      <c r="D63" s="80" t="s">
        <v>13</v>
      </c>
      <c r="E63" s="271" t="s">
        <v>14</v>
      </c>
      <c r="F63" s="272"/>
      <c r="G63" s="46"/>
    </row>
    <row r="64" spans="1:7" s="52" customFormat="1" ht="15" thickBot="1" x14ac:dyDescent="0.35">
      <c r="A64" s="172" t="s">
        <v>96</v>
      </c>
      <c r="B64" s="49">
        <v>7</v>
      </c>
      <c r="C64" s="151" t="str">
        <f xml:space="preserve"> IF(B64="","",setValueToTime(B64))</f>
        <v>0h35min</v>
      </c>
      <c r="D64" s="171" t="s">
        <v>138</v>
      </c>
      <c r="E64" s="273"/>
      <c r="F64" s="274"/>
      <c r="G64" s="51"/>
    </row>
    <row r="65" spans="1:7" s="52" customFormat="1" x14ac:dyDescent="0.3">
      <c r="A65" s="172" t="s">
        <v>94</v>
      </c>
      <c r="B65" s="54">
        <v>16</v>
      </c>
      <c r="C65" s="152" t="str">
        <f xml:space="preserve"> IF(B65="","",setValueToTime(B65))</f>
        <v>1h20min</v>
      </c>
      <c r="D65" s="174" t="s">
        <v>140</v>
      </c>
      <c r="E65" s="265"/>
      <c r="F65" s="266"/>
      <c r="G65" s="51"/>
    </row>
    <row r="66" spans="1:7" s="52" customFormat="1" x14ac:dyDescent="0.3">
      <c r="A66" s="173" t="s">
        <v>16</v>
      </c>
      <c r="B66" s="54">
        <v>12</v>
      </c>
      <c r="C66" s="152" t="str">
        <f xml:space="preserve"> IF(B66="","",setValueToTime(B66))</f>
        <v>1h</v>
      </c>
      <c r="D66" s="174" t="s">
        <v>141</v>
      </c>
      <c r="E66" s="265"/>
      <c r="F66" s="266"/>
      <c r="G66" s="51"/>
    </row>
    <row r="67" spans="1:7" s="52" customFormat="1" x14ac:dyDescent="0.3">
      <c r="A67" s="53" t="s">
        <v>17</v>
      </c>
      <c r="B67" s="54">
        <v>2</v>
      </c>
      <c r="C67" s="152" t="str">
        <f xml:space="preserve"> IF(B67="","",setValueToTime(B67))</f>
        <v>0h10min</v>
      </c>
      <c r="D67" s="174" t="s">
        <v>115</v>
      </c>
      <c r="E67" s="265"/>
      <c r="F67" s="266"/>
      <c r="G67" s="51"/>
    </row>
    <row r="68" spans="1:7" s="52" customFormat="1" x14ac:dyDescent="0.3">
      <c r="A68" s="53" t="s">
        <v>101</v>
      </c>
      <c r="B68" s="54">
        <v>1</v>
      </c>
      <c r="C68" s="152" t="str">
        <f xml:space="preserve"> IF(B68="","",setValueToTime(B68))</f>
        <v>0h5min</v>
      </c>
      <c r="D68" s="174" t="s">
        <v>121</v>
      </c>
      <c r="E68" s="265"/>
      <c r="F68" s="266"/>
      <c r="G68" s="51"/>
    </row>
    <row r="69" spans="1:7" s="52" customFormat="1" x14ac:dyDescent="0.3">
      <c r="A69" s="54"/>
      <c r="B69" s="54"/>
      <c r="C69" s="153" t="str">
        <f t="shared" ref="C69:C71" si="6" xml:space="preserve"> IF(B69="","",setValueToTime(B69))</f>
        <v/>
      </c>
      <c r="D69" s="55"/>
      <c r="E69" s="265"/>
      <c r="F69" s="266"/>
      <c r="G69" s="51"/>
    </row>
    <row r="70" spans="1:7" s="52" customFormat="1" x14ac:dyDescent="0.3">
      <c r="A70" s="54"/>
      <c r="B70" s="54"/>
      <c r="C70" s="153" t="str">
        <f t="shared" si="6"/>
        <v/>
      </c>
      <c r="D70" s="55"/>
      <c r="E70" s="265"/>
      <c r="F70" s="266"/>
      <c r="G70" s="51"/>
    </row>
    <row r="71" spans="1:7" s="52" customFormat="1" ht="15" thickBot="1" x14ac:dyDescent="0.35">
      <c r="A71" s="56"/>
      <c r="B71" s="56"/>
      <c r="C71" s="154" t="str">
        <f t="shared" si="6"/>
        <v/>
      </c>
      <c r="D71" s="57"/>
      <c r="E71" s="267"/>
      <c r="F71" s="268"/>
      <c r="G71" s="51"/>
    </row>
    <row r="72" spans="1:7" s="52" customFormat="1" ht="15" thickBot="1" x14ac:dyDescent="0.35">
      <c r="A72" s="110" t="s">
        <v>29</v>
      </c>
      <c r="B72" s="84">
        <f>SUM(B64:B71)</f>
        <v>38</v>
      </c>
      <c r="C72" s="110" t="str">
        <f xml:space="preserve"> setValueToTime(B72)</f>
        <v>3h10min</v>
      </c>
      <c r="D72" s="119"/>
      <c r="E72" s="269"/>
      <c r="F72" s="270"/>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43</v>
      </c>
      <c r="G74" s="46"/>
    </row>
    <row r="75" spans="1:7" s="47" customFormat="1" ht="30" customHeight="1" thickBot="1" x14ac:dyDescent="0.3">
      <c r="A75" s="80" t="s">
        <v>5</v>
      </c>
      <c r="B75" s="149" t="s">
        <v>40</v>
      </c>
      <c r="C75" s="150">
        <v>38</v>
      </c>
      <c r="D75" s="80" t="s">
        <v>13</v>
      </c>
      <c r="E75" s="271" t="s">
        <v>14</v>
      </c>
      <c r="F75" s="272"/>
      <c r="G75" s="46"/>
    </row>
    <row r="76" spans="1:7" s="52" customFormat="1" ht="15" thickBot="1" x14ac:dyDescent="0.35">
      <c r="A76" s="172" t="s">
        <v>96</v>
      </c>
      <c r="B76" s="49">
        <v>7</v>
      </c>
      <c r="C76" s="151" t="str">
        <f xml:space="preserve"> IF(B76="","",setValueToTime(B76))</f>
        <v>0h35min</v>
      </c>
      <c r="D76" s="171" t="s">
        <v>138</v>
      </c>
      <c r="E76" s="273"/>
      <c r="F76" s="274"/>
      <c r="G76" s="51"/>
    </row>
    <row r="77" spans="1:7" s="52" customFormat="1" x14ac:dyDescent="0.3">
      <c r="A77" s="172" t="s">
        <v>94</v>
      </c>
      <c r="B77" s="54">
        <v>16</v>
      </c>
      <c r="C77" s="152" t="str">
        <f xml:space="preserve"> IF(B77="","",setValueToTime(B77))</f>
        <v>1h20min</v>
      </c>
      <c r="D77" s="174" t="s">
        <v>139</v>
      </c>
      <c r="E77" s="265"/>
      <c r="F77" s="266"/>
      <c r="G77" s="51"/>
    </row>
    <row r="78" spans="1:7" s="52" customFormat="1" x14ac:dyDescent="0.3">
      <c r="A78" s="53" t="s">
        <v>95</v>
      </c>
      <c r="B78" s="54">
        <v>12</v>
      </c>
      <c r="C78" s="152" t="str">
        <f xml:space="preserve"> IF(B78="","",setValueToTime(B78))</f>
        <v>1h</v>
      </c>
      <c r="D78" s="174" t="s">
        <v>137</v>
      </c>
      <c r="E78" s="265"/>
      <c r="F78" s="266"/>
      <c r="G78" s="51"/>
    </row>
    <row r="79" spans="1:7" s="52" customFormat="1" x14ac:dyDescent="0.3">
      <c r="A79" s="53" t="s">
        <v>17</v>
      </c>
      <c r="B79" s="54">
        <v>2</v>
      </c>
      <c r="C79" s="152" t="str">
        <f xml:space="preserve"> IF(B79="","",setValueToTime(B79))</f>
        <v>0h10min</v>
      </c>
      <c r="D79" s="174" t="s">
        <v>115</v>
      </c>
      <c r="E79" s="265"/>
      <c r="F79" s="266"/>
      <c r="G79" s="51"/>
    </row>
    <row r="80" spans="1:7" s="52" customFormat="1" x14ac:dyDescent="0.3">
      <c r="A80" s="53" t="s">
        <v>101</v>
      </c>
      <c r="B80" s="54">
        <v>1</v>
      </c>
      <c r="C80" s="152" t="str">
        <f xml:space="preserve"> IF(B80="","",setValueToTime(B80))</f>
        <v>0h5min</v>
      </c>
      <c r="D80" s="174" t="s">
        <v>121</v>
      </c>
      <c r="E80" s="265"/>
      <c r="F80" s="266"/>
      <c r="G80" s="51"/>
    </row>
    <row r="81" spans="1:7" s="52" customFormat="1" x14ac:dyDescent="0.3">
      <c r="A81" s="54"/>
      <c r="B81" s="54"/>
      <c r="C81" s="153" t="str">
        <f t="shared" ref="C81:C83" si="7" xml:space="preserve"> IF(B81="","",setValueToTime(B81))</f>
        <v/>
      </c>
      <c r="D81" s="55"/>
      <c r="E81" s="265"/>
      <c r="F81" s="266"/>
      <c r="G81" s="51"/>
    </row>
    <row r="82" spans="1:7" s="52" customFormat="1" x14ac:dyDescent="0.3">
      <c r="A82" s="54"/>
      <c r="B82" s="54"/>
      <c r="C82" s="153" t="str">
        <f t="shared" si="7"/>
        <v/>
      </c>
      <c r="D82" s="55"/>
      <c r="E82" s="265"/>
      <c r="F82" s="266"/>
      <c r="G82" s="51"/>
    </row>
    <row r="83" spans="1:7" s="52" customFormat="1" ht="15" thickBot="1" x14ac:dyDescent="0.35">
      <c r="A83" s="56"/>
      <c r="B83" s="56"/>
      <c r="C83" s="154" t="str">
        <f t="shared" si="7"/>
        <v/>
      </c>
      <c r="D83" s="57"/>
      <c r="E83" s="267"/>
      <c r="F83" s="268"/>
      <c r="G83" s="51"/>
    </row>
    <row r="84" spans="1:7" s="52" customFormat="1" ht="15" thickBot="1" x14ac:dyDescent="0.35">
      <c r="A84" s="110" t="s">
        <v>29</v>
      </c>
      <c r="B84" s="84">
        <f>SUM(B76:B83)</f>
        <v>38</v>
      </c>
      <c r="C84" s="110" t="str">
        <f xml:space="preserve"> setValueToTime(B84)</f>
        <v>3h10min</v>
      </c>
      <c r="D84" s="119"/>
      <c r="E84" s="269"/>
      <c r="F84" s="270"/>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44</v>
      </c>
      <c r="G86" s="46"/>
    </row>
    <row r="87" spans="1:7" s="47" customFormat="1" ht="30" customHeight="1" thickBot="1" x14ac:dyDescent="0.3">
      <c r="A87" s="80" t="s">
        <v>5</v>
      </c>
      <c r="B87" s="149" t="s">
        <v>40</v>
      </c>
      <c r="C87" s="150">
        <v>38</v>
      </c>
      <c r="D87" s="80" t="s">
        <v>13</v>
      </c>
      <c r="E87" s="271" t="s">
        <v>14</v>
      </c>
      <c r="F87" s="272"/>
      <c r="G87" s="46"/>
    </row>
    <row r="88" spans="1:7" s="52" customFormat="1" x14ac:dyDescent="0.3">
      <c r="A88" s="172" t="s">
        <v>94</v>
      </c>
      <c r="B88" s="49">
        <v>26</v>
      </c>
      <c r="C88" s="151" t="str">
        <f xml:space="preserve"> IF(B88="","",setValueToTime(B88))</f>
        <v>2h10min</v>
      </c>
      <c r="D88" s="171" t="s">
        <v>136</v>
      </c>
      <c r="E88" s="273"/>
      <c r="F88" s="274"/>
      <c r="G88" s="51"/>
    </row>
    <row r="89" spans="1:7" s="52" customFormat="1" x14ac:dyDescent="0.3">
      <c r="A89" s="53" t="s">
        <v>95</v>
      </c>
      <c r="B89" s="54">
        <v>10</v>
      </c>
      <c r="C89" s="152" t="str">
        <f xml:space="preserve"> IF(B89="","",setValueToTime(B89))</f>
        <v>0h50min</v>
      </c>
      <c r="D89" s="174" t="s">
        <v>137</v>
      </c>
      <c r="E89" s="265"/>
      <c r="F89" s="266"/>
      <c r="G89" s="51"/>
    </row>
    <row r="90" spans="1:7" s="52" customFormat="1" x14ac:dyDescent="0.3">
      <c r="A90" s="53" t="s">
        <v>17</v>
      </c>
      <c r="B90" s="54">
        <v>2</v>
      </c>
      <c r="C90" s="152" t="str">
        <f xml:space="preserve"> IF(B90="","",setValueToTime(B90))</f>
        <v>0h10min</v>
      </c>
      <c r="D90" s="174" t="s">
        <v>115</v>
      </c>
      <c r="E90" s="265"/>
      <c r="F90" s="266"/>
      <c r="G90" s="51"/>
    </row>
    <row r="91" spans="1:7" s="52" customFormat="1" x14ac:dyDescent="0.3">
      <c r="A91" s="53"/>
      <c r="B91" s="54"/>
      <c r="C91" s="152"/>
      <c r="D91" s="174"/>
      <c r="E91" s="265"/>
      <c r="F91" s="266"/>
      <c r="G91" s="51"/>
    </row>
    <row r="92" spans="1:7" s="52" customFormat="1" x14ac:dyDescent="0.3">
      <c r="A92" s="54"/>
      <c r="B92" s="54"/>
      <c r="C92" s="153" t="str">
        <f t="shared" ref="C92:C95" si="8" xml:space="preserve"> IF(B92="","",setValueToTime(B92))</f>
        <v/>
      </c>
      <c r="D92" s="55"/>
      <c r="E92" s="265"/>
      <c r="F92" s="266"/>
      <c r="G92" s="51"/>
    </row>
    <row r="93" spans="1:7" s="52" customFormat="1" x14ac:dyDescent="0.3">
      <c r="A93" s="54"/>
      <c r="B93" s="54"/>
      <c r="C93" s="153" t="str">
        <f t="shared" si="8"/>
        <v/>
      </c>
      <c r="D93" s="55"/>
      <c r="E93" s="265"/>
      <c r="F93" s="266"/>
      <c r="G93" s="51"/>
    </row>
    <row r="94" spans="1:7" s="52" customFormat="1" x14ac:dyDescent="0.3">
      <c r="A94" s="54"/>
      <c r="B94" s="54"/>
      <c r="C94" s="153" t="str">
        <f t="shared" si="8"/>
        <v/>
      </c>
      <c r="D94" s="55"/>
      <c r="E94" s="265"/>
      <c r="F94" s="266"/>
      <c r="G94" s="51"/>
    </row>
    <row r="95" spans="1:7" s="52" customFormat="1" ht="15" thickBot="1" x14ac:dyDescent="0.35">
      <c r="A95" s="56"/>
      <c r="B95" s="56"/>
      <c r="C95" s="154" t="str">
        <f t="shared" si="8"/>
        <v/>
      </c>
      <c r="D95" s="57"/>
      <c r="E95" s="267"/>
      <c r="F95" s="268"/>
      <c r="G95" s="51"/>
    </row>
    <row r="96" spans="1:7" s="52" customFormat="1" ht="15" thickBot="1" x14ac:dyDescent="0.35">
      <c r="A96" s="110" t="s">
        <v>29</v>
      </c>
      <c r="B96" s="84">
        <f>SUM(B88:B95)</f>
        <v>38</v>
      </c>
      <c r="C96" s="110" t="str">
        <f xml:space="preserve"> setValueToTime(B96)</f>
        <v>3h10min</v>
      </c>
      <c r="D96" s="119"/>
      <c r="E96" s="269"/>
      <c r="F96" s="270"/>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44</v>
      </c>
      <c r="G98" s="46"/>
    </row>
    <row r="99" spans="1:7" s="47" customFormat="1" ht="30" customHeight="1" thickBot="1" x14ac:dyDescent="0.3">
      <c r="A99" s="80" t="s">
        <v>5</v>
      </c>
      <c r="B99" s="149" t="s">
        <v>40</v>
      </c>
      <c r="C99" s="150">
        <v>48</v>
      </c>
      <c r="D99" s="80" t="s">
        <v>13</v>
      </c>
      <c r="E99" s="271" t="s">
        <v>14</v>
      </c>
      <c r="F99" s="272"/>
      <c r="G99" s="46"/>
    </row>
    <row r="100" spans="1:7" s="52" customFormat="1" x14ac:dyDescent="0.3">
      <c r="A100" s="172" t="s">
        <v>96</v>
      </c>
      <c r="B100" s="49">
        <v>33</v>
      </c>
      <c r="C100" s="151" t="str">
        <f xml:space="preserve"> IF(B100="","",setValueToTime(B100))</f>
        <v>2h45min</v>
      </c>
      <c r="D100" s="171" t="s">
        <v>136</v>
      </c>
      <c r="E100" s="273"/>
      <c r="F100" s="274"/>
      <c r="G100" s="51"/>
    </row>
    <row r="101" spans="1:7" s="52" customFormat="1" x14ac:dyDescent="0.3">
      <c r="A101" s="53" t="s">
        <v>16</v>
      </c>
      <c r="B101" s="54">
        <v>12</v>
      </c>
      <c r="C101" s="152" t="str">
        <f xml:space="preserve"> IF(B101="","",setValueToTime(B101))</f>
        <v>1h</v>
      </c>
      <c r="D101" s="174" t="s">
        <v>135</v>
      </c>
      <c r="E101" s="265"/>
      <c r="F101" s="266"/>
      <c r="G101" s="51"/>
    </row>
    <row r="102" spans="1:7" s="52" customFormat="1" x14ac:dyDescent="0.3">
      <c r="A102" s="53" t="s">
        <v>17</v>
      </c>
      <c r="B102" s="54">
        <v>2</v>
      </c>
      <c r="C102" s="152" t="str">
        <f xml:space="preserve"> IF(B102="","",setValueToTime(B102))</f>
        <v>0h10min</v>
      </c>
      <c r="D102" s="174" t="s">
        <v>115</v>
      </c>
      <c r="E102" s="265"/>
      <c r="F102" s="266"/>
      <c r="G102" s="51"/>
    </row>
    <row r="103" spans="1:7" s="52" customFormat="1" x14ac:dyDescent="0.3">
      <c r="A103" s="53" t="s">
        <v>101</v>
      </c>
      <c r="B103" s="54">
        <v>1</v>
      </c>
      <c r="C103" s="152" t="str">
        <f xml:space="preserve"> IF(B103="","",setValueToTime(B103))</f>
        <v>0h5min</v>
      </c>
      <c r="D103" s="174" t="s">
        <v>121</v>
      </c>
      <c r="E103" s="265"/>
      <c r="F103" s="266"/>
      <c r="G103" s="51"/>
    </row>
    <row r="104" spans="1:7" s="52" customFormat="1" x14ac:dyDescent="0.3">
      <c r="A104" s="54"/>
      <c r="B104" s="54"/>
      <c r="C104" s="153" t="str">
        <f t="shared" ref="C104:C107" si="9" xml:space="preserve"> IF(B104="","",setValueToTime(B104))</f>
        <v/>
      </c>
      <c r="D104" s="55"/>
      <c r="E104" s="265"/>
      <c r="F104" s="266"/>
      <c r="G104" s="51"/>
    </row>
    <row r="105" spans="1:7" s="52" customFormat="1" x14ac:dyDescent="0.3">
      <c r="A105" s="54"/>
      <c r="B105" s="54"/>
      <c r="C105" s="153" t="str">
        <f t="shared" si="9"/>
        <v/>
      </c>
      <c r="D105" s="55"/>
      <c r="E105" s="265"/>
      <c r="F105" s="266"/>
      <c r="G105" s="51"/>
    </row>
    <row r="106" spans="1:7" s="52" customFormat="1" x14ac:dyDescent="0.3">
      <c r="A106" s="54"/>
      <c r="B106" s="54"/>
      <c r="C106" s="153" t="str">
        <f t="shared" si="9"/>
        <v/>
      </c>
      <c r="D106" s="55"/>
      <c r="E106" s="265"/>
      <c r="F106" s="266"/>
      <c r="G106" s="51"/>
    </row>
    <row r="107" spans="1:7" s="52" customFormat="1" ht="15" thickBot="1" x14ac:dyDescent="0.35">
      <c r="A107" s="56"/>
      <c r="B107" s="56"/>
      <c r="C107" s="154" t="str">
        <f t="shared" si="9"/>
        <v/>
      </c>
      <c r="D107" s="57"/>
      <c r="E107" s="267"/>
      <c r="F107" s="268"/>
      <c r="G107" s="51"/>
    </row>
    <row r="108" spans="1:7" s="52" customFormat="1" ht="15" thickBot="1" x14ac:dyDescent="0.35">
      <c r="A108" s="110" t="s">
        <v>29</v>
      </c>
      <c r="B108" s="84">
        <f>SUM(B100:B107)</f>
        <v>48</v>
      </c>
      <c r="C108" s="110" t="str">
        <f xml:space="preserve"> setValueToTime(B108)</f>
        <v>4h</v>
      </c>
      <c r="D108" s="119"/>
      <c r="E108" s="269"/>
      <c r="F108" s="270"/>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43</v>
      </c>
      <c r="G110" s="46"/>
    </row>
    <row r="111" spans="1:7" s="47" customFormat="1" ht="30" customHeight="1" thickBot="1" x14ac:dyDescent="0.3">
      <c r="A111" s="80" t="s">
        <v>5</v>
      </c>
      <c r="B111" s="149" t="s">
        <v>40</v>
      </c>
      <c r="C111" s="150">
        <v>38</v>
      </c>
      <c r="D111" s="80" t="s">
        <v>13</v>
      </c>
      <c r="E111" s="271" t="s">
        <v>14</v>
      </c>
      <c r="F111" s="272"/>
      <c r="G111" s="46"/>
    </row>
    <row r="112" spans="1:7" s="52" customFormat="1" x14ac:dyDescent="0.3">
      <c r="A112" s="172" t="s">
        <v>96</v>
      </c>
      <c r="B112" s="49">
        <v>23</v>
      </c>
      <c r="C112" s="151" t="str">
        <f xml:space="preserve"> IF(B112="","",setValueToTime(B112))</f>
        <v>1h55min</v>
      </c>
      <c r="D112" s="171" t="s">
        <v>134</v>
      </c>
      <c r="E112" s="273"/>
      <c r="F112" s="274"/>
      <c r="G112" s="51"/>
    </row>
    <row r="113" spans="1:7" s="52" customFormat="1" x14ac:dyDescent="0.3">
      <c r="A113" s="53" t="s">
        <v>16</v>
      </c>
      <c r="B113" s="54">
        <v>12</v>
      </c>
      <c r="C113" s="152" t="str">
        <f xml:space="preserve"> IF(B113="","",setValueToTime(B113))</f>
        <v>1h</v>
      </c>
      <c r="D113" s="174" t="s">
        <v>135</v>
      </c>
      <c r="E113" s="265"/>
      <c r="F113" s="266"/>
      <c r="G113" s="51"/>
    </row>
    <row r="114" spans="1:7" s="52" customFormat="1" x14ac:dyDescent="0.3">
      <c r="A114" s="53" t="s">
        <v>17</v>
      </c>
      <c r="B114" s="54">
        <v>2</v>
      </c>
      <c r="C114" s="152" t="str">
        <f xml:space="preserve"> IF(B114="","",setValueToTime(B114))</f>
        <v>0h10min</v>
      </c>
      <c r="D114" s="174" t="s">
        <v>115</v>
      </c>
      <c r="E114" s="265"/>
      <c r="F114" s="266"/>
      <c r="G114" s="51"/>
    </row>
    <row r="115" spans="1:7" s="52" customFormat="1" x14ac:dyDescent="0.3">
      <c r="A115" s="53" t="s">
        <v>101</v>
      </c>
      <c r="B115" s="54">
        <v>1</v>
      </c>
      <c r="C115" s="152" t="str">
        <f xml:space="preserve"> IF(B115="","",setValueToTime(B115))</f>
        <v>0h5min</v>
      </c>
      <c r="D115" s="174" t="s">
        <v>121</v>
      </c>
      <c r="E115" s="265"/>
      <c r="F115" s="266"/>
      <c r="G115" s="51"/>
    </row>
    <row r="116" spans="1:7" s="52" customFormat="1" x14ac:dyDescent="0.3">
      <c r="A116" s="54"/>
      <c r="B116" s="54"/>
      <c r="C116" s="153" t="str">
        <f t="shared" ref="C116:C119" si="10" xml:space="preserve"> IF(B116="","",setValueToTime(B116))</f>
        <v/>
      </c>
      <c r="D116" s="55"/>
      <c r="E116" s="265"/>
      <c r="F116" s="266"/>
      <c r="G116" s="51"/>
    </row>
    <row r="117" spans="1:7" s="52" customFormat="1" x14ac:dyDescent="0.3">
      <c r="A117" s="54"/>
      <c r="B117" s="54"/>
      <c r="C117" s="153" t="str">
        <f t="shared" si="10"/>
        <v/>
      </c>
      <c r="D117" s="55"/>
      <c r="E117" s="265"/>
      <c r="F117" s="266"/>
      <c r="G117" s="51"/>
    </row>
    <row r="118" spans="1:7" s="52" customFormat="1" x14ac:dyDescent="0.3">
      <c r="A118" s="54"/>
      <c r="B118" s="54"/>
      <c r="C118" s="153" t="str">
        <f t="shared" si="10"/>
        <v/>
      </c>
      <c r="D118" s="55"/>
      <c r="E118" s="265"/>
      <c r="F118" s="266"/>
      <c r="G118" s="51"/>
    </row>
    <row r="119" spans="1:7" s="52" customFormat="1" ht="15" thickBot="1" x14ac:dyDescent="0.35">
      <c r="A119" s="56"/>
      <c r="B119" s="56"/>
      <c r="C119" s="154" t="str">
        <f t="shared" si="10"/>
        <v/>
      </c>
      <c r="D119" s="57"/>
      <c r="E119" s="267"/>
      <c r="F119" s="268"/>
      <c r="G119" s="51"/>
    </row>
    <row r="120" spans="1:7" s="52" customFormat="1" ht="15" thickBot="1" x14ac:dyDescent="0.35">
      <c r="A120" s="110" t="s">
        <v>29</v>
      </c>
      <c r="B120" s="84">
        <f>SUM(B112:B119)</f>
        <v>38</v>
      </c>
      <c r="C120" s="110" t="str">
        <f xml:space="preserve"> setValueToTime(B120)</f>
        <v>3h10min</v>
      </c>
      <c r="D120" s="119"/>
      <c r="E120" s="269"/>
      <c r="F120" s="270"/>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44</v>
      </c>
      <c r="G122" s="46"/>
    </row>
    <row r="123" spans="1:7" s="47" customFormat="1" ht="30" customHeight="1" thickBot="1" x14ac:dyDescent="0.3">
      <c r="A123" s="80" t="s">
        <v>5</v>
      </c>
      <c r="B123" s="149" t="s">
        <v>40</v>
      </c>
      <c r="C123" s="150">
        <v>48</v>
      </c>
      <c r="D123" s="80" t="s">
        <v>13</v>
      </c>
      <c r="E123" s="271" t="s">
        <v>14</v>
      </c>
      <c r="F123" s="272"/>
      <c r="G123" s="46"/>
    </row>
    <row r="124" spans="1:7" s="52" customFormat="1" x14ac:dyDescent="0.3">
      <c r="A124" s="172" t="s">
        <v>96</v>
      </c>
      <c r="B124" s="49">
        <v>34</v>
      </c>
      <c r="C124" s="151" t="str">
        <f xml:space="preserve"> IF(B124="","",setValueToTime(B124))</f>
        <v>2h50min</v>
      </c>
      <c r="D124" s="171" t="s">
        <v>134</v>
      </c>
      <c r="E124" s="273"/>
      <c r="F124" s="274"/>
      <c r="G124" s="51"/>
    </row>
    <row r="125" spans="1:7" s="52" customFormat="1" x14ac:dyDescent="0.3">
      <c r="A125" s="53" t="s">
        <v>16</v>
      </c>
      <c r="B125" s="54">
        <v>12</v>
      </c>
      <c r="C125" s="152" t="str">
        <f xml:space="preserve"> IF(B125="","",setValueToTime(B125))</f>
        <v>1h</v>
      </c>
      <c r="D125" s="174" t="s">
        <v>135</v>
      </c>
      <c r="E125" s="265"/>
      <c r="F125" s="266"/>
      <c r="G125" s="51"/>
    </row>
    <row r="126" spans="1:7" s="52" customFormat="1" x14ac:dyDescent="0.3">
      <c r="A126" s="53" t="s">
        <v>17</v>
      </c>
      <c r="B126" s="54">
        <v>2</v>
      </c>
      <c r="C126" s="152" t="str">
        <f xml:space="preserve"> IF(B126="","",setValueToTime(B126))</f>
        <v>0h10min</v>
      </c>
      <c r="D126" s="174" t="s">
        <v>115</v>
      </c>
      <c r="E126" s="265"/>
      <c r="F126" s="266"/>
      <c r="G126" s="51"/>
    </row>
    <row r="127" spans="1:7" s="52" customFormat="1" x14ac:dyDescent="0.3">
      <c r="A127" s="53"/>
      <c r="B127" s="54"/>
      <c r="C127" s="152"/>
      <c r="D127" s="174"/>
      <c r="E127" s="265"/>
      <c r="F127" s="266"/>
      <c r="G127" s="51"/>
    </row>
    <row r="128" spans="1:7" s="52" customFormat="1" x14ac:dyDescent="0.3">
      <c r="A128" s="54"/>
      <c r="B128" s="54"/>
      <c r="C128" s="153" t="str">
        <f t="shared" ref="C128:C131" si="11" xml:space="preserve"> IF(B128="","",setValueToTime(B128))</f>
        <v/>
      </c>
      <c r="D128" s="55"/>
      <c r="E128" s="265"/>
      <c r="F128" s="266"/>
      <c r="G128" s="51"/>
    </row>
    <row r="129" spans="1:7" s="52" customFormat="1" x14ac:dyDescent="0.3">
      <c r="A129" s="54"/>
      <c r="B129" s="54"/>
      <c r="C129" s="153" t="str">
        <f t="shared" si="11"/>
        <v/>
      </c>
      <c r="D129" s="55"/>
      <c r="E129" s="265"/>
      <c r="F129" s="266"/>
      <c r="G129" s="51"/>
    </row>
    <row r="130" spans="1:7" s="52" customFormat="1" x14ac:dyDescent="0.3">
      <c r="A130" s="54"/>
      <c r="B130" s="54"/>
      <c r="C130" s="153" t="str">
        <f t="shared" si="11"/>
        <v/>
      </c>
      <c r="D130" s="55"/>
      <c r="E130" s="265"/>
      <c r="F130" s="266"/>
      <c r="G130" s="51"/>
    </row>
    <row r="131" spans="1:7" s="52" customFormat="1" ht="15" thickBot="1" x14ac:dyDescent="0.35">
      <c r="A131" s="56"/>
      <c r="B131" s="56"/>
      <c r="C131" s="154" t="str">
        <f t="shared" si="11"/>
        <v/>
      </c>
      <c r="D131" s="57"/>
      <c r="E131" s="267"/>
      <c r="F131" s="268"/>
      <c r="G131" s="51"/>
    </row>
    <row r="132" spans="1:7" s="52" customFormat="1" ht="15" thickBot="1" x14ac:dyDescent="0.35">
      <c r="A132" s="110" t="s">
        <v>29</v>
      </c>
      <c r="B132" s="84">
        <f>SUM(B124:B131)</f>
        <v>48</v>
      </c>
      <c r="C132" s="110" t="str">
        <f xml:space="preserve"> setValueToTime(B132)</f>
        <v>4h</v>
      </c>
      <c r="D132" s="119"/>
      <c r="E132" s="269"/>
      <c r="F132" s="270"/>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43</v>
      </c>
      <c r="G134" s="46"/>
    </row>
    <row r="135" spans="1:7" s="47" customFormat="1" ht="30" customHeight="1" thickBot="1" x14ac:dyDescent="0.3">
      <c r="A135" s="80" t="s">
        <v>5</v>
      </c>
      <c r="B135" s="149" t="s">
        <v>40</v>
      </c>
      <c r="C135" s="150">
        <v>38</v>
      </c>
      <c r="D135" s="80" t="s">
        <v>13</v>
      </c>
      <c r="E135" s="271" t="s">
        <v>14</v>
      </c>
      <c r="F135" s="272"/>
      <c r="G135" s="46"/>
    </row>
    <row r="136" spans="1:7" s="52" customFormat="1" x14ac:dyDescent="0.3">
      <c r="A136" s="48" t="s">
        <v>94</v>
      </c>
      <c r="B136" s="49">
        <v>24</v>
      </c>
      <c r="C136" s="151" t="str">
        <f xml:space="preserve"> IF(B136="","",setValueToTime(B136))</f>
        <v>2h</v>
      </c>
      <c r="D136" s="171" t="s">
        <v>132</v>
      </c>
      <c r="E136" s="273"/>
      <c r="F136" s="274"/>
      <c r="G136" s="51"/>
    </row>
    <row r="137" spans="1:7" s="52" customFormat="1" x14ac:dyDescent="0.3">
      <c r="A137" s="53" t="s">
        <v>95</v>
      </c>
      <c r="B137" s="54">
        <v>11</v>
      </c>
      <c r="C137" s="152" t="str">
        <f xml:space="preserve"> IF(B137="","",setValueToTime(B137))</f>
        <v>0h55min</v>
      </c>
      <c r="D137" s="174" t="s">
        <v>133</v>
      </c>
      <c r="E137" s="265"/>
      <c r="F137" s="266"/>
      <c r="G137" s="51"/>
    </row>
    <row r="138" spans="1:7" s="52" customFormat="1" x14ac:dyDescent="0.3">
      <c r="A138" s="53" t="s">
        <v>17</v>
      </c>
      <c r="B138" s="54">
        <v>2</v>
      </c>
      <c r="C138" s="152" t="str">
        <f xml:space="preserve"> IF(B138="","",setValueToTime(B138))</f>
        <v>0h10min</v>
      </c>
      <c r="D138" s="174" t="s">
        <v>115</v>
      </c>
      <c r="E138" s="265"/>
      <c r="F138" s="266"/>
      <c r="G138" s="51"/>
    </row>
    <row r="139" spans="1:7" s="52" customFormat="1" x14ac:dyDescent="0.3">
      <c r="A139" s="53" t="s">
        <v>101</v>
      </c>
      <c r="B139" s="54">
        <v>1</v>
      </c>
      <c r="C139" s="152" t="str">
        <f xml:space="preserve"> IF(B139="","",setValueToTime(B139))</f>
        <v>0h5min</v>
      </c>
      <c r="D139" s="174" t="s">
        <v>121</v>
      </c>
      <c r="E139" s="265"/>
      <c r="F139" s="266"/>
      <c r="G139" s="51"/>
    </row>
    <row r="140" spans="1:7" s="52" customFormat="1" x14ac:dyDescent="0.3">
      <c r="A140" s="54"/>
      <c r="B140" s="54"/>
      <c r="C140" s="153" t="str">
        <f t="shared" ref="C140:C143" si="12" xml:space="preserve"> IF(B140="","",setValueToTime(B140))</f>
        <v/>
      </c>
      <c r="D140" s="55"/>
      <c r="E140" s="265"/>
      <c r="F140" s="266"/>
      <c r="G140" s="51"/>
    </row>
    <row r="141" spans="1:7" s="52" customFormat="1" x14ac:dyDescent="0.3">
      <c r="A141" s="54"/>
      <c r="B141" s="54"/>
      <c r="C141" s="153" t="str">
        <f t="shared" si="12"/>
        <v/>
      </c>
      <c r="D141" s="55"/>
      <c r="E141" s="265"/>
      <c r="F141" s="266"/>
      <c r="G141" s="51"/>
    </row>
    <row r="142" spans="1:7" s="52" customFormat="1" x14ac:dyDescent="0.3">
      <c r="A142" s="54"/>
      <c r="B142" s="54"/>
      <c r="C142" s="153" t="str">
        <f t="shared" si="12"/>
        <v/>
      </c>
      <c r="D142" s="55"/>
      <c r="E142" s="265"/>
      <c r="F142" s="266"/>
      <c r="G142" s="51"/>
    </row>
    <row r="143" spans="1:7" s="52" customFormat="1" ht="15" thickBot="1" x14ac:dyDescent="0.35">
      <c r="A143" s="56"/>
      <c r="B143" s="56"/>
      <c r="C143" s="154" t="str">
        <f t="shared" si="12"/>
        <v/>
      </c>
      <c r="D143" s="57"/>
      <c r="E143" s="267"/>
      <c r="F143" s="268"/>
      <c r="G143" s="51"/>
    </row>
    <row r="144" spans="1:7" s="52" customFormat="1" ht="15" thickBot="1" x14ac:dyDescent="0.35">
      <c r="A144" s="110" t="s">
        <v>29</v>
      </c>
      <c r="B144" s="84">
        <f>SUM(B136:B143)</f>
        <v>38</v>
      </c>
      <c r="C144" s="110" t="str">
        <f xml:space="preserve"> setValueToTime(B144)</f>
        <v>3h10min</v>
      </c>
      <c r="D144" s="119"/>
      <c r="E144" s="269"/>
      <c r="F144" s="270"/>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44</v>
      </c>
      <c r="G146" s="46"/>
    </row>
    <row r="147" spans="1:7" s="47" customFormat="1" ht="30" customHeight="1" thickBot="1" x14ac:dyDescent="0.3">
      <c r="A147" s="80" t="s">
        <v>5</v>
      </c>
      <c r="B147" s="149" t="s">
        <v>40</v>
      </c>
      <c r="C147" s="150">
        <v>38</v>
      </c>
      <c r="D147" s="80" t="s">
        <v>13</v>
      </c>
      <c r="E147" s="271" t="s">
        <v>14</v>
      </c>
      <c r="F147" s="272"/>
      <c r="G147" s="46"/>
    </row>
    <row r="148" spans="1:7" s="52" customFormat="1" x14ac:dyDescent="0.3">
      <c r="A148" s="48" t="s">
        <v>94</v>
      </c>
      <c r="B148" s="49">
        <v>25</v>
      </c>
      <c r="C148" s="151" t="str">
        <f xml:space="preserve"> IF(B148="","",setValueToTime(B148))</f>
        <v>2h5min</v>
      </c>
      <c r="D148" s="171" t="s">
        <v>132</v>
      </c>
      <c r="E148" s="273"/>
      <c r="F148" s="274"/>
      <c r="G148" s="51"/>
    </row>
    <row r="149" spans="1:7" s="52" customFormat="1" x14ac:dyDescent="0.3">
      <c r="A149" s="53" t="s">
        <v>95</v>
      </c>
      <c r="B149" s="54">
        <v>11</v>
      </c>
      <c r="C149" s="152" t="str">
        <f xml:space="preserve"> IF(B149="","",setValueToTime(B149))</f>
        <v>0h55min</v>
      </c>
      <c r="D149" s="174" t="s">
        <v>133</v>
      </c>
      <c r="E149" s="265"/>
      <c r="F149" s="266"/>
      <c r="G149" s="51"/>
    </row>
    <row r="150" spans="1:7" s="52" customFormat="1" x14ac:dyDescent="0.3">
      <c r="A150" s="53" t="s">
        <v>17</v>
      </c>
      <c r="B150" s="54">
        <v>2</v>
      </c>
      <c r="C150" s="152" t="str">
        <f xml:space="preserve"> IF(B150="","",setValueToTime(B150))</f>
        <v>0h10min</v>
      </c>
      <c r="D150" s="174" t="s">
        <v>115</v>
      </c>
      <c r="E150" s="265"/>
      <c r="F150" s="266"/>
      <c r="G150" s="51"/>
    </row>
    <row r="151" spans="1:7" s="52" customFormat="1" x14ac:dyDescent="0.3">
      <c r="A151" s="53"/>
      <c r="B151" s="54"/>
      <c r="C151" s="152"/>
      <c r="D151" s="174"/>
      <c r="E151" s="265"/>
      <c r="F151" s="266"/>
      <c r="G151" s="51"/>
    </row>
    <row r="152" spans="1:7" s="52" customFormat="1" x14ac:dyDescent="0.3">
      <c r="A152" s="54"/>
      <c r="B152" s="54"/>
      <c r="C152" s="153" t="str">
        <f t="shared" ref="C152:C155" si="13" xml:space="preserve"> IF(B152="","",setValueToTime(B152))</f>
        <v/>
      </c>
      <c r="D152" s="55"/>
      <c r="E152" s="265"/>
      <c r="F152" s="266"/>
      <c r="G152" s="51"/>
    </row>
    <row r="153" spans="1:7" s="52" customFormat="1" x14ac:dyDescent="0.3">
      <c r="A153" s="54"/>
      <c r="B153" s="54"/>
      <c r="C153" s="153" t="str">
        <f t="shared" si="13"/>
        <v/>
      </c>
      <c r="D153" s="55"/>
      <c r="E153" s="265"/>
      <c r="F153" s="266"/>
      <c r="G153" s="51"/>
    </row>
    <row r="154" spans="1:7" s="52" customFormat="1" x14ac:dyDescent="0.3">
      <c r="A154" s="54"/>
      <c r="B154" s="54"/>
      <c r="C154" s="153" t="str">
        <f t="shared" si="13"/>
        <v/>
      </c>
      <c r="D154" s="55"/>
      <c r="E154" s="265"/>
      <c r="F154" s="266"/>
      <c r="G154" s="51"/>
    </row>
    <row r="155" spans="1:7" s="52" customFormat="1" ht="15" thickBot="1" x14ac:dyDescent="0.35">
      <c r="A155" s="56"/>
      <c r="B155" s="56"/>
      <c r="C155" s="154" t="str">
        <f t="shared" si="13"/>
        <v/>
      </c>
      <c r="D155" s="57"/>
      <c r="E155" s="267"/>
      <c r="F155" s="268"/>
      <c r="G155" s="51"/>
    </row>
    <row r="156" spans="1:7" s="52" customFormat="1" ht="15" thickBot="1" x14ac:dyDescent="0.35">
      <c r="A156" s="110" t="s">
        <v>29</v>
      </c>
      <c r="B156" s="84">
        <f>SUM(B148:B155)</f>
        <v>38</v>
      </c>
      <c r="C156" s="110" t="str">
        <f xml:space="preserve"> setValueToTime(B156)</f>
        <v>3h10min</v>
      </c>
      <c r="D156" s="119"/>
      <c r="E156" s="269"/>
      <c r="F156" s="270"/>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43</v>
      </c>
      <c r="G158" s="46"/>
    </row>
    <row r="159" spans="1:7" s="47" customFormat="1" ht="30" customHeight="1" thickBot="1" x14ac:dyDescent="0.3">
      <c r="A159" s="80" t="s">
        <v>5</v>
      </c>
      <c r="B159" s="149" t="s">
        <v>40</v>
      </c>
      <c r="C159" s="150">
        <v>38</v>
      </c>
      <c r="D159" s="80" t="s">
        <v>13</v>
      </c>
      <c r="E159" s="271" t="s">
        <v>14</v>
      </c>
      <c r="F159" s="272"/>
      <c r="G159" s="46"/>
    </row>
    <row r="160" spans="1:7" s="52" customFormat="1" x14ac:dyDescent="0.3">
      <c r="A160" s="48" t="s">
        <v>94</v>
      </c>
      <c r="B160" s="49">
        <v>24</v>
      </c>
      <c r="C160" s="151" t="str">
        <f xml:space="preserve"> IF(B160="","",setValueToTime(B160))</f>
        <v>2h</v>
      </c>
      <c r="D160" s="171" t="s">
        <v>132</v>
      </c>
      <c r="E160" s="273"/>
      <c r="F160" s="274"/>
      <c r="G160" s="51"/>
    </row>
    <row r="161" spans="1:7" s="52" customFormat="1" x14ac:dyDescent="0.3">
      <c r="A161" s="53" t="s">
        <v>95</v>
      </c>
      <c r="B161" s="54">
        <v>11</v>
      </c>
      <c r="C161" s="152" t="str">
        <f xml:space="preserve"> IF(B161="","",setValueToTime(B161))</f>
        <v>0h55min</v>
      </c>
      <c r="D161" s="174" t="s">
        <v>133</v>
      </c>
      <c r="E161" s="265"/>
      <c r="F161" s="266"/>
      <c r="G161" s="51"/>
    </row>
    <row r="162" spans="1:7" s="52" customFormat="1" x14ac:dyDescent="0.3">
      <c r="A162" s="53" t="s">
        <v>17</v>
      </c>
      <c r="B162" s="54">
        <v>2</v>
      </c>
      <c r="C162" s="152" t="str">
        <f xml:space="preserve"> IF(B162="","",setValueToTime(B162))</f>
        <v>0h10min</v>
      </c>
      <c r="D162" s="174" t="s">
        <v>115</v>
      </c>
      <c r="E162" s="265"/>
      <c r="F162" s="266"/>
      <c r="G162" s="51"/>
    </row>
    <row r="163" spans="1:7" s="52" customFormat="1" x14ac:dyDescent="0.3">
      <c r="A163" s="53" t="s">
        <v>101</v>
      </c>
      <c r="B163" s="54">
        <v>1</v>
      </c>
      <c r="C163" s="152" t="str">
        <f xml:space="preserve"> IF(B163="","",setValueToTime(B163))</f>
        <v>0h5min</v>
      </c>
      <c r="D163" s="174" t="s">
        <v>121</v>
      </c>
      <c r="E163" s="265"/>
      <c r="F163" s="266"/>
      <c r="G163" s="51"/>
    </row>
    <row r="164" spans="1:7" s="52" customFormat="1" x14ac:dyDescent="0.3">
      <c r="A164" s="53"/>
      <c r="B164" s="54"/>
      <c r="C164" s="152"/>
      <c r="D164" s="174"/>
      <c r="E164" s="265"/>
      <c r="F164" s="266"/>
      <c r="G164" s="51"/>
    </row>
    <row r="165" spans="1:7" s="52" customFormat="1" x14ac:dyDescent="0.3">
      <c r="A165" s="54"/>
      <c r="B165" s="54"/>
      <c r="C165" s="153" t="str">
        <f t="shared" ref="C165:C167" si="14" xml:space="preserve"> IF(B165="","",setValueToTime(B165))</f>
        <v/>
      </c>
      <c r="D165" s="55"/>
      <c r="E165" s="265"/>
      <c r="F165" s="266"/>
      <c r="G165" s="51"/>
    </row>
    <row r="166" spans="1:7" s="52" customFormat="1" x14ac:dyDescent="0.3">
      <c r="A166" s="54"/>
      <c r="B166" s="54"/>
      <c r="C166" s="153" t="str">
        <f t="shared" si="14"/>
        <v/>
      </c>
      <c r="D166" s="55"/>
      <c r="E166" s="265"/>
      <c r="F166" s="266"/>
      <c r="G166" s="51"/>
    </row>
    <row r="167" spans="1:7" s="52" customFormat="1" ht="15" thickBot="1" x14ac:dyDescent="0.35">
      <c r="A167" s="56"/>
      <c r="B167" s="56"/>
      <c r="C167" s="154" t="str">
        <f t="shared" si="14"/>
        <v/>
      </c>
      <c r="D167" s="57"/>
      <c r="E167" s="267"/>
      <c r="F167" s="268"/>
      <c r="G167" s="51"/>
    </row>
    <row r="168" spans="1:7" s="52" customFormat="1" ht="15" thickBot="1" x14ac:dyDescent="0.35">
      <c r="A168" s="110" t="s">
        <v>29</v>
      </c>
      <c r="B168" s="84">
        <f>SUM(B160:B167)</f>
        <v>38</v>
      </c>
      <c r="C168" s="110" t="str">
        <f xml:space="preserve"> setValueToTime(B168)</f>
        <v>3h10min</v>
      </c>
      <c r="D168" s="119"/>
      <c r="E168" s="269"/>
      <c r="F168" s="270"/>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44</v>
      </c>
      <c r="G170" s="46"/>
    </row>
    <row r="171" spans="1:7" s="47" customFormat="1" ht="30" customHeight="1" thickBot="1" x14ac:dyDescent="0.3">
      <c r="A171" s="80" t="s">
        <v>5</v>
      </c>
      <c r="B171" s="149" t="s">
        <v>40</v>
      </c>
      <c r="C171" s="150">
        <v>48</v>
      </c>
      <c r="D171" s="80" t="s">
        <v>13</v>
      </c>
      <c r="E171" s="271" t="s">
        <v>14</v>
      </c>
      <c r="F171" s="272"/>
      <c r="G171" s="46"/>
    </row>
    <row r="172" spans="1:7" s="52" customFormat="1" x14ac:dyDescent="0.3">
      <c r="A172" s="48" t="s">
        <v>94</v>
      </c>
      <c r="B172" s="49">
        <v>35</v>
      </c>
      <c r="C172" s="151" t="str">
        <f xml:space="preserve"> IF(B172="","",setValueToTime(B172))</f>
        <v>2h55min</v>
      </c>
      <c r="D172" s="171" t="s">
        <v>132</v>
      </c>
      <c r="E172" s="273"/>
      <c r="F172" s="274"/>
      <c r="G172" s="51"/>
    </row>
    <row r="173" spans="1:7" s="52" customFormat="1" x14ac:dyDescent="0.3">
      <c r="A173" s="53" t="s">
        <v>16</v>
      </c>
      <c r="B173" s="54">
        <v>11</v>
      </c>
      <c r="C173" s="152" t="str">
        <f xml:space="preserve"> IF(B173="","",setValueToTime(B173))</f>
        <v>0h55min</v>
      </c>
      <c r="D173" s="174" t="s">
        <v>127</v>
      </c>
      <c r="E173" s="265"/>
      <c r="F173" s="266"/>
      <c r="G173" s="51"/>
    </row>
    <row r="174" spans="1:7" s="52" customFormat="1" x14ac:dyDescent="0.3">
      <c r="A174" s="53" t="s">
        <v>17</v>
      </c>
      <c r="B174" s="54">
        <v>2</v>
      </c>
      <c r="C174" s="152" t="str">
        <f xml:space="preserve"> IF(B174="","",setValueToTime(B174))</f>
        <v>0h10min</v>
      </c>
      <c r="D174" s="174" t="s">
        <v>115</v>
      </c>
      <c r="E174" s="265"/>
      <c r="F174" s="266"/>
      <c r="G174" s="51"/>
    </row>
    <row r="175" spans="1:7" s="52" customFormat="1" x14ac:dyDescent="0.3">
      <c r="A175" s="53"/>
      <c r="B175" s="54"/>
      <c r="C175" s="152"/>
      <c r="D175" s="174"/>
      <c r="E175" s="265"/>
      <c r="F175" s="266"/>
      <c r="G175" s="51"/>
    </row>
    <row r="176" spans="1:7" s="52" customFormat="1" x14ac:dyDescent="0.3">
      <c r="A176" s="53"/>
      <c r="B176" s="54"/>
      <c r="C176" s="152"/>
      <c r="D176" s="174"/>
      <c r="E176" s="265"/>
      <c r="F176" s="266"/>
      <c r="G176" s="51"/>
    </row>
    <row r="177" spans="1:7" s="52" customFormat="1" x14ac:dyDescent="0.3">
      <c r="A177" s="54"/>
      <c r="B177" s="54"/>
      <c r="C177" s="153" t="str">
        <f t="shared" ref="C177:C179" si="15" xml:space="preserve"> IF(B177="","",setValueToTime(B177))</f>
        <v/>
      </c>
      <c r="D177" s="55"/>
      <c r="E177" s="265"/>
      <c r="F177" s="266"/>
      <c r="G177" s="51"/>
    </row>
    <row r="178" spans="1:7" s="52" customFormat="1" x14ac:dyDescent="0.3">
      <c r="A178" s="54"/>
      <c r="B178" s="54"/>
      <c r="C178" s="153" t="str">
        <f t="shared" si="15"/>
        <v/>
      </c>
      <c r="D178" s="55"/>
      <c r="E178" s="265"/>
      <c r="F178" s="266"/>
      <c r="G178" s="51"/>
    </row>
    <row r="179" spans="1:7" s="52" customFormat="1" ht="15" thickBot="1" x14ac:dyDescent="0.35">
      <c r="A179" s="56"/>
      <c r="B179" s="56"/>
      <c r="C179" s="154" t="str">
        <f t="shared" si="15"/>
        <v/>
      </c>
      <c r="D179" s="57"/>
      <c r="E179" s="267"/>
      <c r="F179" s="268"/>
      <c r="G179" s="51"/>
    </row>
    <row r="180" spans="1:7" s="52" customFormat="1" ht="15" thickBot="1" x14ac:dyDescent="0.35">
      <c r="A180" s="110" t="s">
        <v>29</v>
      </c>
      <c r="B180" s="84">
        <f>SUM(B172:B179)</f>
        <v>48</v>
      </c>
      <c r="C180" s="110" t="str">
        <f xml:space="preserve"> setValueToTime(B180)</f>
        <v>4h</v>
      </c>
      <c r="D180" s="119"/>
      <c r="E180" s="269"/>
      <c r="F180" s="270"/>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43</v>
      </c>
      <c r="G182" s="46"/>
    </row>
    <row r="183" spans="1:7" s="47" customFormat="1" ht="30" customHeight="1" thickBot="1" x14ac:dyDescent="0.3">
      <c r="A183" s="80" t="s">
        <v>5</v>
      </c>
      <c r="B183" s="149" t="s">
        <v>40</v>
      </c>
      <c r="C183" s="150">
        <v>38</v>
      </c>
      <c r="D183" s="80" t="s">
        <v>13</v>
      </c>
      <c r="E183" s="271" t="s">
        <v>14</v>
      </c>
      <c r="F183" s="272"/>
      <c r="G183" s="46"/>
    </row>
    <row r="184" spans="1:7" s="52" customFormat="1" x14ac:dyDescent="0.3">
      <c r="A184" s="53" t="s">
        <v>16</v>
      </c>
      <c r="B184" s="54">
        <v>20</v>
      </c>
      <c r="C184" s="152" t="str">
        <f t="shared" ref="C184" si="16" xml:space="preserve"> IF(B184="","",setValueToTime(B184))</f>
        <v>1h40min</v>
      </c>
      <c r="D184" s="174" t="s">
        <v>127</v>
      </c>
      <c r="E184" s="273"/>
      <c r="F184" s="274"/>
      <c r="G184" s="51"/>
    </row>
    <row r="185" spans="1:7" s="52" customFormat="1" x14ac:dyDescent="0.3">
      <c r="A185" s="53" t="s">
        <v>97</v>
      </c>
      <c r="B185" s="54">
        <v>5</v>
      </c>
      <c r="C185" s="152" t="str">
        <f t="shared" ref="C185:C188" si="17" xml:space="preserve"> IF(B185="","",setValueToTime(B185))</f>
        <v>0h25min</v>
      </c>
      <c r="D185" s="174" t="s">
        <v>126</v>
      </c>
      <c r="E185" s="265"/>
      <c r="F185" s="266"/>
      <c r="G185" s="51"/>
    </row>
    <row r="186" spans="1:7" s="52" customFormat="1" x14ac:dyDescent="0.3">
      <c r="A186" s="173" t="s">
        <v>94</v>
      </c>
      <c r="B186" s="54">
        <v>10</v>
      </c>
      <c r="C186" s="152" t="str">
        <f t="shared" si="17"/>
        <v>0h50min</v>
      </c>
      <c r="D186" s="174" t="s">
        <v>131</v>
      </c>
      <c r="E186" s="265"/>
      <c r="F186" s="266"/>
      <c r="G186" s="51"/>
    </row>
    <row r="187" spans="1:7" s="52" customFormat="1" x14ac:dyDescent="0.3">
      <c r="A187" s="53" t="s">
        <v>17</v>
      </c>
      <c r="B187" s="54">
        <v>2</v>
      </c>
      <c r="C187" s="152" t="str">
        <f t="shared" si="17"/>
        <v>0h10min</v>
      </c>
      <c r="D187" s="174" t="s">
        <v>115</v>
      </c>
      <c r="E187" s="265"/>
      <c r="F187" s="266"/>
      <c r="G187" s="51"/>
    </row>
    <row r="188" spans="1:7" s="52" customFormat="1" x14ac:dyDescent="0.3">
      <c r="A188" s="53" t="s">
        <v>101</v>
      </c>
      <c r="B188" s="54">
        <v>1</v>
      </c>
      <c r="C188" s="152" t="str">
        <f t="shared" si="17"/>
        <v>0h5min</v>
      </c>
      <c r="D188" s="174" t="s">
        <v>121</v>
      </c>
      <c r="E188" s="265"/>
      <c r="F188" s="266"/>
      <c r="G188" s="51"/>
    </row>
    <row r="189" spans="1:7" s="52" customFormat="1" x14ac:dyDescent="0.3">
      <c r="A189" s="54"/>
      <c r="B189" s="54"/>
      <c r="C189" s="153" t="str">
        <f t="shared" ref="C189:C191" si="18" xml:space="preserve"> IF(B189="","",setValueToTime(B189))</f>
        <v/>
      </c>
      <c r="D189" s="55"/>
      <c r="E189" s="265"/>
      <c r="F189" s="266"/>
      <c r="G189" s="51"/>
    </row>
    <row r="190" spans="1:7" s="52" customFormat="1" x14ac:dyDescent="0.3">
      <c r="A190" s="54"/>
      <c r="B190" s="54"/>
      <c r="C190" s="153" t="str">
        <f t="shared" si="18"/>
        <v/>
      </c>
      <c r="D190" s="55"/>
      <c r="E190" s="265"/>
      <c r="F190" s="266"/>
      <c r="G190" s="51"/>
    </row>
    <row r="191" spans="1:7" s="52" customFormat="1" ht="15" thickBot="1" x14ac:dyDescent="0.35">
      <c r="A191" s="56"/>
      <c r="B191" s="56"/>
      <c r="C191" s="154" t="str">
        <f t="shared" si="18"/>
        <v/>
      </c>
      <c r="D191" s="57"/>
      <c r="E191" s="267"/>
      <c r="F191" s="268"/>
      <c r="G191" s="51"/>
    </row>
    <row r="192" spans="1:7" s="52" customFormat="1" ht="15" thickBot="1" x14ac:dyDescent="0.35">
      <c r="A192" s="110" t="s">
        <v>29</v>
      </c>
      <c r="B192" s="84">
        <f>SUM(B184:B191)</f>
        <v>38</v>
      </c>
      <c r="C192" s="110" t="str">
        <f xml:space="preserve"> setValueToTime(B192)</f>
        <v>3h10min</v>
      </c>
      <c r="D192" s="119"/>
      <c r="E192" s="269"/>
      <c r="F192" s="270"/>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44</v>
      </c>
      <c r="G194" s="46"/>
    </row>
    <row r="195" spans="1:7" s="47" customFormat="1" ht="30" customHeight="1" thickBot="1" x14ac:dyDescent="0.3">
      <c r="A195" s="80" t="s">
        <v>5</v>
      </c>
      <c r="B195" s="149" t="s">
        <v>40</v>
      </c>
      <c r="C195" s="150">
        <v>48</v>
      </c>
      <c r="D195" s="80" t="s">
        <v>13</v>
      </c>
      <c r="E195" s="271" t="s">
        <v>14</v>
      </c>
      <c r="F195" s="272"/>
      <c r="G195" s="46"/>
    </row>
    <row r="196" spans="1:7" s="52" customFormat="1" x14ac:dyDescent="0.3">
      <c r="A196" s="48" t="s">
        <v>96</v>
      </c>
      <c r="B196" s="49">
        <v>21</v>
      </c>
      <c r="C196" s="151" t="str">
        <f xml:space="preserve"> IF(B196="","",setValueToTime(B196))</f>
        <v>1h45min</v>
      </c>
      <c r="D196" s="171" t="s">
        <v>130</v>
      </c>
      <c r="E196" s="273"/>
      <c r="F196" s="274"/>
      <c r="G196" s="51"/>
    </row>
    <row r="197" spans="1:7" s="52" customFormat="1" x14ac:dyDescent="0.3">
      <c r="A197" s="173" t="s">
        <v>94</v>
      </c>
      <c r="B197" s="54">
        <v>15</v>
      </c>
      <c r="C197" s="152" t="str">
        <f t="shared" ref="C197:C199" si="19" xml:space="preserve"> IF(B197="","",setValueToTime(B197))</f>
        <v>1h15min</v>
      </c>
      <c r="D197" s="174" t="s">
        <v>131</v>
      </c>
      <c r="E197" s="265"/>
      <c r="F197" s="266"/>
      <c r="G197" s="51"/>
    </row>
    <row r="198" spans="1:7" s="52" customFormat="1" x14ac:dyDescent="0.3">
      <c r="A198" s="53" t="s">
        <v>95</v>
      </c>
      <c r="B198" s="54">
        <v>10</v>
      </c>
      <c r="C198" s="152" t="str">
        <f t="shared" si="19"/>
        <v>0h50min</v>
      </c>
      <c r="D198" s="174" t="s">
        <v>128</v>
      </c>
      <c r="E198" s="265"/>
      <c r="F198" s="266"/>
      <c r="G198" s="51"/>
    </row>
    <row r="199" spans="1:7" s="52" customFormat="1" x14ac:dyDescent="0.3">
      <c r="A199" s="53" t="s">
        <v>17</v>
      </c>
      <c r="B199" s="54">
        <v>2</v>
      </c>
      <c r="C199" s="152" t="str">
        <f t="shared" si="19"/>
        <v>0h10min</v>
      </c>
      <c r="D199" s="174" t="s">
        <v>115</v>
      </c>
      <c r="E199" s="265"/>
      <c r="F199" s="266"/>
      <c r="G199" s="51"/>
    </row>
    <row r="200" spans="1:7" s="52" customFormat="1" x14ac:dyDescent="0.3">
      <c r="A200" s="53"/>
      <c r="B200" s="54"/>
      <c r="C200" s="152"/>
      <c r="D200" s="174"/>
      <c r="E200" s="265"/>
      <c r="F200" s="266"/>
      <c r="G200" s="51"/>
    </row>
    <row r="201" spans="1:7" s="52" customFormat="1" x14ac:dyDescent="0.3">
      <c r="A201" s="54"/>
      <c r="B201" s="54"/>
      <c r="C201" s="153" t="str">
        <f t="shared" ref="C201:C203" si="20" xml:space="preserve"> IF(B201="","",setValueToTime(B201))</f>
        <v/>
      </c>
      <c r="D201" s="55"/>
      <c r="E201" s="265"/>
      <c r="F201" s="266"/>
      <c r="G201" s="51"/>
    </row>
    <row r="202" spans="1:7" s="52" customFormat="1" x14ac:dyDescent="0.3">
      <c r="A202" s="54"/>
      <c r="B202" s="54"/>
      <c r="C202" s="153" t="str">
        <f t="shared" si="20"/>
        <v/>
      </c>
      <c r="D202" s="55"/>
      <c r="E202" s="265"/>
      <c r="F202" s="266"/>
      <c r="G202" s="51"/>
    </row>
    <row r="203" spans="1:7" s="52" customFormat="1" ht="15" thickBot="1" x14ac:dyDescent="0.35">
      <c r="A203" s="56"/>
      <c r="B203" s="56"/>
      <c r="C203" s="154" t="str">
        <f t="shared" si="20"/>
        <v/>
      </c>
      <c r="D203" s="57"/>
      <c r="E203" s="267"/>
      <c r="F203" s="268"/>
      <c r="G203" s="51"/>
    </row>
    <row r="204" spans="1:7" s="52" customFormat="1" ht="15" thickBot="1" x14ac:dyDescent="0.35">
      <c r="A204" s="110" t="s">
        <v>29</v>
      </c>
      <c r="B204" s="84">
        <f>SUM(B196:B203)</f>
        <v>48</v>
      </c>
      <c r="C204" s="110" t="str">
        <f xml:space="preserve"> setValueToTime(B204)</f>
        <v>4h</v>
      </c>
      <c r="D204" s="119"/>
      <c r="E204" s="269"/>
      <c r="F204" s="270"/>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44</v>
      </c>
      <c r="G206" s="46"/>
    </row>
    <row r="207" spans="1:7" s="47" customFormat="1" ht="30" customHeight="1" thickBot="1" x14ac:dyDescent="0.3">
      <c r="A207" s="80" t="s">
        <v>5</v>
      </c>
      <c r="B207" s="149" t="s">
        <v>40</v>
      </c>
      <c r="C207" s="150">
        <v>38</v>
      </c>
      <c r="D207" s="80" t="s">
        <v>13</v>
      </c>
      <c r="E207" s="271" t="s">
        <v>14</v>
      </c>
      <c r="F207" s="272"/>
      <c r="G207" s="46"/>
    </row>
    <row r="208" spans="1:7" s="52" customFormat="1" x14ac:dyDescent="0.3">
      <c r="A208" s="48" t="s">
        <v>96</v>
      </c>
      <c r="B208" s="49">
        <v>20</v>
      </c>
      <c r="C208" s="151" t="str">
        <f xml:space="preserve"> IF(B208="","",setValueToTime(B208))</f>
        <v>1h40min</v>
      </c>
      <c r="D208" s="171" t="s">
        <v>129</v>
      </c>
      <c r="E208" s="273"/>
      <c r="F208" s="274"/>
      <c r="G208" s="51"/>
    </row>
    <row r="209" spans="1:7" s="52" customFormat="1" x14ac:dyDescent="0.3">
      <c r="A209" s="53" t="s">
        <v>97</v>
      </c>
      <c r="B209" s="54">
        <v>5</v>
      </c>
      <c r="C209" s="152" t="str">
        <f t="shared" ref="C209" si="21" xml:space="preserve"> IF(B209="","",setValueToTime(B209))</f>
        <v>0h25min</v>
      </c>
      <c r="D209" s="174" t="s">
        <v>126</v>
      </c>
      <c r="E209" s="265"/>
      <c r="F209" s="266"/>
      <c r="G209" s="51"/>
    </row>
    <row r="210" spans="1:7" s="52" customFormat="1" x14ac:dyDescent="0.3">
      <c r="A210" s="53" t="s">
        <v>16</v>
      </c>
      <c r="B210" s="54">
        <v>10</v>
      </c>
      <c r="C210" s="152" t="str">
        <f t="shared" ref="C210:C215" si="22" xml:space="preserve"> IF(B210="","",setValueToTime(B210))</f>
        <v>0h50min</v>
      </c>
      <c r="D210" s="174" t="s">
        <v>127</v>
      </c>
      <c r="E210" s="265"/>
      <c r="F210" s="266"/>
      <c r="G210" s="51"/>
    </row>
    <row r="211" spans="1:7" s="52" customFormat="1" x14ac:dyDescent="0.3">
      <c r="A211" s="53" t="s">
        <v>17</v>
      </c>
      <c r="B211" s="54">
        <v>2</v>
      </c>
      <c r="C211" s="152" t="str">
        <f t="shared" si="22"/>
        <v>0h10min</v>
      </c>
      <c r="D211" s="174" t="s">
        <v>115</v>
      </c>
      <c r="E211" s="265"/>
      <c r="F211" s="266"/>
      <c r="G211" s="51"/>
    </row>
    <row r="212" spans="1:7" s="52" customFormat="1" x14ac:dyDescent="0.3">
      <c r="A212" s="53" t="s">
        <v>101</v>
      </c>
      <c r="B212" s="54">
        <v>1</v>
      </c>
      <c r="C212" s="152" t="str">
        <f t="shared" si="22"/>
        <v>0h5min</v>
      </c>
      <c r="D212" s="174" t="s">
        <v>121</v>
      </c>
      <c r="E212" s="265"/>
      <c r="F212" s="266"/>
      <c r="G212" s="51"/>
    </row>
    <row r="213" spans="1:7" s="52" customFormat="1" x14ac:dyDescent="0.3">
      <c r="A213" s="54"/>
      <c r="B213" s="54"/>
      <c r="C213" s="153" t="str">
        <f t="shared" si="22"/>
        <v/>
      </c>
      <c r="D213" s="55"/>
      <c r="E213" s="265"/>
      <c r="F213" s="266"/>
      <c r="G213" s="51"/>
    </row>
    <row r="214" spans="1:7" s="52" customFormat="1" x14ac:dyDescent="0.3">
      <c r="A214" s="54"/>
      <c r="B214" s="54"/>
      <c r="C214" s="153" t="str">
        <f t="shared" si="22"/>
        <v/>
      </c>
      <c r="D214" s="55"/>
      <c r="E214" s="265"/>
      <c r="F214" s="266"/>
      <c r="G214" s="51"/>
    </row>
    <row r="215" spans="1:7" s="52" customFormat="1" ht="15" thickBot="1" x14ac:dyDescent="0.35">
      <c r="A215" s="56"/>
      <c r="B215" s="56"/>
      <c r="C215" s="154" t="str">
        <f t="shared" si="22"/>
        <v/>
      </c>
      <c r="D215" s="57"/>
      <c r="E215" s="267"/>
      <c r="F215" s="268"/>
      <c r="G215" s="51"/>
    </row>
    <row r="216" spans="1:7" s="52" customFormat="1" ht="15" thickBot="1" x14ac:dyDescent="0.35">
      <c r="A216" s="110" t="s">
        <v>29</v>
      </c>
      <c r="B216" s="84">
        <f>SUM(B208:B215)</f>
        <v>38</v>
      </c>
      <c r="C216" s="110" t="str">
        <f xml:space="preserve"> setValueToTime(B216)</f>
        <v>3h10min</v>
      </c>
      <c r="D216" s="119"/>
      <c r="E216" s="269"/>
      <c r="F216" s="270"/>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43</v>
      </c>
      <c r="G218" s="46"/>
    </row>
    <row r="219" spans="1:7" s="47" customFormat="1" ht="30" customHeight="1" thickBot="1" x14ac:dyDescent="0.3">
      <c r="A219" s="80" t="s">
        <v>5</v>
      </c>
      <c r="B219" s="149" t="s">
        <v>40</v>
      </c>
      <c r="C219" s="150">
        <v>38</v>
      </c>
      <c r="D219" s="80" t="s">
        <v>13</v>
      </c>
      <c r="E219" s="271" t="s">
        <v>14</v>
      </c>
      <c r="F219" s="272"/>
      <c r="G219" s="46"/>
    </row>
    <row r="220" spans="1:7" s="52" customFormat="1" x14ac:dyDescent="0.3">
      <c r="A220" s="48" t="s">
        <v>96</v>
      </c>
      <c r="B220" s="49">
        <v>20</v>
      </c>
      <c r="C220" s="151" t="str">
        <f xml:space="preserve"> IF(B220="","",setValueToTime(B220))</f>
        <v>1h40min</v>
      </c>
      <c r="D220" s="171" t="s">
        <v>125</v>
      </c>
      <c r="E220" s="273"/>
      <c r="F220" s="274"/>
      <c r="G220" s="51"/>
    </row>
    <row r="221" spans="1:7" s="52" customFormat="1" x14ac:dyDescent="0.3">
      <c r="A221" s="53" t="s">
        <v>97</v>
      </c>
      <c r="B221" s="54">
        <v>14</v>
      </c>
      <c r="C221" s="152" t="str">
        <f t="shared" ref="C221:C227" si="23" xml:space="preserve"> IF(B221="","",setValueToTime(B221))</f>
        <v>1h10min</v>
      </c>
      <c r="D221" s="174" t="s">
        <v>126</v>
      </c>
      <c r="E221" s="265"/>
      <c r="F221" s="266"/>
      <c r="G221" s="51"/>
    </row>
    <row r="222" spans="1:7" s="52" customFormat="1" x14ac:dyDescent="0.3">
      <c r="A222" s="53" t="s">
        <v>101</v>
      </c>
      <c r="B222" s="54">
        <v>1</v>
      </c>
      <c r="C222" s="152" t="str">
        <f t="shared" si="23"/>
        <v>0h5min</v>
      </c>
      <c r="D222" s="174" t="s">
        <v>121</v>
      </c>
      <c r="E222" s="265"/>
      <c r="F222" s="266"/>
      <c r="G222" s="51"/>
    </row>
    <row r="223" spans="1:7" s="52" customFormat="1" x14ac:dyDescent="0.3">
      <c r="A223" s="53" t="s">
        <v>17</v>
      </c>
      <c r="B223" s="54">
        <v>2</v>
      </c>
      <c r="C223" s="152" t="str">
        <f t="shared" si="23"/>
        <v>0h10min</v>
      </c>
      <c r="D223" s="174" t="s">
        <v>115</v>
      </c>
      <c r="E223" s="265"/>
      <c r="F223" s="266"/>
      <c r="G223" s="51"/>
    </row>
    <row r="224" spans="1:7" s="52" customFormat="1" x14ac:dyDescent="0.3">
      <c r="A224" s="53" t="s">
        <v>101</v>
      </c>
      <c r="B224" s="54">
        <v>1</v>
      </c>
      <c r="C224" s="152" t="str">
        <f t="shared" si="23"/>
        <v>0h5min</v>
      </c>
      <c r="D224" s="174" t="s">
        <v>121</v>
      </c>
      <c r="E224" s="265"/>
      <c r="F224" s="266"/>
      <c r="G224" s="51"/>
    </row>
    <row r="225" spans="1:7" s="52" customFormat="1" x14ac:dyDescent="0.3">
      <c r="A225" s="54"/>
      <c r="B225" s="54"/>
      <c r="C225" s="153" t="str">
        <f t="shared" si="23"/>
        <v/>
      </c>
      <c r="D225" s="55"/>
      <c r="E225" s="265"/>
      <c r="F225" s="266"/>
      <c r="G225" s="51"/>
    </row>
    <row r="226" spans="1:7" s="52" customFormat="1" x14ac:dyDescent="0.3">
      <c r="A226" s="54"/>
      <c r="B226" s="54"/>
      <c r="C226" s="153" t="str">
        <f t="shared" si="23"/>
        <v/>
      </c>
      <c r="D226" s="55"/>
      <c r="E226" s="265"/>
      <c r="F226" s="266"/>
      <c r="G226" s="51"/>
    </row>
    <row r="227" spans="1:7" s="52" customFormat="1" ht="15" thickBot="1" x14ac:dyDescent="0.35">
      <c r="A227" s="56"/>
      <c r="B227" s="56"/>
      <c r="C227" s="154" t="str">
        <f t="shared" si="23"/>
        <v/>
      </c>
      <c r="D227" s="57"/>
      <c r="E227" s="267"/>
      <c r="F227" s="268"/>
      <c r="G227" s="51"/>
    </row>
    <row r="228" spans="1:7" s="52" customFormat="1" ht="15" thickBot="1" x14ac:dyDescent="0.35">
      <c r="A228" s="110" t="s">
        <v>29</v>
      </c>
      <c r="B228" s="84">
        <f>SUM(B220:B227)</f>
        <v>38</v>
      </c>
      <c r="C228" s="110" t="str">
        <f xml:space="preserve"> setValueToTime(B228)</f>
        <v>3h10min</v>
      </c>
      <c r="D228" s="119"/>
      <c r="E228" s="269"/>
      <c r="F228" s="270"/>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44</v>
      </c>
      <c r="G230" s="46"/>
    </row>
    <row r="231" spans="1:7" s="47" customFormat="1" ht="30" customHeight="1" thickBot="1" x14ac:dyDescent="0.3">
      <c r="A231" s="80" t="s">
        <v>5</v>
      </c>
      <c r="B231" s="149" t="s">
        <v>40</v>
      </c>
      <c r="C231" s="150">
        <v>48</v>
      </c>
      <c r="D231" s="80" t="s">
        <v>13</v>
      </c>
      <c r="E231" s="271" t="s">
        <v>14</v>
      </c>
      <c r="F231" s="272"/>
      <c r="G231" s="46"/>
    </row>
    <row r="232" spans="1:7" s="52" customFormat="1" x14ac:dyDescent="0.3">
      <c r="A232" s="48" t="s">
        <v>16</v>
      </c>
      <c r="B232" s="49">
        <v>12</v>
      </c>
      <c r="C232" s="151" t="str">
        <f xml:space="preserve"> IF(B232="","",setValueToTime(B232))</f>
        <v>1h</v>
      </c>
      <c r="D232" s="171" t="s">
        <v>122</v>
      </c>
      <c r="E232" s="273"/>
      <c r="F232" s="274"/>
      <c r="G232" s="51"/>
    </row>
    <row r="233" spans="1:7" s="52" customFormat="1" x14ac:dyDescent="0.3">
      <c r="A233" s="53" t="s">
        <v>16</v>
      </c>
      <c r="B233" s="54">
        <v>16</v>
      </c>
      <c r="C233" s="152" t="str">
        <f t="shared" ref="C233:C235" si="24" xml:space="preserve"> IF(B233="","",setValueToTime(B233))</f>
        <v>1h20min</v>
      </c>
      <c r="D233" s="174" t="s">
        <v>123</v>
      </c>
      <c r="E233" s="265"/>
      <c r="F233" s="266"/>
      <c r="G233" s="51"/>
    </row>
    <row r="234" spans="1:7" s="52" customFormat="1" x14ac:dyDescent="0.3">
      <c r="A234" s="53" t="s">
        <v>97</v>
      </c>
      <c r="B234" s="54">
        <v>18</v>
      </c>
      <c r="C234" s="152" t="str">
        <f t="shared" si="24"/>
        <v>1h30min</v>
      </c>
      <c r="D234" s="174" t="s">
        <v>124</v>
      </c>
      <c r="E234" s="265"/>
      <c r="F234" s="266"/>
      <c r="G234" s="51"/>
    </row>
    <row r="235" spans="1:7" s="52" customFormat="1" x14ac:dyDescent="0.3">
      <c r="A235" s="53" t="s">
        <v>17</v>
      </c>
      <c r="B235" s="54">
        <v>2</v>
      </c>
      <c r="C235" s="152" t="str">
        <f t="shared" si="24"/>
        <v>0h10min</v>
      </c>
      <c r="D235" s="174" t="s">
        <v>115</v>
      </c>
      <c r="E235" s="265"/>
      <c r="F235" s="266"/>
      <c r="G235" s="51"/>
    </row>
    <row r="236" spans="1:7" s="52" customFormat="1" x14ac:dyDescent="0.3">
      <c r="A236" s="54"/>
      <c r="B236" s="54"/>
      <c r="C236" s="153" t="str">
        <f t="shared" ref="C236:C239" si="25" xml:space="preserve"> IF(B236="","",setValueToTime(B236))</f>
        <v/>
      </c>
      <c r="D236" s="55"/>
      <c r="E236" s="265"/>
      <c r="F236" s="266"/>
      <c r="G236" s="51"/>
    </row>
    <row r="237" spans="1:7" s="52" customFormat="1" x14ac:dyDescent="0.3">
      <c r="A237" s="54"/>
      <c r="B237" s="54"/>
      <c r="C237" s="153" t="str">
        <f t="shared" si="25"/>
        <v/>
      </c>
      <c r="D237" s="55"/>
      <c r="E237" s="265"/>
      <c r="F237" s="266"/>
      <c r="G237" s="51"/>
    </row>
    <row r="238" spans="1:7" s="52" customFormat="1" x14ac:dyDescent="0.3">
      <c r="A238" s="54"/>
      <c r="B238" s="54"/>
      <c r="C238" s="153" t="str">
        <f t="shared" si="25"/>
        <v/>
      </c>
      <c r="D238" s="55"/>
      <c r="E238" s="265"/>
      <c r="F238" s="266"/>
      <c r="G238" s="51"/>
    </row>
    <row r="239" spans="1:7" s="52" customFormat="1" ht="15" thickBot="1" x14ac:dyDescent="0.35">
      <c r="A239" s="56"/>
      <c r="B239" s="56"/>
      <c r="C239" s="154" t="str">
        <f t="shared" si="25"/>
        <v/>
      </c>
      <c r="D239" s="57"/>
      <c r="E239" s="267"/>
      <c r="F239" s="268"/>
      <c r="G239" s="51"/>
    </row>
    <row r="240" spans="1:7" s="52" customFormat="1" ht="15" thickBot="1" x14ac:dyDescent="0.35">
      <c r="A240" s="110" t="s">
        <v>29</v>
      </c>
      <c r="B240" s="84">
        <f>SUM(B232:B239)</f>
        <v>48</v>
      </c>
      <c r="C240" s="110" t="str">
        <f xml:space="preserve"> setValueToTime(B240)</f>
        <v>4h</v>
      </c>
      <c r="D240" s="119"/>
      <c r="E240" s="269"/>
      <c r="F240" s="270"/>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44</v>
      </c>
      <c r="G242" s="46"/>
    </row>
    <row r="243" spans="1:7" s="47" customFormat="1" ht="30" customHeight="1" thickBot="1" x14ac:dyDescent="0.3">
      <c r="A243" s="80" t="s">
        <v>5</v>
      </c>
      <c r="B243" s="149" t="s">
        <v>40</v>
      </c>
      <c r="C243" s="150">
        <v>38</v>
      </c>
      <c r="D243" s="80" t="s">
        <v>13</v>
      </c>
      <c r="E243" s="271" t="s">
        <v>14</v>
      </c>
      <c r="F243" s="272"/>
      <c r="G243" s="46"/>
    </row>
    <row r="244" spans="1:7" s="52" customFormat="1" ht="27" x14ac:dyDescent="0.3">
      <c r="A244" s="48" t="s">
        <v>90</v>
      </c>
      <c r="B244" s="49">
        <v>23</v>
      </c>
      <c r="C244" s="151" t="str">
        <f xml:space="preserve"> IF(B244="","",setValueToTime(B244))</f>
        <v>1h55min</v>
      </c>
      <c r="D244" s="174" t="s">
        <v>120</v>
      </c>
      <c r="E244" s="273"/>
      <c r="F244" s="274"/>
      <c r="G244" s="51"/>
    </row>
    <row r="245" spans="1:7" s="52" customFormat="1" ht="27" x14ac:dyDescent="0.3">
      <c r="A245" s="53" t="s">
        <v>87</v>
      </c>
      <c r="B245" s="54">
        <v>12</v>
      </c>
      <c r="C245" s="152" t="str">
        <f t="shared" ref="C245" si="26" xml:space="preserve"> IF(B245="","",setValueToTime(B245))</f>
        <v>1h</v>
      </c>
      <c r="D245" s="174" t="s">
        <v>159</v>
      </c>
      <c r="E245" s="265"/>
      <c r="F245" s="266"/>
      <c r="G245" s="51"/>
    </row>
    <row r="246" spans="1:7" s="52" customFormat="1" x14ac:dyDescent="0.3">
      <c r="A246" s="53" t="s">
        <v>17</v>
      </c>
      <c r="B246" s="54">
        <v>2</v>
      </c>
      <c r="C246" s="152" t="str">
        <f t="shared" ref="C246:C251" si="27" xml:space="preserve"> IF(B246="","",setValueToTime(B246))</f>
        <v>0h10min</v>
      </c>
      <c r="D246" s="174" t="s">
        <v>115</v>
      </c>
      <c r="E246" s="265"/>
      <c r="F246" s="266"/>
      <c r="G246" s="51"/>
    </row>
    <row r="247" spans="1:7" s="52" customFormat="1" x14ac:dyDescent="0.3">
      <c r="A247" s="53" t="s">
        <v>101</v>
      </c>
      <c r="B247" s="54">
        <v>1</v>
      </c>
      <c r="C247" s="152" t="str">
        <f t="shared" si="27"/>
        <v>0h5min</v>
      </c>
      <c r="D247" s="174" t="s">
        <v>121</v>
      </c>
      <c r="E247" s="265"/>
      <c r="F247" s="266"/>
      <c r="G247" s="51"/>
    </row>
    <row r="248" spans="1:7" s="52" customFormat="1" x14ac:dyDescent="0.3">
      <c r="A248" s="54"/>
      <c r="B248" s="54"/>
      <c r="C248" s="153" t="str">
        <f t="shared" si="27"/>
        <v/>
      </c>
      <c r="D248" s="55"/>
      <c r="E248" s="265"/>
      <c r="F248" s="266"/>
      <c r="G248" s="51"/>
    </row>
    <row r="249" spans="1:7" s="52" customFormat="1" x14ac:dyDescent="0.3">
      <c r="A249" s="54"/>
      <c r="B249" s="54"/>
      <c r="C249" s="153" t="str">
        <f t="shared" si="27"/>
        <v/>
      </c>
      <c r="D249" s="55"/>
      <c r="E249" s="265"/>
      <c r="F249" s="266"/>
      <c r="G249" s="51"/>
    </row>
    <row r="250" spans="1:7" s="52" customFormat="1" x14ac:dyDescent="0.3">
      <c r="A250" s="54"/>
      <c r="B250" s="54"/>
      <c r="C250" s="153" t="str">
        <f t="shared" si="27"/>
        <v/>
      </c>
      <c r="D250" s="55"/>
      <c r="E250" s="265"/>
      <c r="F250" s="266"/>
      <c r="G250" s="51"/>
    </row>
    <row r="251" spans="1:7" s="52" customFormat="1" ht="15" thickBot="1" x14ac:dyDescent="0.35">
      <c r="A251" s="56"/>
      <c r="B251" s="56"/>
      <c r="C251" s="154" t="str">
        <f t="shared" si="27"/>
        <v/>
      </c>
      <c r="D251" s="57"/>
      <c r="E251" s="267"/>
      <c r="F251" s="268"/>
      <c r="G251" s="51"/>
    </row>
    <row r="252" spans="1:7" s="52" customFormat="1" ht="15" thickBot="1" x14ac:dyDescent="0.35">
      <c r="A252" s="110" t="s">
        <v>29</v>
      </c>
      <c r="B252" s="84">
        <f>SUM(B244:B251)</f>
        <v>38</v>
      </c>
      <c r="C252" s="110" t="str">
        <f xml:space="preserve"> setValueToTime(B252)</f>
        <v>3h10min</v>
      </c>
      <c r="D252" s="119"/>
      <c r="E252" s="269"/>
      <c r="F252" s="270"/>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43</v>
      </c>
      <c r="G254" s="46"/>
    </row>
    <row r="255" spans="1:7" s="47" customFormat="1" ht="30" customHeight="1" thickBot="1" x14ac:dyDescent="0.3">
      <c r="A255" s="80" t="s">
        <v>5</v>
      </c>
      <c r="B255" s="149" t="s">
        <v>40</v>
      </c>
      <c r="C255" s="150">
        <v>38</v>
      </c>
      <c r="D255" s="80" t="s">
        <v>13</v>
      </c>
      <c r="E255" s="271" t="s">
        <v>14</v>
      </c>
      <c r="F255" s="272"/>
      <c r="G255" s="46"/>
    </row>
    <row r="256" spans="1:7" s="52" customFormat="1" ht="27" x14ac:dyDescent="0.3">
      <c r="A256" s="48" t="s">
        <v>90</v>
      </c>
      <c r="B256" s="49">
        <v>25</v>
      </c>
      <c r="C256" s="151" t="str">
        <f xml:space="preserve"> IF(B256="","",setValueToTime(B256))</f>
        <v>2h5min</v>
      </c>
      <c r="D256" s="174" t="s">
        <v>120</v>
      </c>
      <c r="E256" s="273"/>
      <c r="F256" s="274"/>
      <c r="G256" s="51"/>
    </row>
    <row r="257" spans="1:7" s="52" customFormat="1" ht="27" x14ac:dyDescent="0.3">
      <c r="A257" s="53" t="s">
        <v>100</v>
      </c>
      <c r="B257" s="54">
        <v>10</v>
      </c>
      <c r="C257" s="152" t="str">
        <f t="shared" ref="C257" si="28" xml:space="preserve"> IF(B257="","",setValueToTime(B257))</f>
        <v>0h50min</v>
      </c>
      <c r="D257" s="174" t="s">
        <v>145</v>
      </c>
      <c r="E257" s="265"/>
      <c r="F257" s="266"/>
      <c r="G257" s="51"/>
    </row>
    <row r="258" spans="1:7" s="52" customFormat="1" x14ac:dyDescent="0.3">
      <c r="A258" s="53" t="s">
        <v>17</v>
      </c>
      <c r="B258" s="54">
        <v>2</v>
      </c>
      <c r="C258" s="152" t="str">
        <f t="shared" ref="C258:C263" si="29" xml:space="preserve"> IF(B258="","",setValueToTime(B258))</f>
        <v>0h10min</v>
      </c>
      <c r="D258" s="174" t="s">
        <v>115</v>
      </c>
      <c r="E258" s="265"/>
      <c r="F258" s="266"/>
      <c r="G258" s="51"/>
    </row>
    <row r="259" spans="1:7" s="52" customFormat="1" x14ac:dyDescent="0.3">
      <c r="A259" s="53" t="s">
        <v>101</v>
      </c>
      <c r="B259" s="54">
        <v>1</v>
      </c>
      <c r="C259" s="152" t="str">
        <f t="shared" si="29"/>
        <v>0h5min</v>
      </c>
      <c r="D259" s="174" t="s">
        <v>121</v>
      </c>
      <c r="E259" s="265"/>
      <c r="F259" s="266"/>
      <c r="G259" s="51"/>
    </row>
    <row r="260" spans="1:7" s="52" customFormat="1" x14ac:dyDescent="0.3">
      <c r="A260" s="54"/>
      <c r="B260" s="54"/>
      <c r="C260" s="153" t="str">
        <f t="shared" si="29"/>
        <v/>
      </c>
      <c r="D260" s="55"/>
      <c r="E260" s="265"/>
      <c r="F260" s="266"/>
      <c r="G260" s="51"/>
    </row>
    <row r="261" spans="1:7" s="52" customFormat="1" x14ac:dyDescent="0.3">
      <c r="A261" s="54"/>
      <c r="B261" s="54"/>
      <c r="C261" s="153" t="str">
        <f t="shared" si="29"/>
        <v/>
      </c>
      <c r="D261" s="55"/>
      <c r="E261" s="265"/>
      <c r="F261" s="266"/>
      <c r="G261" s="51"/>
    </row>
    <row r="262" spans="1:7" s="52" customFormat="1" x14ac:dyDescent="0.3">
      <c r="A262" s="54"/>
      <c r="B262" s="54"/>
      <c r="C262" s="153" t="str">
        <f t="shared" si="29"/>
        <v/>
      </c>
      <c r="D262" s="55"/>
      <c r="E262" s="265"/>
      <c r="F262" s="266"/>
      <c r="G262" s="51"/>
    </row>
    <row r="263" spans="1:7" s="52" customFormat="1" ht="15" thickBot="1" x14ac:dyDescent="0.35">
      <c r="A263" s="56"/>
      <c r="B263" s="56"/>
      <c r="C263" s="154" t="str">
        <f t="shared" si="29"/>
        <v/>
      </c>
      <c r="D263" s="57"/>
      <c r="E263" s="267"/>
      <c r="F263" s="268"/>
      <c r="G263" s="51"/>
    </row>
    <row r="264" spans="1:7" s="52" customFormat="1" ht="15" thickBot="1" x14ac:dyDescent="0.35">
      <c r="A264" s="110" t="s">
        <v>29</v>
      </c>
      <c r="B264" s="84">
        <f>SUM(B256:B263)</f>
        <v>38</v>
      </c>
      <c r="C264" s="110" t="str">
        <f xml:space="preserve"> setValueToTime(B264)</f>
        <v>3h10min</v>
      </c>
      <c r="D264" s="119"/>
      <c r="E264" s="269"/>
      <c r="F264" s="270"/>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44</v>
      </c>
      <c r="G266" s="46"/>
    </row>
    <row r="267" spans="1:7" s="47" customFormat="1" ht="30" customHeight="1" thickBot="1" x14ac:dyDescent="0.3">
      <c r="A267" s="80" t="s">
        <v>5</v>
      </c>
      <c r="B267" s="149" t="s">
        <v>40</v>
      </c>
      <c r="C267" s="150">
        <v>38</v>
      </c>
      <c r="D267" s="80" t="s">
        <v>13</v>
      </c>
      <c r="E267" s="271" t="s">
        <v>14</v>
      </c>
      <c r="F267" s="272"/>
      <c r="G267" s="46"/>
    </row>
    <row r="268" spans="1:7" s="52" customFormat="1" ht="27" x14ac:dyDescent="0.3">
      <c r="A268" s="48" t="s">
        <v>92</v>
      </c>
      <c r="B268" s="49">
        <v>12</v>
      </c>
      <c r="C268" s="151" t="str">
        <f xml:space="preserve"> IF(B268="","",setValueToTime(B268))</f>
        <v>1h</v>
      </c>
      <c r="D268" s="171" t="s">
        <v>118</v>
      </c>
      <c r="E268" s="273"/>
      <c r="F268" s="274"/>
      <c r="G268" s="51"/>
    </row>
    <row r="269" spans="1:7" s="52" customFormat="1" ht="27" x14ac:dyDescent="0.3">
      <c r="A269" s="53" t="s">
        <v>91</v>
      </c>
      <c r="B269" s="54">
        <v>10</v>
      </c>
      <c r="C269" s="152" t="str">
        <f t="shared" ref="C269:C271" si="30" xml:space="preserve"> IF(B269="","",setValueToTime(B269))</f>
        <v>0h50min</v>
      </c>
      <c r="D269" s="174" t="s">
        <v>119</v>
      </c>
      <c r="E269" s="265"/>
      <c r="F269" s="266"/>
      <c r="G269" s="51"/>
    </row>
    <row r="270" spans="1:7" s="52" customFormat="1" ht="27" x14ac:dyDescent="0.3">
      <c r="A270" s="53" t="s">
        <v>90</v>
      </c>
      <c r="B270" s="54">
        <v>14</v>
      </c>
      <c r="C270" s="152" t="str">
        <f t="shared" si="30"/>
        <v>1h10min</v>
      </c>
      <c r="D270" s="174" t="s">
        <v>120</v>
      </c>
      <c r="E270" s="265"/>
      <c r="F270" s="266"/>
      <c r="G270" s="51"/>
    </row>
    <row r="271" spans="1:7" s="52" customFormat="1" x14ac:dyDescent="0.3">
      <c r="A271" s="53" t="s">
        <v>17</v>
      </c>
      <c r="B271" s="54">
        <v>2</v>
      </c>
      <c r="C271" s="152" t="str">
        <f t="shared" si="30"/>
        <v>0h10min</v>
      </c>
      <c r="D271" s="174" t="s">
        <v>115</v>
      </c>
      <c r="E271" s="265"/>
      <c r="F271" s="266"/>
      <c r="G271" s="51"/>
    </row>
    <row r="272" spans="1:7" s="52" customFormat="1" x14ac:dyDescent="0.3">
      <c r="A272" s="54"/>
      <c r="B272" s="54"/>
      <c r="C272" s="153" t="str">
        <f t="shared" ref="C272:C275" si="31" xml:space="preserve"> IF(B272="","",setValueToTime(B272))</f>
        <v/>
      </c>
      <c r="D272" s="55"/>
      <c r="E272" s="265"/>
      <c r="F272" s="266"/>
      <c r="G272" s="51"/>
    </row>
    <row r="273" spans="1:7" s="52" customFormat="1" x14ac:dyDescent="0.3">
      <c r="A273" s="54"/>
      <c r="B273" s="54"/>
      <c r="C273" s="153" t="str">
        <f t="shared" si="31"/>
        <v/>
      </c>
      <c r="D273" s="55"/>
      <c r="E273" s="265"/>
      <c r="F273" s="266"/>
      <c r="G273" s="51"/>
    </row>
    <row r="274" spans="1:7" s="52" customFormat="1" x14ac:dyDescent="0.3">
      <c r="A274" s="54"/>
      <c r="B274" s="54"/>
      <c r="C274" s="153" t="str">
        <f t="shared" si="31"/>
        <v/>
      </c>
      <c r="D274" s="55"/>
      <c r="E274" s="265"/>
      <c r="F274" s="266"/>
      <c r="G274" s="51"/>
    </row>
    <row r="275" spans="1:7" s="52" customFormat="1" ht="15" thickBot="1" x14ac:dyDescent="0.35">
      <c r="A275" s="56"/>
      <c r="B275" s="56"/>
      <c r="C275" s="154" t="str">
        <f t="shared" si="31"/>
        <v/>
      </c>
      <c r="D275" s="57"/>
      <c r="E275" s="267"/>
      <c r="F275" s="268"/>
      <c r="G275" s="51"/>
    </row>
    <row r="276" spans="1:7" s="52" customFormat="1" ht="15" thickBot="1" x14ac:dyDescent="0.35">
      <c r="A276" s="110" t="s">
        <v>29</v>
      </c>
      <c r="B276" s="84">
        <f>SUM(B268:B275)</f>
        <v>38</v>
      </c>
      <c r="C276" s="110" t="str">
        <f xml:space="preserve"> setValueToTime(B276)</f>
        <v>3h10min</v>
      </c>
      <c r="D276" s="119"/>
      <c r="E276" s="269"/>
      <c r="F276" s="270"/>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43</v>
      </c>
      <c r="G278" s="46"/>
    </row>
    <row r="279" spans="1:7" s="47" customFormat="1" ht="30" customHeight="1" thickBot="1" x14ac:dyDescent="0.3">
      <c r="A279" s="80" t="s">
        <v>5</v>
      </c>
      <c r="B279" s="149" t="s">
        <v>40</v>
      </c>
      <c r="C279" s="150">
        <v>38</v>
      </c>
      <c r="D279" s="80" t="s">
        <v>13</v>
      </c>
      <c r="E279" s="271" t="s">
        <v>14</v>
      </c>
      <c r="F279" s="272"/>
      <c r="G279" s="46"/>
    </row>
    <row r="280" spans="1:7" s="52" customFormat="1" ht="27" x14ac:dyDescent="0.3">
      <c r="A280" s="48" t="s">
        <v>92</v>
      </c>
      <c r="B280" s="49">
        <v>20</v>
      </c>
      <c r="C280" s="151" t="str">
        <f xml:space="preserve"> IF(B280="","",setValueToTime(B280))</f>
        <v>1h40min</v>
      </c>
      <c r="D280" s="171" t="s">
        <v>116</v>
      </c>
      <c r="E280" s="273"/>
      <c r="F280" s="274"/>
      <c r="G280" s="51"/>
    </row>
    <row r="281" spans="1:7" s="52" customFormat="1" ht="27" x14ac:dyDescent="0.3">
      <c r="A281" s="53" t="s">
        <v>91</v>
      </c>
      <c r="B281" s="54">
        <v>16</v>
      </c>
      <c r="C281" s="152" t="str">
        <f t="shared" ref="C281:C282" si="32" xml:space="preserve"> IF(B281="","",setValueToTime(B281))</f>
        <v>1h20min</v>
      </c>
      <c r="D281" s="174" t="s">
        <v>117</v>
      </c>
      <c r="E281" s="265"/>
      <c r="F281" s="266"/>
      <c r="G281" s="51"/>
    </row>
    <row r="282" spans="1:7" s="52" customFormat="1" x14ac:dyDescent="0.3">
      <c r="A282" s="53" t="s">
        <v>17</v>
      </c>
      <c r="B282" s="54">
        <v>2</v>
      </c>
      <c r="C282" s="152" t="str">
        <f t="shared" si="32"/>
        <v>0h10min</v>
      </c>
      <c r="D282" s="174" t="s">
        <v>115</v>
      </c>
      <c r="E282" s="265"/>
      <c r="F282" s="266"/>
      <c r="G282" s="51"/>
    </row>
    <row r="283" spans="1:7" s="52" customFormat="1" x14ac:dyDescent="0.3">
      <c r="A283" s="53"/>
      <c r="B283" s="54"/>
      <c r="C283" s="152" t="str">
        <f t="shared" ref="C283:C287" si="33" xml:space="preserve"> IF(B283="","",setValueToTime(B283))</f>
        <v/>
      </c>
      <c r="D283" s="55"/>
      <c r="E283" s="265"/>
      <c r="F283" s="266"/>
      <c r="G283" s="51"/>
    </row>
    <row r="284" spans="1:7" s="52" customFormat="1" x14ac:dyDescent="0.3">
      <c r="A284" s="54"/>
      <c r="B284" s="54"/>
      <c r="C284" s="153" t="str">
        <f t="shared" si="33"/>
        <v/>
      </c>
      <c r="D284" s="55"/>
      <c r="E284" s="265"/>
      <c r="F284" s="266"/>
      <c r="G284" s="51"/>
    </row>
    <row r="285" spans="1:7" s="52" customFormat="1" x14ac:dyDescent="0.3">
      <c r="A285" s="54"/>
      <c r="B285" s="54"/>
      <c r="C285" s="153" t="str">
        <f t="shared" si="33"/>
        <v/>
      </c>
      <c r="D285" s="55"/>
      <c r="E285" s="265"/>
      <c r="F285" s="266"/>
      <c r="G285" s="51"/>
    </row>
    <row r="286" spans="1:7" s="52" customFormat="1" x14ac:dyDescent="0.3">
      <c r="A286" s="54"/>
      <c r="B286" s="54"/>
      <c r="C286" s="153" t="str">
        <f t="shared" si="33"/>
        <v/>
      </c>
      <c r="D286" s="55"/>
      <c r="E286" s="265"/>
      <c r="F286" s="266"/>
      <c r="G286" s="51"/>
    </row>
    <row r="287" spans="1:7" s="52" customFormat="1" ht="15" thickBot="1" x14ac:dyDescent="0.35">
      <c r="A287" s="56"/>
      <c r="B287" s="56"/>
      <c r="C287" s="154" t="str">
        <f t="shared" si="33"/>
        <v/>
      </c>
      <c r="D287" s="57"/>
      <c r="E287" s="267"/>
      <c r="F287" s="268"/>
      <c r="G287" s="51"/>
    </row>
    <row r="288" spans="1:7" s="52" customFormat="1" ht="15" thickBot="1" x14ac:dyDescent="0.35">
      <c r="A288" s="110" t="s">
        <v>29</v>
      </c>
      <c r="B288" s="84">
        <f>SUM(B280:B287)</f>
        <v>38</v>
      </c>
      <c r="C288" s="110" t="str">
        <f xml:space="preserve"> setValueToTime(B288)</f>
        <v>3h10min</v>
      </c>
      <c r="D288" s="119"/>
      <c r="E288" s="269"/>
      <c r="F288" s="270"/>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44</v>
      </c>
      <c r="G290" s="46"/>
    </row>
    <row r="291" spans="1:7" s="47" customFormat="1" ht="30" customHeight="1" thickBot="1" x14ac:dyDescent="0.3">
      <c r="A291" s="80" t="s">
        <v>5</v>
      </c>
      <c r="B291" s="149" t="s">
        <v>40</v>
      </c>
      <c r="C291" s="150">
        <v>48</v>
      </c>
      <c r="D291" s="80" t="s">
        <v>13</v>
      </c>
      <c r="E291" s="271" t="s">
        <v>14</v>
      </c>
      <c r="F291" s="272"/>
      <c r="G291" s="46"/>
    </row>
    <row r="292" spans="1:7" s="52" customFormat="1" x14ac:dyDescent="0.3">
      <c r="A292" s="48" t="s">
        <v>93</v>
      </c>
      <c r="B292" s="49">
        <v>2</v>
      </c>
      <c r="C292" s="151" t="str">
        <f xml:space="preserve"> IF(B292="","",setValueToTime(B292))</f>
        <v>0h10min</v>
      </c>
      <c r="D292" s="171" t="s">
        <v>111</v>
      </c>
      <c r="E292" s="273"/>
      <c r="F292" s="274"/>
      <c r="G292" s="51"/>
    </row>
    <row r="293" spans="1:7" s="52" customFormat="1" ht="27" x14ac:dyDescent="0.3">
      <c r="A293" s="53" t="s">
        <v>87</v>
      </c>
      <c r="B293" s="54">
        <v>28</v>
      </c>
      <c r="C293" s="152" t="str">
        <f t="shared" ref="C293:C296" si="34" xml:space="preserve"> IF(B293="","",setValueToTime(B293))</f>
        <v>2h20min</v>
      </c>
      <c r="D293" s="174" t="s">
        <v>112</v>
      </c>
      <c r="E293" s="265"/>
      <c r="F293" s="266"/>
      <c r="G293" s="51"/>
    </row>
    <row r="294" spans="1:7" s="52" customFormat="1" ht="27" x14ac:dyDescent="0.3">
      <c r="A294" s="53" t="s">
        <v>92</v>
      </c>
      <c r="B294" s="54">
        <v>15</v>
      </c>
      <c r="C294" s="152" t="str">
        <f t="shared" si="34"/>
        <v>1h15min</v>
      </c>
      <c r="D294" s="174" t="s">
        <v>113</v>
      </c>
      <c r="E294" s="265"/>
      <c r="F294" s="266"/>
      <c r="G294" s="51"/>
    </row>
    <row r="295" spans="1:7" s="52" customFormat="1" x14ac:dyDescent="0.3">
      <c r="A295" s="53" t="s">
        <v>101</v>
      </c>
      <c r="B295" s="54">
        <v>1</v>
      </c>
      <c r="C295" s="152" t="str">
        <f t="shared" si="34"/>
        <v>0h5min</v>
      </c>
      <c r="D295" s="174" t="s">
        <v>114</v>
      </c>
      <c r="E295" s="265"/>
      <c r="F295" s="266"/>
      <c r="G295" s="51"/>
    </row>
    <row r="296" spans="1:7" s="52" customFormat="1" x14ac:dyDescent="0.3">
      <c r="A296" s="53" t="s">
        <v>17</v>
      </c>
      <c r="B296" s="54">
        <v>2</v>
      </c>
      <c r="C296" s="152" t="str">
        <f t="shared" si="34"/>
        <v>0h10min</v>
      </c>
      <c r="D296" s="174" t="s">
        <v>115</v>
      </c>
      <c r="E296" s="265"/>
      <c r="F296" s="266"/>
      <c r="G296" s="51"/>
    </row>
    <row r="297" spans="1:7" s="52" customFormat="1" x14ac:dyDescent="0.3">
      <c r="A297" s="54"/>
      <c r="B297" s="54"/>
      <c r="C297" s="153" t="str">
        <f t="shared" ref="C297:C299" si="35" xml:space="preserve"> IF(B297="","",setValueToTime(B297))</f>
        <v/>
      </c>
      <c r="D297" s="55"/>
      <c r="E297" s="265"/>
      <c r="F297" s="266"/>
      <c r="G297" s="51"/>
    </row>
    <row r="298" spans="1:7" s="52" customFormat="1" x14ac:dyDescent="0.3">
      <c r="A298" s="54"/>
      <c r="B298" s="54"/>
      <c r="C298" s="153" t="str">
        <f t="shared" si="35"/>
        <v/>
      </c>
      <c r="D298" s="55"/>
      <c r="E298" s="265"/>
      <c r="F298" s="266"/>
      <c r="G298" s="51"/>
    </row>
    <row r="299" spans="1:7" s="52" customFormat="1" ht="15" thickBot="1" x14ac:dyDescent="0.35">
      <c r="A299" s="56"/>
      <c r="B299" s="56"/>
      <c r="C299" s="154" t="str">
        <f t="shared" si="35"/>
        <v/>
      </c>
      <c r="D299" s="57"/>
      <c r="E299" s="267"/>
      <c r="F299" s="268"/>
      <c r="G299" s="51"/>
    </row>
    <row r="300" spans="1:7" s="52" customFormat="1" ht="15" thickBot="1" x14ac:dyDescent="0.35">
      <c r="A300" s="110" t="s">
        <v>29</v>
      </c>
      <c r="B300" s="84">
        <f>SUM(B292:B299)</f>
        <v>48</v>
      </c>
      <c r="C300" s="110" t="str">
        <f xml:space="preserve"> setValueToTime(B300)</f>
        <v>4h</v>
      </c>
      <c r="D300" s="119"/>
      <c r="E300" s="269"/>
      <c r="F300" s="270"/>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43</v>
      </c>
      <c r="G302" s="46"/>
    </row>
    <row r="303" spans="1:7" s="47" customFormat="1" ht="30" customHeight="1" thickBot="1" x14ac:dyDescent="0.3">
      <c r="A303" s="80" t="s">
        <v>5</v>
      </c>
      <c r="B303" s="149" t="s">
        <v>40</v>
      </c>
      <c r="C303" s="150">
        <v>38</v>
      </c>
      <c r="D303" s="80" t="s">
        <v>13</v>
      </c>
      <c r="E303" s="271" t="s">
        <v>14</v>
      </c>
      <c r="F303" s="272"/>
      <c r="G303" s="46"/>
    </row>
    <row r="304" spans="1:7" s="52" customFormat="1" x14ac:dyDescent="0.3">
      <c r="A304" s="48" t="s">
        <v>88</v>
      </c>
      <c r="B304" s="49">
        <v>6</v>
      </c>
      <c r="C304" s="151" t="str">
        <f xml:space="preserve"> IF(B304="","",setValueToTime(B304))</f>
        <v>0h30min</v>
      </c>
      <c r="D304" s="171" t="s">
        <v>107</v>
      </c>
      <c r="E304" s="273"/>
      <c r="F304" s="274"/>
      <c r="G304" s="51"/>
    </row>
    <row r="305" spans="1:7" s="52" customFormat="1" x14ac:dyDescent="0.3">
      <c r="A305" s="53" t="s">
        <v>89</v>
      </c>
      <c r="B305" s="54">
        <v>7</v>
      </c>
      <c r="C305" s="152" t="str">
        <f t="shared" ref="C305:C308" si="36" xml:space="preserve"> IF(B305="","",setValueToTime(B305))</f>
        <v>0h35min</v>
      </c>
      <c r="D305" s="174" t="s">
        <v>108</v>
      </c>
      <c r="E305" s="265"/>
      <c r="F305" s="266"/>
      <c r="G305" s="51"/>
    </row>
    <row r="306" spans="1:7" s="52" customFormat="1" ht="27" x14ac:dyDescent="0.3">
      <c r="A306" s="53" t="s">
        <v>87</v>
      </c>
      <c r="B306" s="54">
        <v>20</v>
      </c>
      <c r="C306" s="152" t="str">
        <f t="shared" si="36"/>
        <v>1h40min</v>
      </c>
      <c r="D306" s="174" t="s">
        <v>109</v>
      </c>
      <c r="E306" s="265"/>
      <c r="F306" s="266"/>
      <c r="G306" s="51"/>
    </row>
    <row r="307" spans="1:7" s="52" customFormat="1" x14ac:dyDescent="0.3">
      <c r="A307" s="53" t="s">
        <v>93</v>
      </c>
      <c r="B307" s="54">
        <v>5</v>
      </c>
      <c r="C307" s="152" t="str">
        <f t="shared" si="36"/>
        <v>0h25min</v>
      </c>
      <c r="D307" s="174" t="s">
        <v>110</v>
      </c>
      <c r="E307" s="265"/>
      <c r="F307" s="266"/>
      <c r="G307" s="51"/>
    </row>
    <row r="308" spans="1:7" s="52" customFormat="1" x14ac:dyDescent="0.3">
      <c r="A308" s="54"/>
      <c r="B308" s="54"/>
      <c r="C308" s="153" t="str">
        <f t="shared" si="36"/>
        <v/>
      </c>
      <c r="D308" s="55"/>
      <c r="E308" s="265"/>
      <c r="F308" s="266"/>
      <c r="G308" s="51"/>
    </row>
    <row r="309" spans="1:7" s="52" customFormat="1" x14ac:dyDescent="0.3">
      <c r="A309" s="54"/>
      <c r="B309" s="54"/>
      <c r="C309" s="153" t="str">
        <f t="shared" ref="C309:C311" si="37" xml:space="preserve"> IF(B309="","",setValueToTime(B309))</f>
        <v/>
      </c>
      <c r="D309" s="55"/>
      <c r="E309" s="265"/>
      <c r="F309" s="266"/>
      <c r="G309" s="51"/>
    </row>
    <row r="310" spans="1:7" s="52" customFormat="1" x14ac:dyDescent="0.3">
      <c r="A310" s="54"/>
      <c r="B310" s="54"/>
      <c r="C310" s="153" t="str">
        <f t="shared" si="37"/>
        <v/>
      </c>
      <c r="D310" s="55"/>
      <c r="E310" s="265"/>
      <c r="F310" s="266"/>
      <c r="G310" s="51"/>
    </row>
    <row r="311" spans="1:7" s="52" customFormat="1" ht="15" thickBot="1" x14ac:dyDescent="0.35">
      <c r="A311" s="56"/>
      <c r="B311" s="56"/>
      <c r="C311" s="154" t="str">
        <f t="shared" si="37"/>
        <v/>
      </c>
      <c r="D311" s="57"/>
      <c r="E311" s="267"/>
      <c r="F311" s="268"/>
      <c r="G311" s="51"/>
    </row>
    <row r="312" spans="1:7" s="52" customFormat="1" ht="15" thickBot="1" x14ac:dyDescent="0.35">
      <c r="A312" s="110" t="s">
        <v>29</v>
      </c>
      <c r="B312" s="84">
        <f>SUM(B304:B311)</f>
        <v>38</v>
      </c>
      <c r="C312" s="110" t="str">
        <f xml:space="preserve"> setValueToTime(B312)</f>
        <v>3h10min</v>
      </c>
      <c r="D312" s="119"/>
      <c r="E312" s="269"/>
      <c r="F312" s="270"/>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44" priority="43" operator="greaterThan">
      <formula>60</formula>
    </cfRule>
  </conditionalFormatting>
  <conditionalFormatting sqref="B300">
    <cfRule type="cellIs" dxfId="43" priority="42" operator="greaterThan">
      <formula>60</formula>
    </cfRule>
  </conditionalFormatting>
  <conditionalFormatting sqref="B288">
    <cfRule type="cellIs" dxfId="42" priority="41" operator="greaterThan">
      <formula>60</formula>
    </cfRule>
  </conditionalFormatting>
  <conditionalFormatting sqref="B276">
    <cfRule type="cellIs" dxfId="41" priority="40" operator="greaterThan">
      <formula>60</formula>
    </cfRule>
  </conditionalFormatting>
  <conditionalFormatting sqref="B264">
    <cfRule type="cellIs" dxfId="40" priority="39" operator="greaterThan">
      <formula>60</formula>
    </cfRule>
  </conditionalFormatting>
  <conditionalFormatting sqref="B252">
    <cfRule type="cellIs" dxfId="39" priority="38" operator="greaterThan">
      <formula>60</formula>
    </cfRule>
  </conditionalFormatting>
  <conditionalFormatting sqref="B240">
    <cfRule type="cellIs" dxfId="38" priority="37" operator="greaterThan">
      <formula>60</formula>
    </cfRule>
  </conditionalFormatting>
  <conditionalFormatting sqref="B228">
    <cfRule type="cellIs" dxfId="37" priority="36" operator="greaterThan">
      <formula>60</formula>
    </cfRule>
  </conditionalFormatting>
  <conditionalFormatting sqref="B216">
    <cfRule type="cellIs" dxfId="36" priority="35" operator="greaterThan">
      <formula>60</formula>
    </cfRule>
  </conditionalFormatting>
  <conditionalFormatting sqref="B204">
    <cfRule type="cellIs" dxfId="35" priority="34" operator="greaterThan">
      <formula>60</formula>
    </cfRule>
  </conditionalFormatting>
  <conditionalFormatting sqref="B192">
    <cfRule type="cellIs" dxfId="34" priority="33" operator="greaterThan">
      <formula>60</formula>
    </cfRule>
  </conditionalFormatting>
  <conditionalFormatting sqref="B180">
    <cfRule type="cellIs" dxfId="33" priority="32" operator="greaterThan">
      <formula>60</formula>
    </cfRule>
  </conditionalFormatting>
  <conditionalFormatting sqref="B168">
    <cfRule type="cellIs" dxfId="32" priority="31" operator="greaterThan">
      <formula>60</formula>
    </cfRule>
  </conditionalFormatting>
  <conditionalFormatting sqref="B156">
    <cfRule type="cellIs" dxfId="31" priority="30" operator="greaterThan">
      <formula>60</formula>
    </cfRule>
  </conditionalFormatting>
  <conditionalFormatting sqref="B144">
    <cfRule type="cellIs" dxfId="30" priority="29" operator="greaterThan">
      <formula>60</formula>
    </cfRule>
  </conditionalFormatting>
  <conditionalFormatting sqref="B132">
    <cfRule type="cellIs" dxfId="29" priority="28" operator="greaterThan">
      <formula>60</formula>
    </cfRule>
  </conditionalFormatting>
  <conditionalFormatting sqref="B120">
    <cfRule type="cellIs" dxfId="28" priority="27" operator="greaterThan">
      <formula>60</formula>
    </cfRule>
  </conditionalFormatting>
  <conditionalFormatting sqref="B108">
    <cfRule type="cellIs" dxfId="27" priority="26" operator="greaterThan">
      <formula>60</formula>
    </cfRule>
  </conditionalFormatting>
  <conditionalFormatting sqref="B96">
    <cfRule type="cellIs" dxfId="26" priority="25" operator="greaterThan">
      <formula>60</formula>
    </cfRule>
  </conditionalFormatting>
  <conditionalFormatting sqref="B84">
    <cfRule type="cellIs" dxfId="25" priority="24" operator="greaterThan">
      <formula>60</formula>
    </cfRule>
  </conditionalFormatting>
  <conditionalFormatting sqref="B72">
    <cfRule type="cellIs" dxfId="24" priority="23" operator="greaterThan">
      <formula>60</formula>
    </cfRule>
  </conditionalFormatting>
  <conditionalFormatting sqref="B60">
    <cfRule type="cellIs" dxfId="23" priority="22" operator="greaterThan">
      <formula>60</formula>
    </cfRule>
  </conditionalFormatting>
  <conditionalFormatting sqref="B48">
    <cfRule type="cellIs" dxfId="22" priority="21" operator="greaterThan">
      <formula>60</formula>
    </cfRule>
  </conditionalFormatting>
  <conditionalFormatting sqref="B36">
    <cfRule type="cellIs" dxfId="21" priority="20" operator="greaterThan">
      <formula>60</formula>
    </cfRule>
  </conditionalFormatting>
  <conditionalFormatting sqref="B24">
    <cfRule type="cellIs" dxfId="20" priority="19" operator="greaterThan">
      <formula>60</formula>
    </cfRule>
  </conditionalFormatting>
  <conditionalFormatting sqref="B12">
    <cfRule type="cellIs" dxfId="1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I481"/>
  <sheetViews>
    <sheetView showGridLines="0" tabSelected="1" zoomScaleNormal="100" zoomScaleSheetLayoutView="98" workbookViewId="0">
      <pane ySplit="1" topLeftCell="A18" activePane="bottomLeft" state="frozen"/>
      <selection pane="bottomLeft" activeCell="D12" sqref="D12"/>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7" ht="49.9" customHeight="1" thickBot="1" x14ac:dyDescent="0.35"/>
    <row r="2" spans="1:7" s="47" customFormat="1" ht="30" customHeight="1" thickBot="1" x14ac:dyDescent="0.3">
      <c r="A2" s="155" t="s">
        <v>12</v>
      </c>
      <c r="B2" s="163">
        <v>17</v>
      </c>
      <c r="C2" s="163"/>
      <c r="D2" s="156" t="s">
        <v>15</v>
      </c>
      <c r="E2" s="157" t="s">
        <v>79</v>
      </c>
      <c r="F2" s="158" t="s">
        <v>43</v>
      </c>
      <c r="G2" s="46"/>
    </row>
    <row r="3" spans="1:7" s="47" customFormat="1" ht="30" customHeight="1" thickBot="1" x14ac:dyDescent="0.3">
      <c r="A3" s="78" t="s">
        <v>5</v>
      </c>
      <c r="B3" s="160" t="s">
        <v>40</v>
      </c>
      <c r="C3" s="159"/>
      <c r="D3" s="78" t="s">
        <v>13</v>
      </c>
      <c r="E3" s="275" t="s">
        <v>14</v>
      </c>
      <c r="F3" s="276"/>
      <c r="G3" s="46"/>
    </row>
    <row r="4" spans="1:7" s="52" customFormat="1" x14ac:dyDescent="0.3">
      <c r="A4" s="48" t="s">
        <v>16</v>
      </c>
      <c r="B4" s="49">
        <v>3</v>
      </c>
      <c r="C4" s="151" t="str">
        <f xml:space="preserve"> IF(B4="","",setValueToTime(B4))</f>
        <v>0h15min</v>
      </c>
      <c r="D4" s="171" t="s">
        <v>266</v>
      </c>
      <c r="E4" s="273"/>
      <c r="F4" s="274"/>
      <c r="G4" s="51"/>
    </row>
    <row r="5" spans="1:7" s="52" customFormat="1" ht="121.5" x14ac:dyDescent="0.3">
      <c r="A5" s="53" t="s">
        <v>94</v>
      </c>
      <c r="B5" s="54">
        <v>21</v>
      </c>
      <c r="C5" s="152" t="str">
        <f t="shared" ref="C5:C11" si="0" xml:space="preserve"> IF(B5="","",setValueToTime(B5))</f>
        <v>1h45min</v>
      </c>
      <c r="D5" s="174" t="s">
        <v>270</v>
      </c>
      <c r="E5" s="265"/>
      <c r="F5" s="266"/>
      <c r="G5" s="51"/>
    </row>
    <row r="6" spans="1:7" s="52" customFormat="1" ht="54" x14ac:dyDescent="0.3">
      <c r="A6" s="53" t="s">
        <v>96</v>
      </c>
      <c r="B6" s="54">
        <v>9</v>
      </c>
      <c r="C6" s="152" t="str">
        <f t="shared" si="0"/>
        <v>0h45min</v>
      </c>
      <c r="D6" s="174" t="s">
        <v>268</v>
      </c>
      <c r="E6" s="280" t="s">
        <v>238</v>
      </c>
      <c r="F6" s="266"/>
      <c r="G6" s="51"/>
    </row>
    <row r="7" spans="1:7" s="52" customFormat="1" ht="27" x14ac:dyDescent="0.3">
      <c r="A7" s="53" t="s">
        <v>101</v>
      </c>
      <c r="B7" s="54">
        <v>2</v>
      </c>
      <c r="C7" s="152" t="str">
        <f t="shared" si="0"/>
        <v>0h10min</v>
      </c>
      <c r="D7" s="174" t="s">
        <v>267</v>
      </c>
      <c r="E7" s="265"/>
      <c r="F7" s="266"/>
      <c r="G7" s="51"/>
    </row>
    <row r="8" spans="1:7" s="52" customFormat="1" ht="27" x14ac:dyDescent="0.3">
      <c r="A8" s="54" t="s">
        <v>17</v>
      </c>
      <c r="B8" s="54">
        <v>3</v>
      </c>
      <c r="C8" s="153" t="str">
        <f t="shared" si="0"/>
        <v>0h15min</v>
      </c>
      <c r="D8" s="174" t="s">
        <v>221</v>
      </c>
      <c r="E8" s="265"/>
      <c r="F8" s="266"/>
      <c r="G8" s="51"/>
    </row>
    <row r="9" spans="1:7" s="52" customFormat="1" x14ac:dyDescent="0.3">
      <c r="A9" s="54"/>
      <c r="B9" s="54"/>
      <c r="C9" s="153" t="str">
        <f t="shared" si="0"/>
        <v/>
      </c>
      <c r="D9" s="55"/>
      <c r="E9" s="265"/>
      <c r="F9" s="266"/>
      <c r="G9" s="51"/>
    </row>
    <row r="10" spans="1:7" s="52" customFormat="1" x14ac:dyDescent="0.3">
      <c r="A10" s="54"/>
      <c r="B10" s="54"/>
      <c r="C10" s="153" t="str">
        <f t="shared" si="0"/>
        <v/>
      </c>
      <c r="D10" s="55"/>
      <c r="E10" s="265"/>
      <c r="F10" s="266"/>
      <c r="G10" s="51"/>
    </row>
    <row r="11" spans="1:7" s="52" customFormat="1" ht="15" thickBot="1" x14ac:dyDescent="0.35">
      <c r="A11" s="56"/>
      <c r="B11" s="56"/>
      <c r="C11" s="154" t="str">
        <f t="shared" si="0"/>
        <v/>
      </c>
      <c r="D11" s="57"/>
      <c r="E11" s="267"/>
      <c r="F11" s="268"/>
      <c r="G11" s="51"/>
    </row>
    <row r="12" spans="1:7" s="52" customFormat="1" ht="15" thickBot="1" x14ac:dyDescent="0.35">
      <c r="A12" s="161" t="s">
        <v>29</v>
      </c>
      <c r="B12" s="83">
        <f>SUM(B4:B11)</f>
        <v>38</v>
      </c>
      <c r="C12" s="161" t="str">
        <f xml:space="preserve"> setValueToTime(B12)</f>
        <v>3h10min</v>
      </c>
      <c r="D12" s="120"/>
      <c r="E12" s="278"/>
      <c r="F12" s="279"/>
      <c r="G12" s="51"/>
    </row>
    <row r="13" spans="1:7" s="59" customFormat="1" ht="15" thickBot="1" x14ac:dyDescent="0.35">
      <c r="A13" s="77"/>
      <c r="B13" s="77"/>
      <c r="C13" s="77"/>
      <c r="D13" s="77"/>
      <c r="E13" s="77"/>
      <c r="F13" s="77"/>
      <c r="G13" s="58"/>
    </row>
    <row r="14" spans="1:7" s="47" customFormat="1" ht="30" customHeight="1" thickBot="1" x14ac:dyDescent="0.3">
      <c r="A14" s="155" t="s">
        <v>12</v>
      </c>
      <c r="B14" s="163">
        <v>16</v>
      </c>
      <c r="C14" s="163"/>
      <c r="D14" s="156" t="s">
        <v>15</v>
      </c>
      <c r="E14" s="157" t="s">
        <v>79</v>
      </c>
      <c r="F14" s="158" t="s">
        <v>44</v>
      </c>
      <c r="G14" s="46"/>
    </row>
    <row r="15" spans="1:7" s="47" customFormat="1" ht="30" customHeight="1" thickBot="1" x14ac:dyDescent="0.3">
      <c r="A15" s="78" t="s">
        <v>5</v>
      </c>
      <c r="B15" s="160" t="s">
        <v>40</v>
      </c>
      <c r="C15" s="159"/>
      <c r="D15" s="78" t="s">
        <v>13</v>
      </c>
      <c r="E15" s="275" t="s">
        <v>14</v>
      </c>
      <c r="F15" s="276"/>
      <c r="G15" s="46"/>
    </row>
    <row r="16" spans="1:7" s="52" customFormat="1" ht="175.5" x14ac:dyDescent="0.3">
      <c r="A16" s="48" t="s">
        <v>94</v>
      </c>
      <c r="B16" s="49">
        <v>36</v>
      </c>
      <c r="C16" s="151" t="str">
        <f xml:space="preserve"> IF(B16="","",setValueToTime(B16))</f>
        <v>3h</v>
      </c>
      <c r="D16" s="171" t="s">
        <v>269</v>
      </c>
      <c r="E16" s="277" t="s">
        <v>264</v>
      </c>
      <c r="F16" s="274"/>
      <c r="G16" s="51"/>
    </row>
    <row r="17" spans="1:7" s="52" customFormat="1" ht="27" x14ac:dyDescent="0.3">
      <c r="A17" s="53" t="s">
        <v>95</v>
      </c>
      <c r="B17" s="54">
        <v>9</v>
      </c>
      <c r="C17" s="152" t="str">
        <f t="shared" ref="C17:C19" si="1" xml:space="preserve"> IF(B17="","",setValueToTime(B17))</f>
        <v>0h45min</v>
      </c>
      <c r="D17" s="174" t="s">
        <v>265</v>
      </c>
      <c r="E17" s="265"/>
      <c r="F17" s="266"/>
      <c r="G17" s="51"/>
    </row>
    <row r="18" spans="1:7" s="52" customFormat="1" ht="27" x14ac:dyDescent="0.3">
      <c r="A18" s="53" t="s">
        <v>17</v>
      </c>
      <c r="B18" s="54">
        <v>3</v>
      </c>
      <c r="C18" s="152" t="str">
        <f t="shared" si="1"/>
        <v>0h15min</v>
      </c>
      <c r="D18" s="174" t="s">
        <v>221</v>
      </c>
      <c r="E18" s="265"/>
      <c r="F18" s="266"/>
      <c r="G18" s="51"/>
    </row>
    <row r="19" spans="1:7" s="52" customFormat="1" ht="15" thickBot="1" x14ac:dyDescent="0.35">
      <c r="A19" s="53"/>
      <c r="B19" s="54"/>
      <c r="C19" s="152" t="str">
        <f t="shared" si="1"/>
        <v/>
      </c>
      <c r="D19" s="55"/>
      <c r="E19" s="265"/>
      <c r="F19" s="266"/>
      <c r="G19" s="51"/>
    </row>
    <row r="20" spans="1:7" s="52" customFormat="1" ht="15" thickBot="1" x14ac:dyDescent="0.35">
      <c r="A20" s="161" t="s">
        <v>29</v>
      </c>
      <c r="B20" s="83">
        <f>SUM(B16:B19)</f>
        <v>48</v>
      </c>
      <c r="C20" s="161" t="str">
        <f xml:space="preserve"> setValueToTime(B20)</f>
        <v>4h</v>
      </c>
      <c r="D20" s="120"/>
      <c r="E20" s="278"/>
      <c r="F20" s="279"/>
      <c r="G20" s="51"/>
    </row>
    <row r="21" spans="1:7" s="52" customFormat="1" ht="15" thickBot="1" x14ac:dyDescent="0.35">
      <c r="A21" s="77"/>
      <c r="B21" s="77"/>
      <c r="C21" s="77"/>
      <c r="D21" s="77"/>
      <c r="E21" s="77"/>
      <c r="F21" s="77"/>
      <c r="G21" s="51"/>
    </row>
    <row r="22" spans="1:7" s="52" customFormat="1" ht="18.75" thickBot="1" x14ac:dyDescent="0.35">
      <c r="A22" s="155" t="s">
        <v>12</v>
      </c>
      <c r="B22" s="163">
        <v>15</v>
      </c>
      <c r="C22" s="163"/>
      <c r="D22" s="156" t="s">
        <v>15</v>
      </c>
      <c r="E22" s="157" t="s">
        <v>80</v>
      </c>
      <c r="F22" s="158" t="s">
        <v>43</v>
      </c>
      <c r="G22" s="51"/>
    </row>
    <row r="23" spans="1:7" s="52" customFormat="1" ht="27.75" thickBot="1" x14ac:dyDescent="0.35">
      <c r="A23" s="78" t="s">
        <v>5</v>
      </c>
      <c r="B23" s="160" t="s">
        <v>40</v>
      </c>
      <c r="C23" s="159"/>
      <c r="D23" s="78" t="s">
        <v>13</v>
      </c>
      <c r="E23" s="275" t="s">
        <v>14</v>
      </c>
      <c r="F23" s="276"/>
      <c r="G23" s="51"/>
    </row>
    <row r="24" spans="1:7" s="52" customFormat="1" x14ac:dyDescent="0.3">
      <c r="A24" s="48"/>
      <c r="B24" s="49"/>
      <c r="C24" s="151" t="str">
        <f xml:space="preserve"> IF(B24="","",setValueToTime(B24))</f>
        <v/>
      </c>
      <c r="D24" s="171"/>
      <c r="E24" s="277" t="s">
        <v>258</v>
      </c>
      <c r="F24" s="274"/>
      <c r="G24" s="51"/>
    </row>
    <row r="25" spans="1:7" s="59" customFormat="1" ht="15" thickBot="1" x14ac:dyDescent="0.35">
      <c r="A25" s="53"/>
      <c r="B25" s="54"/>
      <c r="C25" s="152" t="str">
        <f t="shared" ref="C25:C31" si="2" xml:space="preserve"> IF(B25="","",setValueToTime(B25))</f>
        <v/>
      </c>
      <c r="D25" s="174"/>
      <c r="E25" s="280" t="s">
        <v>259</v>
      </c>
      <c r="F25" s="266"/>
      <c r="G25" s="58"/>
    </row>
    <row r="26" spans="1:7" s="47" customFormat="1" ht="30" customHeight="1" thickBot="1" x14ac:dyDescent="0.3">
      <c r="A26" s="53" t="s">
        <v>94</v>
      </c>
      <c r="B26" s="54">
        <v>25</v>
      </c>
      <c r="C26" s="152" t="str">
        <f t="shared" si="2"/>
        <v>2h5min</v>
      </c>
      <c r="D26" s="174" t="s">
        <v>257</v>
      </c>
      <c r="E26" s="280" t="s">
        <v>260</v>
      </c>
      <c r="F26" s="266"/>
      <c r="G26" s="78" t="s">
        <v>163</v>
      </c>
    </row>
    <row r="27" spans="1:7" s="47" customFormat="1" ht="30" customHeight="1" x14ac:dyDescent="0.25">
      <c r="A27" s="53" t="s">
        <v>16</v>
      </c>
      <c r="B27" s="54">
        <v>5</v>
      </c>
      <c r="C27" s="152" t="str">
        <f t="shared" si="2"/>
        <v>0h25min</v>
      </c>
      <c r="D27" s="174" t="s">
        <v>261</v>
      </c>
      <c r="E27" s="265"/>
      <c r="F27" s="266"/>
      <c r="G27" s="286" t="s">
        <v>262</v>
      </c>
    </row>
    <row r="28" spans="1:7" s="52" customFormat="1" ht="14.25" customHeight="1" x14ac:dyDescent="0.3">
      <c r="A28" s="54" t="s">
        <v>17</v>
      </c>
      <c r="B28" s="54">
        <v>6</v>
      </c>
      <c r="C28" s="153" t="str">
        <f t="shared" si="2"/>
        <v>0h30min</v>
      </c>
      <c r="D28" s="174" t="s">
        <v>253</v>
      </c>
      <c r="E28" s="265"/>
      <c r="F28" s="266"/>
      <c r="G28" s="287"/>
    </row>
    <row r="29" spans="1:7" s="52" customFormat="1" ht="27" customHeight="1" x14ac:dyDescent="0.3">
      <c r="A29" s="54" t="s">
        <v>101</v>
      </c>
      <c r="B29" s="54">
        <v>2</v>
      </c>
      <c r="C29" s="153" t="str">
        <f t="shared" si="2"/>
        <v>0h10min</v>
      </c>
      <c r="D29" s="174" t="s">
        <v>254</v>
      </c>
      <c r="E29" s="265"/>
      <c r="F29" s="266"/>
      <c r="G29" s="287"/>
    </row>
    <row r="30" spans="1:7" s="52" customFormat="1" x14ac:dyDescent="0.3">
      <c r="A30" s="54"/>
      <c r="B30" s="54"/>
      <c r="C30" s="153" t="str">
        <f t="shared" si="2"/>
        <v/>
      </c>
      <c r="D30" s="55"/>
      <c r="E30" s="265"/>
      <c r="F30" s="266"/>
      <c r="G30" s="287"/>
    </row>
    <row r="31" spans="1:7" s="52" customFormat="1" ht="15" thickBot="1" x14ac:dyDescent="0.35">
      <c r="A31" s="56"/>
      <c r="B31" s="56"/>
      <c r="C31" s="154" t="str">
        <f t="shared" si="2"/>
        <v/>
      </c>
      <c r="D31" s="57"/>
      <c r="E31" s="267"/>
      <c r="F31" s="268"/>
      <c r="G31" s="287"/>
    </row>
    <row r="32" spans="1:7" s="52" customFormat="1" ht="15" thickBot="1" x14ac:dyDescent="0.35">
      <c r="A32" s="161" t="s">
        <v>29</v>
      </c>
      <c r="B32" s="83">
        <f>SUM(B24:B31)</f>
        <v>38</v>
      </c>
      <c r="C32" s="161" t="str">
        <f xml:space="preserve"> setValueToTime(B32)</f>
        <v>3h10min</v>
      </c>
      <c r="D32" s="120"/>
      <c r="E32" s="278"/>
      <c r="F32" s="279"/>
      <c r="G32" s="287"/>
    </row>
    <row r="33" spans="1:7" s="52" customFormat="1" ht="15" thickBot="1" x14ac:dyDescent="0.35">
      <c r="A33" s="77"/>
      <c r="B33" s="77"/>
      <c r="C33" s="77"/>
      <c r="D33" s="77"/>
      <c r="E33" s="77"/>
      <c r="F33" s="77"/>
      <c r="G33" s="51"/>
    </row>
    <row r="34" spans="1:7" s="52" customFormat="1" ht="18.75" thickBot="1" x14ac:dyDescent="0.35">
      <c r="A34" s="155" t="s">
        <v>12</v>
      </c>
      <c r="B34" s="163">
        <v>14</v>
      </c>
      <c r="C34" s="163"/>
      <c r="D34" s="156" t="s">
        <v>15</v>
      </c>
      <c r="E34" s="157" t="s">
        <v>80</v>
      </c>
      <c r="F34" s="158" t="s">
        <v>44</v>
      </c>
      <c r="G34" s="51"/>
    </row>
    <row r="35" spans="1:7" s="52" customFormat="1" ht="27.75" thickBot="1" x14ac:dyDescent="0.35">
      <c r="A35" s="78" t="s">
        <v>5</v>
      </c>
      <c r="B35" s="160" t="s">
        <v>40</v>
      </c>
      <c r="C35" s="159"/>
      <c r="D35" s="78" t="s">
        <v>13</v>
      </c>
      <c r="E35" s="275" t="s">
        <v>14</v>
      </c>
      <c r="F35" s="276"/>
      <c r="G35" s="51"/>
    </row>
    <row r="36" spans="1:7" s="52" customFormat="1" ht="27" x14ac:dyDescent="0.3">
      <c r="A36" s="48" t="s">
        <v>4</v>
      </c>
      <c r="B36" s="49">
        <v>6</v>
      </c>
      <c r="C36" s="151" t="str">
        <f xml:space="preserve"> IF(B36="","",setValueToTime(B36))</f>
        <v>0h30min</v>
      </c>
      <c r="D36" s="171" t="s">
        <v>243</v>
      </c>
      <c r="E36" s="273"/>
      <c r="F36" s="274"/>
      <c r="G36" s="51"/>
    </row>
    <row r="37" spans="1:7" s="59" customFormat="1" ht="27" x14ac:dyDescent="0.3">
      <c r="A37" s="53" t="s">
        <v>95</v>
      </c>
      <c r="B37" s="54">
        <v>8</v>
      </c>
      <c r="C37" s="152" t="str">
        <f t="shared" ref="C37:C41" si="3" xml:space="preserve"> IF(B37="","",setValueToTime(B37))</f>
        <v>0h40min</v>
      </c>
      <c r="D37" s="174" t="s">
        <v>244</v>
      </c>
      <c r="E37" s="265"/>
      <c r="F37" s="266"/>
      <c r="G37" s="58"/>
    </row>
    <row r="38" spans="1:7" s="47" customFormat="1" ht="30" customHeight="1" x14ac:dyDescent="0.25">
      <c r="A38" s="53" t="s">
        <v>16</v>
      </c>
      <c r="B38" s="54">
        <v>14</v>
      </c>
      <c r="C38" s="152" t="str">
        <f t="shared" si="3"/>
        <v>1h10min</v>
      </c>
      <c r="D38" s="174" t="s">
        <v>246</v>
      </c>
      <c r="E38" s="265"/>
      <c r="F38" s="266"/>
      <c r="G38" s="46"/>
    </row>
    <row r="39" spans="1:7" s="47" customFormat="1" ht="30" customHeight="1" x14ac:dyDescent="0.25">
      <c r="A39" s="53" t="s">
        <v>96</v>
      </c>
      <c r="B39" s="54">
        <v>10</v>
      </c>
      <c r="C39" s="152" t="str">
        <f t="shared" si="3"/>
        <v>0h50min</v>
      </c>
      <c r="D39" s="174" t="s">
        <v>245</v>
      </c>
      <c r="E39" s="280" t="s">
        <v>247</v>
      </c>
      <c r="F39" s="266"/>
      <c r="G39" s="46"/>
    </row>
    <row r="40" spans="1:7" s="52" customFormat="1" ht="15" thickBot="1" x14ac:dyDescent="0.35">
      <c r="A40" s="54"/>
      <c r="B40" s="54"/>
      <c r="C40" s="153" t="str">
        <f t="shared" si="3"/>
        <v/>
      </c>
      <c r="D40" s="174"/>
      <c r="E40" s="280" t="s">
        <v>248</v>
      </c>
      <c r="F40" s="266"/>
      <c r="G40" s="51"/>
    </row>
    <row r="41" spans="1:7" s="52" customFormat="1" ht="15" thickBot="1" x14ac:dyDescent="0.35">
      <c r="A41" s="54"/>
      <c r="B41" s="54"/>
      <c r="C41" s="153" t="str">
        <f t="shared" si="3"/>
        <v/>
      </c>
      <c r="D41" s="171"/>
      <c r="E41" s="280" t="s">
        <v>249</v>
      </c>
      <c r="F41" s="266"/>
      <c r="G41" s="51"/>
    </row>
    <row r="42" spans="1:7" s="52" customFormat="1" ht="15" thickBot="1" x14ac:dyDescent="0.35">
      <c r="A42" s="161" t="s">
        <v>29</v>
      </c>
      <c r="B42" s="83">
        <f>SUM(B36:B41)</f>
        <v>38</v>
      </c>
      <c r="C42" s="161" t="str">
        <f xml:space="preserve"> setValueToTime(B42)</f>
        <v>3h10min</v>
      </c>
      <c r="D42" s="120"/>
      <c r="E42" s="278"/>
      <c r="F42" s="279"/>
      <c r="G42" s="51"/>
    </row>
    <row r="43" spans="1:7" s="52" customFormat="1" ht="15" thickBot="1" x14ac:dyDescent="0.35">
      <c r="A43" s="77"/>
      <c r="B43" s="77"/>
      <c r="C43" s="77"/>
      <c r="D43" s="77"/>
      <c r="E43" s="77"/>
      <c r="F43" s="77"/>
      <c r="G43" s="51"/>
    </row>
    <row r="44" spans="1:7" s="52" customFormat="1" ht="18.75" thickBot="1" x14ac:dyDescent="0.35">
      <c r="A44" s="155" t="s">
        <v>12</v>
      </c>
      <c r="B44" s="163">
        <v>13</v>
      </c>
      <c r="C44" s="163"/>
      <c r="D44" s="156" t="s">
        <v>15</v>
      </c>
      <c r="E44" s="157" t="s">
        <v>81</v>
      </c>
      <c r="F44" s="158" t="s">
        <v>43</v>
      </c>
      <c r="G44" s="51"/>
    </row>
    <row r="45" spans="1:7" s="52" customFormat="1" ht="27.75" thickBot="1" x14ac:dyDescent="0.35">
      <c r="A45" s="78" t="s">
        <v>5</v>
      </c>
      <c r="B45" s="160" t="s">
        <v>40</v>
      </c>
      <c r="C45" s="159"/>
      <c r="D45" s="78" t="s">
        <v>13</v>
      </c>
      <c r="E45" s="275" t="s">
        <v>14</v>
      </c>
      <c r="F45" s="276"/>
      <c r="G45" s="51"/>
    </row>
    <row r="46" spans="1:7" s="52" customFormat="1" ht="27" x14ac:dyDescent="0.3">
      <c r="A46" s="48" t="s">
        <v>94</v>
      </c>
      <c r="B46" s="49">
        <v>20</v>
      </c>
      <c r="C46" s="151" t="str">
        <f xml:space="preserve"> IF(B46="","",setValueToTime(B46))</f>
        <v>1h40min</v>
      </c>
      <c r="D46" s="289" t="s">
        <v>256</v>
      </c>
      <c r="E46" s="277" t="s">
        <v>242</v>
      </c>
      <c r="F46" s="274"/>
      <c r="G46" s="51"/>
    </row>
    <row r="47" spans="1:7" s="52" customFormat="1" ht="15" thickBot="1" x14ac:dyDescent="0.35">
      <c r="A47" s="292"/>
      <c r="B47" s="293"/>
      <c r="C47" s="294"/>
      <c r="D47" s="290"/>
      <c r="E47" s="301"/>
      <c r="F47" s="302"/>
      <c r="G47" s="51"/>
    </row>
    <row r="48" spans="1:7" s="52" customFormat="1" ht="15.75" thickBot="1" x14ac:dyDescent="0.35">
      <c r="A48" s="295"/>
      <c r="B48" s="296"/>
      <c r="C48" s="297"/>
      <c r="D48" s="290"/>
      <c r="E48" s="303"/>
      <c r="F48" s="304"/>
      <c r="G48" s="78" t="s">
        <v>163</v>
      </c>
    </row>
    <row r="49" spans="1:7" s="59" customFormat="1" x14ac:dyDescent="0.3">
      <c r="A49" s="298"/>
      <c r="B49" s="299"/>
      <c r="C49" s="300"/>
      <c r="D49" s="291"/>
      <c r="E49" s="305"/>
      <c r="F49" s="306"/>
      <c r="G49" s="286" t="s">
        <v>252</v>
      </c>
    </row>
    <row r="50" spans="1:7" s="47" customFormat="1" ht="30" customHeight="1" x14ac:dyDescent="0.25">
      <c r="A50" s="53" t="s">
        <v>96</v>
      </c>
      <c r="B50" s="54">
        <v>12</v>
      </c>
      <c r="C50" s="152" t="str">
        <f t="shared" ref="C50:C54" si="4" xml:space="preserve"> IF(B50="","",setValueToTime(B50))</f>
        <v>1h</v>
      </c>
      <c r="D50" s="174" t="s">
        <v>255</v>
      </c>
      <c r="E50" s="265"/>
      <c r="F50" s="266"/>
      <c r="G50" s="287"/>
    </row>
    <row r="51" spans="1:7" s="47" customFormat="1" ht="30" customHeight="1" x14ac:dyDescent="0.25">
      <c r="A51" s="54" t="s">
        <v>101</v>
      </c>
      <c r="B51" s="54">
        <v>5</v>
      </c>
      <c r="C51" s="153" t="str">
        <f t="shared" si="4"/>
        <v>0h25min</v>
      </c>
      <c r="D51" s="174" t="s">
        <v>241</v>
      </c>
      <c r="E51" s="265"/>
      <c r="F51" s="266"/>
      <c r="G51" s="287"/>
    </row>
    <row r="52" spans="1:7" s="52" customFormat="1" ht="27" x14ac:dyDescent="0.3">
      <c r="A52" s="54" t="s">
        <v>17</v>
      </c>
      <c r="B52" s="54">
        <v>1</v>
      </c>
      <c r="C52" s="153" t="str">
        <f t="shared" si="4"/>
        <v>0h5min</v>
      </c>
      <c r="D52" s="174" t="s">
        <v>203</v>
      </c>
      <c r="E52" s="265"/>
      <c r="F52" s="266"/>
      <c r="G52" s="287"/>
    </row>
    <row r="53" spans="1:7" s="52" customFormat="1" x14ac:dyDescent="0.3">
      <c r="A53" s="54"/>
      <c r="B53" s="54"/>
      <c r="C53" s="153" t="str">
        <f t="shared" si="4"/>
        <v/>
      </c>
      <c r="D53" s="55"/>
      <c r="E53" s="265"/>
      <c r="F53" s="266"/>
      <c r="G53" s="287"/>
    </row>
    <row r="54" spans="1:7" s="52" customFormat="1" ht="15" thickBot="1" x14ac:dyDescent="0.35">
      <c r="A54" s="56"/>
      <c r="B54" s="56"/>
      <c r="C54" s="154" t="str">
        <f t="shared" si="4"/>
        <v/>
      </c>
      <c r="D54" s="57"/>
      <c r="E54" s="267"/>
      <c r="F54" s="268"/>
      <c r="G54" s="287"/>
    </row>
    <row r="55" spans="1:7" s="52" customFormat="1" ht="15" thickBot="1" x14ac:dyDescent="0.35">
      <c r="A55" s="161" t="s">
        <v>29</v>
      </c>
      <c r="B55" s="83">
        <f>SUM(B46:B54)</f>
        <v>38</v>
      </c>
      <c r="C55" s="161" t="str">
        <f xml:space="preserve"> setValueToTime(B55)</f>
        <v>3h10min</v>
      </c>
      <c r="D55" s="120"/>
      <c r="E55" s="278"/>
      <c r="F55" s="279"/>
      <c r="G55" s="51"/>
    </row>
    <row r="56" spans="1:7" s="52" customFormat="1" ht="15" thickBot="1" x14ac:dyDescent="0.35">
      <c r="A56" s="77"/>
      <c r="B56" s="77"/>
      <c r="C56" s="77"/>
      <c r="D56" s="77"/>
      <c r="E56" s="77"/>
      <c r="F56" s="77"/>
      <c r="G56" s="51"/>
    </row>
    <row r="57" spans="1:7" s="52" customFormat="1" ht="18.75" thickBot="1" x14ac:dyDescent="0.35">
      <c r="A57" s="155" t="s">
        <v>12</v>
      </c>
      <c r="B57" s="163">
        <v>12</v>
      </c>
      <c r="C57" s="163"/>
      <c r="D57" s="156" t="s">
        <v>15</v>
      </c>
      <c r="E57" s="157" t="s">
        <v>81</v>
      </c>
      <c r="F57" s="158" t="s">
        <v>44</v>
      </c>
      <c r="G57" s="51"/>
    </row>
    <row r="58" spans="1:7" s="52" customFormat="1" ht="27.75" thickBot="1" x14ac:dyDescent="0.35">
      <c r="A58" s="78" t="s">
        <v>5</v>
      </c>
      <c r="B58" s="160" t="s">
        <v>40</v>
      </c>
      <c r="C58" s="159"/>
      <c r="D58" s="78" t="s">
        <v>13</v>
      </c>
      <c r="E58" s="275" t="s">
        <v>14</v>
      </c>
      <c r="F58" s="276"/>
      <c r="G58" s="51"/>
    </row>
    <row r="59" spans="1:7" s="52" customFormat="1" ht="54" x14ac:dyDescent="0.3">
      <c r="A59" s="53" t="s">
        <v>4</v>
      </c>
      <c r="B59" s="54">
        <v>13</v>
      </c>
      <c r="C59" s="152" t="str">
        <f t="shared" ref="C59" si="5" xml:space="preserve"> IF(B59="","",setValueToTime(B59))</f>
        <v>1h5min</v>
      </c>
      <c r="D59" s="174" t="s">
        <v>237</v>
      </c>
      <c r="E59" s="273"/>
      <c r="F59" s="274"/>
      <c r="G59" s="58"/>
    </row>
    <row r="60" spans="1:7" s="52" customFormat="1" ht="135" x14ac:dyDescent="0.3">
      <c r="A60" s="53" t="s">
        <v>94</v>
      </c>
      <c r="B60" s="54">
        <v>26</v>
      </c>
      <c r="C60" s="152" t="str">
        <f t="shared" ref="C60:C62" si="6" xml:space="preserve"> IF(B60="","",setValueToTime(B60))</f>
        <v>2h10min</v>
      </c>
      <c r="D60" s="174" t="s">
        <v>240</v>
      </c>
      <c r="E60" s="280" t="s">
        <v>238</v>
      </c>
      <c r="F60" s="266"/>
      <c r="G60" s="46"/>
    </row>
    <row r="61" spans="1:7" s="59" customFormat="1" ht="54" x14ac:dyDescent="0.3">
      <c r="A61" s="53" t="s">
        <v>95</v>
      </c>
      <c r="B61" s="54">
        <v>7</v>
      </c>
      <c r="C61" s="152" t="str">
        <f t="shared" si="6"/>
        <v>0h35min</v>
      </c>
      <c r="D61" s="174" t="s">
        <v>239</v>
      </c>
      <c r="E61" s="265"/>
      <c r="F61" s="266"/>
      <c r="G61" s="46"/>
    </row>
    <row r="62" spans="1:7" s="47" customFormat="1" ht="30" customHeight="1" thickBot="1" x14ac:dyDescent="0.35">
      <c r="A62" s="53" t="s">
        <v>17</v>
      </c>
      <c r="B62" s="54">
        <v>2</v>
      </c>
      <c r="C62" s="152" t="str">
        <f t="shared" si="6"/>
        <v>0h10min</v>
      </c>
      <c r="D62" s="174" t="s">
        <v>203</v>
      </c>
      <c r="E62" s="265"/>
      <c r="F62" s="266"/>
      <c r="G62" s="51"/>
    </row>
    <row r="63" spans="1:7" s="47" customFormat="1" ht="30" customHeight="1" thickBot="1" x14ac:dyDescent="0.35">
      <c r="A63" s="161" t="s">
        <v>29</v>
      </c>
      <c r="B63" s="83">
        <f>SUM(B59:B62)</f>
        <v>48</v>
      </c>
      <c r="C63" s="161" t="str">
        <f xml:space="preserve"> setValueToTime(B63)</f>
        <v>4h</v>
      </c>
      <c r="D63" s="120"/>
      <c r="E63" s="278"/>
      <c r="F63" s="279"/>
      <c r="G63" s="51"/>
    </row>
    <row r="64" spans="1:7" s="52" customFormat="1" ht="15" thickBot="1" x14ac:dyDescent="0.35">
      <c r="A64" s="77"/>
      <c r="B64" s="77"/>
      <c r="C64" s="77"/>
      <c r="D64" s="77"/>
      <c r="E64" s="77"/>
      <c r="F64" s="77"/>
      <c r="G64" s="51"/>
    </row>
    <row r="65" spans="1:7" s="52" customFormat="1" ht="18.75" thickBot="1" x14ac:dyDescent="0.35">
      <c r="A65" s="155" t="s">
        <v>12</v>
      </c>
      <c r="B65" s="163">
        <v>11</v>
      </c>
      <c r="C65" s="163"/>
      <c r="D65" s="156" t="s">
        <v>15</v>
      </c>
      <c r="E65" s="157" t="s">
        <v>82</v>
      </c>
      <c r="F65" s="158" t="s">
        <v>43</v>
      </c>
      <c r="G65" s="51"/>
    </row>
    <row r="66" spans="1:7" s="52" customFormat="1" ht="27.75" thickBot="1" x14ac:dyDescent="0.35">
      <c r="A66" s="78" t="s">
        <v>5</v>
      </c>
      <c r="B66" s="160" t="s">
        <v>40</v>
      </c>
      <c r="C66" s="159"/>
      <c r="D66" s="78" t="s">
        <v>13</v>
      </c>
      <c r="E66" s="275" t="s">
        <v>14</v>
      </c>
      <c r="F66" s="276"/>
      <c r="G66" s="51"/>
    </row>
    <row r="67" spans="1:7" s="52" customFormat="1" ht="41.25" thickBot="1" x14ac:dyDescent="0.35">
      <c r="A67" s="48" t="s">
        <v>94</v>
      </c>
      <c r="B67" s="49">
        <v>13</v>
      </c>
      <c r="C67" s="151" t="str">
        <f xml:space="preserve"> IF(B67="","",setValueToTime(B67))</f>
        <v>1h5min</v>
      </c>
      <c r="D67" s="171" t="s">
        <v>232</v>
      </c>
      <c r="E67" s="277" t="s">
        <v>222</v>
      </c>
      <c r="F67" s="274"/>
      <c r="G67" s="58"/>
    </row>
    <row r="68" spans="1:7" s="52" customFormat="1" ht="27.75" thickBot="1" x14ac:dyDescent="0.35">
      <c r="A68" s="53" t="s">
        <v>96</v>
      </c>
      <c r="B68" s="54">
        <v>15</v>
      </c>
      <c r="C68" s="152" t="str">
        <f t="shared" ref="C68:C74" si="7" xml:space="preserve"> IF(B68="","",setValueToTime(B68))</f>
        <v>1h15min</v>
      </c>
      <c r="D68" s="174" t="s">
        <v>233</v>
      </c>
      <c r="E68" s="265"/>
      <c r="F68" s="266"/>
      <c r="G68" s="78" t="s">
        <v>163</v>
      </c>
    </row>
    <row r="69" spans="1:7" s="52" customFormat="1" ht="54" x14ac:dyDescent="0.3">
      <c r="A69" s="53" t="s">
        <v>4</v>
      </c>
      <c r="B69" s="54">
        <v>6</v>
      </c>
      <c r="C69" s="152" t="str">
        <f t="shared" si="7"/>
        <v>0h30min</v>
      </c>
      <c r="D69" s="174" t="s">
        <v>230</v>
      </c>
      <c r="E69" s="265"/>
      <c r="F69" s="266"/>
      <c r="G69" s="286" t="s">
        <v>236</v>
      </c>
    </row>
    <row r="70" spans="1:7" s="52" customFormat="1" x14ac:dyDescent="0.3">
      <c r="A70" s="53"/>
      <c r="B70" s="54"/>
      <c r="C70" s="152" t="str">
        <f t="shared" si="7"/>
        <v/>
      </c>
      <c r="D70" s="55"/>
      <c r="E70" s="265"/>
      <c r="F70" s="266"/>
      <c r="G70" s="287"/>
    </row>
    <row r="71" spans="1:7" s="52" customFormat="1" x14ac:dyDescent="0.3">
      <c r="A71" s="54" t="s">
        <v>101</v>
      </c>
      <c r="B71" s="54">
        <v>2</v>
      </c>
      <c r="C71" s="153" t="str">
        <f t="shared" si="7"/>
        <v>0h10min</v>
      </c>
      <c r="D71" s="174" t="s">
        <v>234</v>
      </c>
      <c r="E71" s="265"/>
      <c r="F71" s="266"/>
      <c r="G71" s="287"/>
    </row>
    <row r="72" spans="1:7" s="52" customFormat="1" ht="27" x14ac:dyDescent="0.3">
      <c r="A72" s="54" t="s">
        <v>17</v>
      </c>
      <c r="B72" s="54">
        <v>2</v>
      </c>
      <c r="C72" s="153" t="str">
        <f t="shared" si="7"/>
        <v>0h10min</v>
      </c>
      <c r="D72" s="174" t="s">
        <v>231</v>
      </c>
      <c r="E72" s="265"/>
      <c r="F72" s="266"/>
      <c r="G72" s="287"/>
    </row>
    <row r="73" spans="1:7" s="59" customFormat="1" x14ac:dyDescent="0.3">
      <c r="A73" s="54"/>
      <c r="B73" s="54"/>
      <c r="C73" s="153" t="str">
        <f t="shared" si="7"/>
        <v/>
      </c>
      <c r="D73" s="55"/>
      <c r="E73" s="265"/>
      <c r="F73" s="266"/>
      <c r="G73" s="287"/>
    </row>
    <row r="74" spans="1:7" s="47" customFormat="1" ht="30" customHeight="1" thickBot="1" x14ac:dyDescent="0.3">
      <c r="A74" s="56"/>
      <c r="B74" s="56"/>
      <c r="C74" s="154" t="str">
        <f t="shared" si="7"/>
        <v/>
      </c>
      <c r="D74" s="57"/>
      <c r="E74" s="267"/>
      <c r="F74" s="268"/>
      <c r="G74" s="287"/>
    </row>
    <row r="75" spans="1:7" s="47" customFormat="1" ht="30" customHeight="1" thickBot="1" x14ac:dyDescent="0.35">
      <c r="A75" s="161" t="s">
        <v>29</v>
      </c>
      <c r="B75" s="83">
        <f>SUM(B67:B74)</f>
        <v>38</v>
      </c>
      <c r="C75" s="161" t="str">
        <f xml:space="preserve"> setValueToTime(B75)</f>
        <v>3h10min</v>
      </c>
      <c r="D75" s="120"/>
      <c r="E75" s="278"/>
      <c r="F75" s="279"/>
      <c r="G75" s="51"/>
    </row>
    <row r="76" spans="1:7" s="52" customFormat="1" ht="15" thickBot="1" x14ac:dyDescent="0.35">
      <c r="A76" s="77"/>
      <c r="B76" s="77"/>
      <c r="C76" s="77"/>
      <c r="D76" s="77"/>
      <c r="E76" s="77"/>
      <c r="F76" s="77"/>
      <c r="G76" s="51"/>
    </row>
    <row r="77" spans="1:7" s="52" customFormat="1" ht="18.75" thickBot="1" x14ac:dyDescent="0.35">
      <c r="A77" s="155" t="s">
        <v>12</v>
      </c>
      <c r="B77" s="163">
        <v>10</v>
      </c>
      <c r="C77" s="163"/>
      <c r="D77" s="156" t="s">
        <v>15</v>
      </c>
      <c r="E77" s="157" t="s">
        <v>82</v>
      </c>
      <c r="F77" s="158" t="s">
        <v>44</v>
      </c>
      <c r="G77" s="51"/>
    </row>
    <row r="78" spans="1:7" s="52" customFormat="1" ht="27.75" thickBot="1" x14ac:dyDescent="0.35">
      <c r="A78" s="78" t="s">
        <v>5</v>
      </c>
      <c r="B78" s="160" t="s">
        <v>40</v>
      </c>
      <c r="C78" s="159"/>
      <c r="D78" s="78" t="s">
        <v>13</v>
      </c>
      <c r="E78" s="275" t="s">
        <v>14</v>
      </c>
      <c r="F78" s="276"/>
      <c r="G78" s="51"/>
    </row>
    <row r="79" spans="1:7" s="52" customFormat="1" ht="108" x14ac:dyDescent="0.3">
      <c r="A79" s="48" t="s">
        <v>94</v>
      </c>
      <c r="B79" s="49">
        <v>35</v>
      </c>
      <c r="C79" s="151" t="str">
        <f xml:space="preserve"> IF(B79="","",setValueToTime(B79))</f>
        <v>2h55min</v>
      </c>
      <c r="D79" s="171" t="s">
        <v>225</v>
      </c>
      <c r="E79" s="277" t="s">
        <v>222</v>
      </c>
      <c r="F79" s="274"/>
      <c r="G79" s="58"/>
    </row>
    <row r="80" spans="1:7" s="52" customFormat="1" ht="67.5" x14ac:dyDescent="0.3">
      <c r="A80" s="53" t="s">
        <v>96</v>
      </c>
      <c r="B80" s="54">
        <v>6</v>
      </c>
      <c r="C80" s="152" t="str">
        <f t="shared" ref="C80:C83" si="8" xml:space="preserve"> IF(B80="","",setValueToTime(B80))</f>
        <v>0h30min</v>
      </c>
      <c r="D80" s="174" t="s">
        <v>226</v>
      </c>
      <c r="E80" s="280" t="s">
        <v>223</v>
      </c>
      <c r="F80" s="266"/>
      <c r="G80" s="46"/>
    </row>
    <row r="81" spans="1:7" s="52" customFormat="1" x14ac:dyDescent="0.3">
      <c r="A81" s="53"/>
      <c r="B81" s="54"/>
      <c r="C81" s="152"/>
      <c r="D81" s="174"/>
      <c r="E81" s="280" t="s">
        <v>224</v>
      </c>
      <c r="F81" s="266"/>
      <c r="G81" s="46"/>
    </row>
    <row r="82" spans="1:7" s="52" customFormat="1" ht="94.5" x14ac:dyDescent="0.3">
      <c r="A82" s="53" t="s">
        <v>90</v>
      </c>
      <c r="B82" s="54">
        <v>6</v>
      </c>
      <c r="C82" s="152" t="str">
        <f xml:space="preserve"> IF(B82="","",setValueToTime(B82))</f>
        <v>0h30min</v>
      </c>
      <c r="D82" s="174" t="s">
        <v>227</v>
      </c>
      <c r="E82" s="280" t="s">
        <v>228</v>
      </c>
      <c r="F82" s="266"/>
      <c r="G82" s="51"/>
    </row>
    <row r="83" spans="1:7" s="52" customFormat="1" ht="27.75" thickBot="1" x14ac:dyDescent="0.35">
      <c r="A83" s="54" t="s">
        <v>17</v>
      </c>
      <c r="B83" s="54">
        <v>1</v>
      </c>
      <c r="C83" s="153" t="str">
        <f t="shared" si="8"/>
        <v>0h5min</v>
      </c>
      <c r="D83" s="174" t="s">
        <v>229</v>
      </c>
      <c r="E83" s="265"/>
      <c r="F83" s="266"/>
      <c r="G83" s="51"/>
    </row>
    <row r="84" spans="1:7" s="52" customFormat="1" ht="15" thickBot="1" x14ac:dyDescent="0.35">
      <c r="A84" s="161" t="s">
        <v>29</v>
      </c>
      <c r="B84" s="83">
        <f>SUM(B79:B83)</f>
        <v>48</v>
      </c>
      <c r="C84" s="161" t="str">
        <f xml:space="preserve"> setValueToTime(B84)</f>
        <v>4h</v>
      </c>
      <c r="D84" s="120"/>
      <c r="E84" s="278"/>
      <c r="F84" s="279"/>
      <c r="G84" s="51"/>
    </row>
    <row r="85" spans="1:7" s="59" customFormat="1" ht="15" thickBot="1" x14ac:dyDescent="0.35">
      <c r="A85" s="77"/>
      <c r="B85" s="77"/>
      <c r="C85" s="77"/>
      <c r="D85" s="77"/>
      <c r="E85" s="77"/>
      <c r="F85" s="77"/>
      <c r="G85" s="51"/>
    </row>
    <row r="86" spans="1:7" s="47" customFormat="1" ht="30" customHeight="1" thickBot="1" x14ac:dyDescent="0.35">
      <c r="A86" s="155" t="s">
        <v>12</v>
      </c>
      <c r="B86" s="163">
        <v>9</v>
      </c>
      <c r="C86" s="163"/>
      <c r="D86" s="156" t="s">
        <v>15</v>
      </c>
      <c r="E86" s="157" t="s">
        <v>83</v>
      </c>
      <c r="F86" s="158" t="s">
        <v>44</v>
      </c>
      <c r="G86" s="51"/>
    </row>
    <row r="87" spans="1:7" s="47" customFormat="1" ht="30" customHeight="1" thickBot="1" x14ac:dyDescent="0.35">
      <c r="A87" s="78" t="s">
        <v>5</v>
      </c>
      <c r="B87" s="160" t="s">
        <v>40</v>
      </c>
      <c r="C87" s="159"/>
      <c r="D87" s="78" t="s">
        <v>13</v>
      </c>
      <c r="E87" s="275" t="s">
        <v>14</v>
      </c>
      <c r="F87" s="276"/>
      <c r="G87" s="51"/>
    </row>
    <row r="88" spans="1:7" s="52" customFormat="1" ht="135.75" thickBot="1" x14ac:dyDescent="0.35">
      <c r="A88" s="48" t="s">
        <v>96</v>
      </c>
      <c r="B88" s="49">
        <v>15</v>
      </c>
      <c r="C88" s="151" t="str">
        <f xml:space="preserve"> IF(B88="","",setValueToTime(B88))</f>
        <v>1h15min</v>
      </c>
      <c r="D88" s="171" t="s">
        <v>220</v>
      </c>
      <c r="E88" s="277" t="s">
        <v>215</v>
      </c>
      <c r="F88" s="288"/>
      <c r="G88" s="58"/>
    </row>
    <row r="89" spans="1:7" s="52" customFormat="1" ht="27.75" thickBot="1" x14ac:dyDescent="0.35">
      <c r="A89" s="53" t="s">
        <v>95</v>
      </c>
      <c r="B89" s="54">
        <v>4</v>
      </c>
      <c r="C89" s="152" t="str">
        <f t="shared" ref="C89:C92" si="9" xml:space="preserve"> IF(B89="","",setValueToTime(B89))</f>
        <v>0h20min</v>
      </c>
      <c r="D89" s="174" t="s">
        <v>216</v>
      </c>
      <c r="E89" s="265"/>
      <c r="F89" s="266"/>
      <c r="G89" s="78" t="s">
        <v>163</v>
      </c>
    </row>
    <row r="90" spans="1:7" s="52" customFormat="1" ht="27" x14ac:dyDescent="0.3">
      <c r="A90" s="53" t="s">
        <v>97</v>
      </c>
      <c r="B90" s="54">
        <v>12</v>
      </c>
      <c r="C90" s="152" t="str">
        <f t="shared" si="9"/>
        <v>1h</v>
      </c>
      <c r="D90" s="174" t="s">
        <v>217</v>
      </c>
      <c r="E90" s="280" t="s">
        <v>218</v>
      </c>
      <c r="F90" s="284"/>
      <c r="G90" s="286" t="s">
        <v>235</v>
      </c>
    </row>
    <row r="91" spans="1:7" s="52" customFormat="1" ht="27" x14ac:dyDescent="0.3">
      <c r="A91" s="53" t="s">
        <v>96</v>
      </c>
      <c r="B91" s="54">
        <v>6</v>
      </c>
      <c r="C91" s="152" t="str">
        <f t="shared" si="9"/>
        <v>0h30min</v>
      </c>
      <c r="D91" s="174" t="s">
        <v>219</v>
      </c>
      <c r="E91" s="265"/>
      <c r="F91" s="266"/>
      <c r="G91" s="287"/>
    </row>
    <row r="92" spans="1:7" s="52" customFormat="1" ht="27.75" thickBot="1" x14ac:dyDescent="0.35">
      <c r="A92" s="54" t="s">
        <v>17</v>
      </c>
      <c r="B92" s="54">
        <v>1</v>
      </c>
      <c r="C92" s="153" t="str">
        <f t="shared" si="9"/>
        <v>0h5min</v>
      </c>
      <c r="D92" s="174" t="s">
        <v>221</v>
      </c>
      <c r="E92" s="265"/>
      <c r="F92" s="266"/>
      <c r="G92" s="287"/>
    </row>
    <row r="93" spans="1:7" s="52" customFormat="1" ht="15" thickBot="1" x14ac:dyDescent="0.35">
      <c r="A93" s="161" t="s">
        <v>29</v>
      </c>
      <c r="B93" s="83">
        <f>SUM(B88:B92)</f>
        <v>38</v>
      </c>
      <c r="C93" s="161" t="str">
        <f xml:space="preserve"> setValueToTime(B93)</f>
        <v>3h10min</v>
      </c>
      <c r="D93" s="120"/>
      <c r="E93" s="278"/>
      <c r="F93" s="279"/>
      <c r="G93" s="287"/>
    </row>
    <row r="94" spans="1:7" s="52" customFormat="1" ht="15" thickBot="1" x14ac:dyDescent="0.35">
      <c r="A94" s="77"/>
      <c r="B94" s="77"/>
      <c r="C94" s="77"/>
      <c r="D94" s="77"/>
      <c r="E94" s="77"/>
      <c r="F94" s="77"/>
      <c r="G94" s="287"/>
    </row>
    <row r="95" spans="1:7" s="52" customFormat="1" ht="18.75" thickBot="1" x14ac:dyDescent="0.35">
      <c r="A95" s="155" t="s">
        <v>12</v>
      </c>
      <c r="B95" s="163">
        <v>8</v>
      </c>
      <c r="C95" s="163"/>
      <c r="D95" s="156" t="s">
        <v>15</v>
      </c>
      <c r="E95" s="157" t="s">
        <v>84</v>
      </c>
      <c r="F95" s="158" t="s">
        <v>43</v>
      </c>
      <c r="G95" s="287"/>
    </row>
    <row r="96" spans="1:7" s="52" customFormat="1" ht="27.75" thickBot="1" x14ac:dyDescent="0.35">
      <c r="A96" s="78" t="s">
        <v>5</v>
      </c>
      <c r="B96" s="160" t="s">
        <v>40</v>
      </c>
      <c r="C96" s="159"/>
      <c r="D96" s="78" t="s">
        <v>13</v>
      </c>
      <c r="E96" s="275" t="s">
        <v>14</v>
      </c>
      <c r="F96" s="276"/>
      <c r="G96" s="51"/>
    </row>
    <row r="97" spans="1:7" s="59" customFormat="1" ht="108.75" thickBot="1" x14ac:dyDescent="0.35">
      <c r="A97" s="48" t="s">
        <v>96</v>
      </c>
      <c r="B97" s="49">
        <v>34</v>
      </c>
      <c r="C97" s="151" t="str">
        <f xml:space="preserve"> IF(B97="","",setValueToTime(B97))</f>
        <v>2h50min</v>
      </c>
      <c r="D97" s="171" t="s">
        <v>211</v>
      </c>
      <c r="E97" s="277" t="s">
        <v>213</v>
      </c>
      <c r="F97" s="288"/>
      <c r="G97" s="58"/>
    </row>
    <row r="98" spans="1:7" s="47" customFormat="1" ht="30" customHeight="1" thickBot="1" x14ac:dyDescent="0.3">
      <c r="A98" s="53" t="s">
        <v>17</v>
      </c>
      <c r="B98" s="54">
        <v>2</v>
      </c>
      <c r="C98" s="152" t="str">
        <f t="shared" ref="C98:C99" si="10" xml:space="preserve"> IF(B98="","",setValueToTime(B98))</f>
        <v>0h10min</v>
      </c>
      <c r="D98" s="174" t="s">
        <v>210</v>
      </c>
      <c r="E98" s="265"/>
      <c r="F98" s="266"/>
      <c r="G98" s="78" t="s">
        <v>163</v>
      </c>
    </row>
    <row r="99" spans="1:7" s="47" customFormat="1" ht="30" customHeight="1" thickBot="1" x14ac:dyDescent="0.3">
      <c r="A99" s="53" t="s">
        <v>101</v>
      </c>
      <c r="B99" s="54">
        <v>2</v>
      </c>
      <c r="C99" s="152" t="str">
        <f t="shared" si="10"/>
        <v>0h10min</v>
      </c>
      <c r="D99" s="174" t="s">
        <v>209</v>
      </c>
      <c r="E99" s="285" t="s">
        <v>214</v>
      </c>
      <c r="F99" s="266"/>
      <c r="G99" s="286" t="s">
        <v>212</v>
      </c>
    </row>
    <row r="100" spans="1:7" s="52" customFormat="1" ht="15" thickBot="1" x14ac:dyDescent="0.35">
      <c r="A100" s="161" t="s">
        <v>29</v>
      </c>
      <c r="B100" s="83">
        <f>SUM(B97:B99)</f>
        <v>38</v>
      </c>
      <c r="C100" s="161" t="str">
        <f xml:space="preserve"> setValueToTime(B100)</f>
        <v>3h10min</v>
      </c>
      <c r="D100" s="120"/>
      <c r="E100" s="278"/>
      <c r="F100" s="279"/>
      <c r="G100" s="287"/>
    </row>
    <row r="101" spans="1:7" s="52" customFormat="1" ht="15" thickBot="1" x14ac:dyDescent="0.35">
      <c r="A101" s="77"/>
      <c r="B101" s="77"/>
      <c r="C101" s="77"/>
      <c r="D101" s="77"/>
      <c r="E101" s="77"/>
      <c r="F101" s="77"/>
      <c r="G101" s="287"/>
    </row>
    <row r="102" spans="1:7" s="52" customFormat="1" ht="18.75" thickBot="1" x14ac:dyDescent="0.35">
      <c r="A102" s="155" t="s">
        <v>12</v>
      </c>
      <c r="B102" s="163">
        <v>7</v>
      </c>
      <c r="C102" s="163"/>
      <c r="D102" s="156" t="s">
        <v>15</v>
      </c>
      <c r="E102" s="157" t="s">
        <v>84</v>
      </c>
      <c r="F102" s="158" t="s">
        <v>44</v>
      </c>
      <c r="G102" s="287"/>
    </row>
    <row r="103" spans="1:7" s="52" customFormat="1" ht="27.75" thickBot="1" x14ac:dyDescent="0.35">
      <c r="A103" s="78" t="s">
        <v>5</v>
      </c>
      <c r="B103" s="160" t="s">
        <v>40</v>
      </c>
      <c r="C103" s="159"/>
      <c r="D103" s="78" t="s">
        <v>13</v>
      </c>
      <c r="E103" s="275" t="s">
        <v>14</v>
      </c>
      <c r="F103" s="276"/>
      <c r="G103" s="287"/>
    </row>
    <row r="104" spans="1:7" s="52" customFormat="1" ht="40.5" x14ac:dyDescent="0.3">
      <c r="A104" s="48" t="s">
        <v>16</v>
      </c>
      <c r="B104" s="49">
        <v>11</v>
      </c>
      <c r="C104" s="151" t="str">
        <f xml:space="preserve"> IF(B104="","",setValueToTime(B104))</f>
        <v>0h55min</v>
      </c>
      <c r="D104" s="171" t="s">
        <v>204</v>
      </c>
      <c r="E104" s="273"/>
      <c r="F104" s="274"/>
      <c r="G104" s="287"/>
    </row>
    <row r="105" spans="1:7" s="52" customFormat="1" ht="40.5" x14ac:dyDescent="0.3">
      <c r="A105" s="53" t="s">
        <v>97</v>
      </c>
      <c r="B105" s="54">
        <v>6</v>
      </c>
      <c r="C105" s="152" t="str">
        <f t="shared" ref="C105:C109" si="11" xml:space="preserve"> IF(B105="","",setValueToTime(B105))</f>
        <v>0h30min</v>
      </c>
      <c r="D105" s="174" t="s">
        <v>205</v>
      </c>
      <c r="E105" s="265"/>
      <c r="F105" s="266"/>
      <c r="G105" s="46"/>
    </row>
    <row r="106" spans="1:7" s="52" customFormat="1" ht="27" x14ac:dyDescent="0.3">
      <c r="A106" s="53" t="s">
        <v>94</v>
      </c>
      <c r="B106" s="54">
        <v>10</v>
      </c>
      <c r="C106" s="152" t="str">
        <f t="shared" si="11"/>
        <v>0h50min</v>
      </c>
      <c r="D106" s="174" t="s">
        <v>206</v>
      </c>
      <c r="E106" s="265"/>
      <c r="F106" s="266"/>
      <c r="G106" s="46"/>
    </row>
    <row r="107" spans="1:7" s="52" customFormat="1" ht="27" x14ac:dyDescent="0.3">
      <c r="A107" s="53" t="s">
        <v>100</v>
      </c>
      <c r="B107" s="54">
        <v>2</v>
      </c>
      <c r="C107" s="152" t="str">
        <f t="shared" si="11"/>
        <v>0h10min</v>
      </c>
      <c r="D107" s="174" t="s">
        <v>207</v>
      </c>
      <c r="E107" s="265"/>
      <c r="F107" s="266"/>
      <c r="G107" s="51"/>
    </row>
    <row r="108" spans="1:7" s="52" customFormat="1" ht="67.5" x14ac:dyDescent="0.3">
      <c r="A108" s="54" t="s">
        <v>96</v>
      </c>
      <c r="B108" s="54">
        <v>18</v>
      </c>
      <c r="C108" s="153" t="str">
        <f t="shared" si="11"/>
        <v>1h30min</v>
      </c>
      <c r="D108" s="174" t="s">
        <v>263</v>
      </c>
      <c r="E108" s="280" t="s">
        <v>208</v>
      </c>
      <c r="F108" s="284"/>
      <c r="G108" s="51"/>
    </row>
    <row r="109" spans="1:7" s="59" customFormat="1" ht="27.75" thickBot="1" x14ac:dyDescent="0.35">
      <c r="A109" s="54" t="s">
        <v>17</v>
      </c>
      <c r="B109" s="54">
        <v>1</v>
      </c>
      <c r="C109" s="153" t="str">
        <f t="shared" si="11"/>
        <v>0h5min</v>
      </c>
      <c r="D109" s="174" t="s">
        <v>203</v>
      </c>
      <c r="E109" s="265"/>
      <c r="F109" s="266"/>
      <c r="G109" s="51"/>
    </row>
    <row r="110" spans="1:7" s="47" customFormat="1" ht="30" customHeight="1" thickBot="1" x14ac:dyDescent="0.35">
      <c r="A110" s="161" t="s">
        <v>29</v>
      </c>
      <c r="B110" s="83">
        <f>SUM(B104:B109)</f>
        <v>48</v>
      </c>
      <c r="C110" s="161" t="str">
        <f xml:space="preserve"> setValueToTime(B110)</f>
        <v>4h</v>
      </c>
      <c r="D110" s="120"/>
      <c r="E110" s="278"/>
      <c r="F110" s="279"/>
      <c r="G110" s="51"/>
    </row>
    <row r="111" spans="1:7" s="47" customFormat="1" ht="30" customHeight="1" thickBot="1" x14ac:dyDescent="0.35">
      <c r="A111" s="77"/>
      <c r="B111" s="77"/>
      <c r="C111" s="77"/>
      <c r="D111" s="77"/>
      <c r="E111" s="77"/>
      <c r="F111" s="77"/>
      <c r="G111" s="51"/>
    </row>
    <row r="112" spans="1:7" s="52" customFormat="1" ht="18.75" thickBot="1" x14ac:dyDescent="0.35">
      <c r="A112" s="155" t="s">
        <v>12</v>
      </c>
      <c r="B112" s="163">
        <v>6</v>
      </c>
      <c r="C112" s="163"/>
      <c r="D112" s="156" t="s">
        <v>15</v>
      </c>
      <c r="E112" s="157" t="s">
        <v>85</v>
      </c>
      <c r="F112" s="158" t="s">
        <v>44</v>
      </c>
      <c r="G112" s="51"/>
    </row>
    <row r="113" spans="1:7" s="52" customFormat="1" ht="27.75" thickBot="1" x14ac:dyDescent="0.35">
      <c r="A113" s="78" t="s">
        <v>5</v>
      </c>
      <c r="B113" s="160" t="s">
        <v>40</v>
      </c>
      <c r="C113" s="159"/>
      <c r="D113" s="78" t="s">
        <v>13</v>
      </c>
      <c r="E113" s="275" t="s">
        <v>14</v>
      </c>
      <c r="F113" s="276"/>
      <c r="G113" s="51"/>
    </row>
    <row r="114" spans="1:7" s="52" customFormat="1" ht="41.25" thickBot="1" x14ac:dyDescent="0.35">
      <c r="A114" s="48" t="s">
        <v>97</v>
      </c>
      <c r="B114" s="49">
        <v>12</v>
      </c>
      <c r="C114" s="151" t="str">
        <f xml:space="preserve"> IF(B114="","",setValueToTime(B114))</f>
        <v>1h</v>
      </c>
      <c r="D114" s="171" t="s">
        <v>199</v>
      </c>
      <c r="E114" s="273"/>
      <c r="F114" s="274"/>
      <c r="G114" s="58"/>
    </row>
    <row r="115" spans="1:7" s="52" customFormat="1" ht="15" customHeight="1" thickBot="1" x14ac:dyDescent="0.35">
      <c r="A115" s="53" t="s">
        <v>92</v>
      </c>
      <c r="B115" s="54">
        <v>5</v>
      </c>
      <c r="C115" s="152" t="str">
        <f t="shared" ref="C115:C119" si="12" xml:space="preserve"> IF(B115="","",setValueToTime(B115))</f>
        <v>0h25min</v>
      </c>
      <c r="D115" s="174" t="s">
        <v>195</v>
      </c>
      <c r="E115" s="265"/>
      <c r="F115" s="266"/>
      <c r="G115" s="78" t="s">
        <v>163</v>
      </c>
    </row>
    <row r="116" spans="1:7" s="52" customFormat="1" ht="102" x14ac:dyDescent="0.3">
      <c r="A116" s="53" t="s">
        <v>16</v>
      </c>
      <c r="B116" s="54">
        <v>3</v>
      </c>
      <c r="C116" s="152" t="str">
        <f t="shared" si="12"/>
        <v>0h15min</v>
      </c>
      <c r="D116" s="174" t="s">
        <v>196</v>
      </c>
      <c r="E116" s="265"/>
      <c r="F116" s="266"/>
      <c r="G116" s="230" t="s">
        <v>201</v>
      </c>
    </row>
    <row r="117" spans="1:7" s="52" customFormat="1" ht="54" x14ac:dyDescent="0.3">
      <c r="A117" s="53" t="s">
        <v>97</v>
      </c>
      <c r="B117" s="54">
        <v>15</v>
      </c>
      <c r="C117" s="152" t="str">
        <f t="shared" si="12"/>
        <v>1h15min</v>
      </c>
      <c r="D117" s="174" t="s">
        <v>198</v>
      </c>
      <c r="E117" s="280" t="s">
        <v>197</v>
      </c>
      <c r="F117" s="284"/>
      <c r="G117" s="225"/>
    </row>
    <row r="118" spans="1:7" s="52" customFormat="1" ht="27" x14ac:dyDescent="0.3">
      <c r="A118" s="54" t="s">
        <v>17</v>
      </c>
      <c r="B118" s="54">
        <v>2</v>
      </c>
      <c r="C118" s="153" t="str">
        <f t="shared" si="12"/>
        <v>0h10min</v>
      </c>
      <c r="D118" s="174" t="s">
        <v>203</v>
      </c>
      <c r="E118" s="265"/>
      <c r="F118" s="266"/>
      <c r="G118" s="225"/>
    </row>
    <row r="119" spans="1:7" s="52" customFormat="1" ht="27.75" thickBot="1" x14ac:dyDescent="0.35">
      <c r="A119" s="54" t="s">
        <v>101</v>
      </c>
      <c r="B119" s="54">
        <v>1</v>
      </c>
      <c r="C119" s="153" t="str">
        <f t="shared" si="12"/>
        <v>0h5min</v>
      </c>
      <c r="D119" s="174" t="s">
        <v>202</v>
      </c>
      <c r="E119" s="265"/>
      <c r="F119" s="266"/>
      <c r="G119" s="226"/>
    </row>
    <row r="120" spans="1:7" s="52" customFormat="1" ht="15" thickBot="1" x14ac:dyDescent="0.35">
      <c r="A120" s="161" t="s">
        <v>29</v>
      </c>
      <c r="B120" s="83">
        <f>SUM(B114:B119)</f>
        <v>38</v>
      </c>
      <c r="C120" s="161" t="str">
        <f xml:space="preserve"> setValueToTime(B120)</f>
        <v>3h10min</v>
      </c>
      <c r="D120" s="120"/>
      <c r="E120" s="278"/>
      <c r="F120" s="279"/>
      <c r="G120" s="51"/>
    </row>
    <row r="121" spans="1:7" s="59" customFormat="1" ht="15" thickBot="1" x14ac:dyDescent="0.35">
      <c r="A121" s="77"/>
      <c r="B121" s="77"/>
      <c r="C121" s="77"/>
      <c r="D121" s="77"/>
      <c r="E121" s="77"/>
      <c r="F121" s="77"/>
      <c r="G121" s="51"/>
    </row>
    <row r="122" spans="1:7" s="47" customFormat="1" ht="30" customHeight="1" thickBot="1" x14ac:dyDescent="0.35">
      <c r="A122" s="155" t="s">
        <v>12</v>
      </c>
      <c r="B122" s="163">
        <v>5</v>
      </c>
      <c r="C122" s="163"/>
      <c r="D122" s="156" t="s">
        <v>15</v>
      </c>
      <c r="E122" s="157" t="s">
        <v>72</v>
      </c>
      <c r="F122" s="158" t="s">
        <v>43</v>
      </c>
      <c r="G122" s="51"/>
    </row>
    <row r="123" spans="1:7" s="47" customFormat="1" ht="30" customHeight="1" thickBot="1" x14ac:dyDescent="0.35">
      <c r="A123" s="78" t="s">
        <v>5</v>
      </c>
      <c r="B123" s="160" t="s">
        <v>40</v>
      </c>
      <c r="C123" s="159"/>
      <c r="D123" s="78" t="s">
        <v>13</v>
      </c>
      <c r="E123" s="275" t="s">
        <v>14</v>
      </c>
      <c r="F123" s="276"/>
      <c r="G123" s="51"/>
    </row>
    <row r="124" spans="1:7" s="52" customFormat="1" ht="27.75" thickBot="1" x14ac:dyDescent="0.35">
      <c r="A124" s="48" t="s">
        <v>87</v>
      </c>
      <c r="B124" s="49">
        <v>6</v>
      </c>
      <c r="C124" s="151" t="str">
        <f xml:space="preserve"> IF(B124="","",setValueToTime(B124))</f>
        <v>0h30min</v>
      </c>
      <c r="D124" s="171" t="s">
        <v>179</v>
      </c>
      <c r="E124" s="273"/>
      <c r="F124" s="274"/>
      <c r="G124" s="58"/>
    </row>
    <row r="125" spans="1:7" s="52" customFormat="1" ht="41.25" thickBot="1" x14ac:dyDescent="0.35">
      <c r="A125" s="53" t="s">
        <v>16</v>
      </c>
      <c r="B125" s="54">
        <v>14</v>
      </c>
      <c r="C125" s="152" t="str">
        <f t="shared" ref="C125:C130" si="13" xml:space="preserve"> IF(B125="","",setValueToTime(B125))</f>
        <v>1h10min</v>
      </c>
      <c r="D125" s="174" t="s">
        <v>187</v>
      </c>
      <c r="E125" s="265"/>
      <c r="F125" s="266"/>
      <c r="G125" s="78" t="s">
        <v>163</v>
      </c>
    </row>
    <row r="126" spans="1:7" s="52" customFormat="1" ht="63.75" x14ac:dyDescent="0.3">
      <c r="A126" s="53" t="s">
        <v>91</v>
      </c>
      <c r="B126" s="54">
        <v>5</v>
      </c>
      <c r="C126" s="152" t="str">
        <f t="shared" si="13"/>
        <v>0h25min</v>
      </c>
      <c r="D126" s="174" t="s">
        <v>186</v>
      </c>
      <c r="E126" s="280" t="s">
        <v>193</v>
      </c>
      <c r="F126" s="284"/>
      <c r="G126" s="230" t="s">
        <v>200</v>
      </c>
    </row>
    <row r="127" spans="1:7" s="52" customFormat="1" ht="54" x14ac:dyDescent="0.3">
      <c r="A127" s="53" t="s">
        <v>90</v>
      </c>
      <c r="B127" s="54">
        <v>5</v>
      </c>
      <c r="C127" s="152" t="str">
        <f t="shared" si="13"/>
        <v>0h25min</v>
      </c>
      <c r="D127" s="174" t="s">
        <v>188</v>
      </c>
      <c r="E127" s="280"/>
      <c r="F127" s="284"/>
      <c r="G127" s="225"/>
    </row>
    <row r="128" spans="1:7" s="52" customFormat="1" ht="27" x14ac:dyDescent="0.3">
      <c r="A128" s="54" t="s">
        <v>100</v>
      </c>
      <c r="B128" s="54">
        <v>4</v>
      </c>
      <c r="C128" s="153" t="str">
        <f t="shared" si="13"/>
        <v>0h20min</v>
      </c>
      <c r="D128" s="174" t="s">
        <v>189</v>
      </c>
      <c r="E128" s="280" t="s">
        <v>192</v>
      </c>
      <c r="F128" s="284"/>
      <c r="G128" s="225"/>
    </row>
    <row r="129" spans="1:8" s="52" customFormat="1" ht="27.75" thickBot="1" x14ac:dyDescent="0.35">
      <c r="A129" s="54" t="s">
        <v>17</v>
      </c>
      <c r="B129" s="54">
        <v>2</v>
      </c>
      <c r="C129" s="153" t="str">
        <f t="shared" si="13"/>
        <v>0h10min</v>
      </c>
      <c r="D129" s="174" t="s">
        <v>190</v>
      </c>
      <c r="E129" s="265"/>
      <c r="F129" s="266"/>
      <c r="G129" s="226"/>
    </row>
    <row r="130" spans="1:8" s="52" customFormat="1" ht="27.75" thickBot="1" x14ac:dyDescent="0.35">
      <c r="A130" s="54" t="s">
        <v>101</v>
      </c>
      <c r="B130" s="54">
        <v>2</v>
      </c>
      <c r="C130" s="153" t="str">
        <f t="shared" si="13"/>
        <v>0h10min</v>
      </c>
      <c r="D130" s="174" t="s">
        <v>194</v>
      </c>
      <c r="E130" s="265"/>
      <c r="F130" s="266"/>
      <c r="G130" s="51"/>
    </row>
    <row r="131" spans="1:8" s="52" customFormat="1" ht="15" thickBot="1" x14ac:dyDescent="0.35">
      <c r="A131" s="161" t="s">
        <v>29</v>
      </c>
      <c r="B131" s="83">
        <f>SUM(B124:B130)</f>
        <v>38</v>
      </c>
      <c r="C131" s="161" t="str">
        <f xml:space="preserve"> setValueToTime(B131)</f>
        <v>3h10min</v>
      </c>
      <c r="D131" s="120"/>
      <c r="E131" s="278"/>
      <c r="F131" s="279"/>
      <c r="G131" s="51"/>
    </row>
    <row r="132" spans="1:8" s="52" customFormat="1" ht="15" thickBot="1" x14ac:dyDescent="0.35">
      <c r="A132" s="77"/>
      <c r="B132" s="77"/>
      <c r="C132" s="77"/>
      <c r="D132" s="77"/>
      <c r="E132" s="77"/>
      <c r="F132" s="77"/>
      <c r="G132" s="51"/>
    </row>
    <row r="133" spans="1:8" s="59" customFormat="1" ht="18.75" thickBot="1" x14ac:dyDescent="0.35">
      <c r="A133" s="155" t="s">
        <v>12</v>
      </c>
      <c r="B133" s="163">
        <v>4</v>
      </c>
      <c r="C133" s="163"/>
      <c r="D133" s="156" t="s">
        <v>15</v>
      </c>
      <c r="E133" s="157" t="s">
        <v>72</v>
      </c>
      <c r="F133" s="158" t="s">
        <v>44</v>
      </c>
      <c r="G133" s="51"/>
    </row>
    <row r="134" spans="1:8" s="47" customFormat="1" ht="30" customHeight="1" thickBot="1" x14ac:dyDescent="0.35">
      <c r="A134" s="78" t="s">
        <v>5</v>
      </c>
      <c r="B134" s="160" t="s">
        <v>40</v>
      </c>
      <c r="C134" s="159"/>
      <c r="D134" s="78" t="s">
        <v>13</v>
      </c>
      <c r="E134" s="275" t="s">
        <v>14</v>
      </c>
      <c r="F134" s="276"/>
      <c r="G134" s="51"/>
    </row>
    <row r="135" spans="1:8" s="47" customFormat="1" ht="30" customHeight="1" x14ac:dyDescent="0.3">
      <c r="A135" s="48" t="s">
        <v>92</v>
      </c>
      <c r="B135" s="49">
        <v>12</v>
      </c>
      <c r="C135" s="151" t="str">
        <f xml:space="preserve"> IF(B135="","",setValueToTime(B135))</f>
        <v>1h</v>
      </c>
      <c r="D135" s="171" t="s">
        <v>184</v>
      </c>
      <c r="E135" s="277" t="s">
        <v>181</v>
      </c>
      <c r="F135" s="274"/>
      <c r="G135" s="58"/>
      <c r="H135" s="227"/>
    </row>
    <row r="136" spans="1:8" s="52" customFormat="1" ht="40.5" x14ac:dyDescent="0.3">
      <c r="A136" s="53" t="s">
        <v>91</v>
      </c>
      <c r="B136" s="54">
        <v>10</v>
      </c>
      <c r="C136" s="152" t="str">
        <f t="shared" ref="C136:C138" si="14" xml:space="preserve"> IF(B136="","",setValueToTime(B136))</f>
        <v>0h50min</v>
      </c>
      <c r="D136" s="174" t="s">
        <v>185</v>
      </c>
      <c r="E136" s="280" t="s">
        <v>191</v>
      </c>
      <c r="F136" s="284"/>
      <c r="G136" s="46"/>
      <c r="H136" s="228"/>
    </row>
    <row r="137" spans="1:8" s="52" customFormat="1" ht="135" x14ac:dyDescent="0.3">
      <c r="A137" s="53" t="s">
        <v>90</v>
      </c>
      <c r="B137" s="54">
        <v>14</v>
      </c>
      <c r="C137" s="152" t="str">
        <f t="shared" si="14"/>
        <v>1h10min</v>
      </c>
      <c r="D137" s="174" t="s">
        <v>183</v>
      </c>
      <c r="E137" s="280" t="s">
        <v>182</v>
      </c>
      <c r="F137" s="266"/>
      <c r="G137" s="46"/>
      <c r="H137" s="228"/>
    </row>
    <row r="138" spans="1:8" s="52" customFormat="1" ht="27.75" thickBot="1" x14ac:dyDescent="0.35">
      <c r="A138" s="53" t="s">
        <v>17</v>
      </c>
      <c r="B138" s="54">
        <v>2</v>
      </c>
      <c r="C138" s="152" t="str">
        <f t="shared" si="14"/>
        <v>0h10min</v>
      </c>
      <c r="D138" s="174" t="s">
        <v>175</v>
      </c>
      <c r="E138" s="265"/>
      <c r="F138" s="266"/>
      <c r="G138" s="51"/>
      <c r="H138" s="229"/>
    </row>
    <row r="139" spans="1:8" s="52" customFormat="1" ht="15" thickBot="1" x14ac:dyDescent="0.35">
      <c r="A139" s="161" t="s">
        <v>29</v>
      </c>
      <c r="B139" s="83">
        <f>SUM(B135:B138)</f>
        <v>38</v>
      </c>
      <c r="C139" s="161" t="str">
        <f xml:space="preserve"> setValueToTime(B139)</f>
        <v>3h10min</v>
      </c>
      <c r="D139" s="120"/>
      <c r="E139" s="278"/>
      <c r="F139" s="279"/>
      <c r="G139" s="51"/>
    </row>
    <row r="140" spans="1:8" s="52" customFormat="1" ht="15" thickBot="1" x14ac:dyDescent="0.35">
      <c r="A140" s="77"/>
      <c r="B140" s="77"/>
      <c r="C140" s="77"/>
      <c r="D140" s="77"/>
      <c r="E140" s="77"/>
      <c r="F140" s="77"/>
      <c r="G140" s="51"/>
    </row>
    <row r="141" spans="1:8" s="52" customFormat="1" ht="18.75" thickBot="1" x14ac:dyDescent="0.35">
      <c r="A141" s="155" t="s">
        <v>12</v>
      </c>
      <c r="B141" s="163">
        <v>3</v>
      </c>
      <c r="C141" s="163"/>
      <c r="D141" s="156" t="s">
        <v>15</v>
      </c>
      <c r="E141" s="157" t="s">
        <v>73</v>
      </c>
      <c r="F141" s="158" t="s">
        <v>43</v>
      </c>
      <c r="G141" s="51"/>
    </row>
    <row r="142" spans="1:8" s="52" customFormat="1" ht="27.75" thickBot="1" x14ac:dyDescent="0.35">
      <c r="A142" s="78" t="s">
        <v>5</v>
      </c>
      <c r="B142" s="160" t="s">
        <v>40</v>
      </c>
      <c r="C142" s="159">
        <v>38</v>
      </c>
      <c r="D142" s="78" t="s">
        <v>13</v>
      </c>
      <c r="E142" s="275" t="s">
        <v>14</v>
      </c>
      <c r="F142" s="276"/>
      <c r="G142" s="51"/>
    </row>
    <row r="143" spans="1:8" s="52" customFormat="1" ht="27.75" thickBot="1" x14ac:dyDescent="0.35">
      <c r="A143" s="53" t="s">
        <v>92</v>
      </c>
      <c r="B143" s="54">
        <v>25</v>
      </c>
      <c r="C143" s="152" t="str">
        <f t="shared" ref="C143" si="15" xml:space="preserve"> IF(B143="","",setValueToTime(B143))</f>
        <v>2h5min</v>
      </c>
      <c r="D143" s="174" t="s">
        <v>164</v>
      </c>
      <c r="E143" s="277" t="s">
        <v>181</v>
      </c>
      <c r="F143" s="274"/>
      <c r="G143" s="58"/>
    </row>
    <row r="144" spans="1:8" s="52" customFormat="1" ht="27.75" thickBot="1" x14ac:dyDescent="0.35">
      <c r="A144" s="53" t="s">
        <v>101</v>
      </c>
      <c r="B144" s="54">
        <v>3</v>
      </c>
      <c r="C144" s="152" t="str">
        <f t="shared" ref="C144:C150" si="16" xml:space="preserve"> IF(B144="","",setValueToTime(B144))</f>
        <v>0h15min</v>
      </c>
      <c r="D144" s="174" t="s">
        <v>167</v>
      </c>
      <c r="E144" s="265"/>
      <c r="F144" s="266"/>
      <c r="G144" s="78" t="s">
        <v>163</v>
      </c>
    </row>
    <row r="145" spans="1:8" s="59" customFormat="1" ht="27" x14ac:dyDescent="0.3">
      <c r="A145" s="53" t="s">
        <v>16</v>
      </c>
      <c r="B145" s="54">
        <v>4</v>
      </c>
      <c r="C145" s="152" t="str">
        <f t="shared" si="16"/>
        <v>0h20min</v>
      </c>
      <c r="D145" s="174" t="s">
        <v>168</v>
      </c>
      <c r="E145" s="265"/>
      <c r="F145" s="266"/>
      <c r="G145" s="281" t="s">
        <v>176</v>
      </c>
    </row>
    <row r="146" spans="1:8" s="47" customFormat="1" ht="30" customHeight="1" thickBot="1" x14ac:dyDescent="0.3">
      <c r="A146" s="53" t="s">
        <v>17</v>
      </c>
      <c r="B146" s="54">
        <v>3</v>
      </c>
      <c r="C146" s="152" t="str">
        <f t="shared" si="16"/>
        <v>0h15min</v>
      </c>
      <c r="D146" s="174" t="s">
        <v>169</v>
      </c>
      <c r="E146" s="265"/>
      <c r="F146" s="266"/>
      <c r="G146" s="282"/>
    </row>
    <row r="147" spans="1:8" s="47" customFormat="1" ht="30" customHeight="1" x14ac:dyDescent="0.25">
      <c r="A147" s="53" t="s">
        <v>17</v>
      </c>
      <c r="B147" s="54">
        <v>2</v>
      </c>
      <c r="C147" s="152" t="str">
        <f t="shared" si="16"/>
        <v>0h10min</v>
      </c>
      <c r="D147" s="174" t="s">
        <v>161</v>
      </c>
      <c r="E147" s="265"/>
      <c r="F147" s="266"/>
      <c r="G147" s="282"/>
      <c r="H147" s="227"/>
    </row>
    <row r="148" spans="1:8" s="52" customFormat="1" ht="15" thickBot="1" x14ac:dyDescent="0.35">
      <c r="A148" s="53" t="s">
        <v>101</v>
      </c>
      <c r="B148" s="54">
        <v>1</v>
      </c>
      <c r="C148" s="152" t="str">
        <f t="shared" si="16"/>
        <v>0h5min</v>
      </c>
      <c r="D148" s="174" t="s">
        <v>121</v>
      </c>
      <c r="E148" s="265"/>
      <c r="F148" s="266"/>
      <c r="G148" s="283"/>
      <c r="H148" s="228"/>
    </row>
    <row r="149" spans="1:8" s="52" customFormat="1" x14ac:dyDescent="0.3">
      <c r="A149" s="54"/>
      <c r="B149" s="54"/>
      <c r="C149" s="153" t="str">
        <f t="shared" si="16"/>
        <v/>
      </c>
      <c r="D149" s="55"/>
      <c r="E149" s="265"/>
      <c r="F149" s="266"/>
      <c r="G149" s="51"/>
      <c r="H149" s="228"/>
    </row>
    <row r="150" spans="1:8" s="52" customFormat="1" ht="15" thickBot="1" x14ac:dyDescent="0.35">
      <c r="A150" s="56"/>
      <c r="B150" s="56"/>
      <c r="C150" s="154" t="str">
        <f t="shared" si="16"/>
        <v/>
      </c>
      <c r="D150" s="57"/>
      <c r="E150" s="267"/>
      <c r="F150" s="268"/>
      <c r="G150" s="51"/>
      <c r="H150" s="229"/>
    </row>
    <row r="151" spans="1:8" s="52" customFormat="1" ht="15" thickBot="1" x14ac:dyDescent="0.35">
      <c r="A151" s="161" t="s">
        <v>29</v>
      </c>
      <c r="B151" s="83">
        <f>SUM(B143:B150)</f>
        <v>38</v>
      </c>
      <c r="C151" s="161" t="str">
        <f xml:space="preserve"> setValueToTime(B151)</f>
        <v>3h10min</v>
      </c>
      <c r="D151" s="120"/>
      <c r="E151" s="278"/>
      <c r="F151" s="279"/>
      <c r="G151" s="51"/>
    </row>
    <row r="152" spans="1:8" s="52" customFormat="1" ht="15" thickBot="1" x14ac:dyDescent="0.35">
      <c r="A152" s="77"/>
      <c r="B152" s="77"/>
      <c r="C152" s="77"/>
      <c r="D152" s="77"/>
      <c r="E152" s="77"/>
      <c r="F152" s="77"/>
      <c r="G152" s="51"/>
    </row>
    <row r="153" spans="1:8" s="52" customFormat="1" ht="18.75" thickBot="1" x14ac:dyDescent="0.35">
      <c r="A153" s="155" t="s">
        <v>12</v>
      </c>
      <c r="B153" s="163">
        <v>2</v>
      </c>
      <c r="C153" s="163"/>
      <c r="D153" s="156" t="s">
        <v>15</v>
      </c>
      <c r="E153" s="157" t="s">
        <v>73</v>
      </c>
      <c r="F153" s="158" t="s">
        <v>44</v>
      </c>
      <c r="G153" s="51"/>
    </row>
    <row r="154" spans="1:8" s="52" customFormat="1" ht="27.75" thickBot="1" x14ac:dyDescent="0.35">
      <c r="A154" s="78" t="s">
        <v>5</v>
      </c>
      <c r="B154" s="160" t="s">
        <v>40</v>
      </c>
      <c r="C154" s="159">
        <v>48</v>
      </c>
      <c r="D154" s="78" t="s">
        <v>13</v>
      </c>
      <c r="E154" s="275" t="s">
        <v>14</v>
      </c>
      <c r="F154" s="276"/>
      <c r="G154" s="51"/>
    </row>
    <row r="155" spans="1:8" s="52" customFormat="1" ht="27" x14ac:dyDescent="0.3">
      <c r="A155" s="48" t="s">
        <v>93</v>
      </c>
      <c r="B155" s="49">
        <v>2</v>
      </c>
      <c r="C155" s="151" t="str">
        <f xml:space="preserve"> IF(B155="","",setValueToTime(B155))</f>
        <v>0h10min</v>
      </c>
      <c r="D155" s="171" t="s">
        <v>178</v>
      </c>
      <c r="E155" s="273"/>
      <c r="F155" s="274"/>
      <c r="G155" s="58"/>
    </row>
    <row r="156" spans="1:8" s="52" customFormat="1" ht="27" x14ac:dyDescent="0.3">
      <c r="A156" s="53" t="s">
        <v>87</v>
      </c>
      <c r="B156" s="54">
        <v>23</v>
      </c>
      <c r="C156" s="152" t="str">
        <f t="shared" ref="C156:C158" si="17" xml:space="preserve"> IF(B156="","",setValueToTime(B156))</f>
        <v>1h55min</v>
      </c>
      <c r="D156" s="174" t="s">
        <v>160</v>
      </c>
      <c r="E156" s="265"/>
      <c r="F156" s="266"/>
      <c r="G156" s="219"/>
    </row>
    <row r="157" spans="1:8" s="59" customFormat="1" ht="27" x14ac:dyDescent="0.3">
      <c r="A157" s="53" t="s">
        <v>17</v>
      </c>
      <c r="B157" s="54">
        <v>2</v>
      </c>
      <c r="C157" s="152" t="str">
        <f t="shared" si="17"/>
        <v>0h10min</v>
      </c>
      <c r="D157" s="174" t="s">
        <v>161</v>
      </c>
      <c r="E157" s="265"/>
      <c r="F157" s="266"/>
      <c r="G157" s="215"/>
    </row>
    <row r="158" spans="1:8" s="47" customFormat="1" ht="30" customHeight="1" x14ac:dyDescent="0.25">
      <c r="A158" s="53" t="s">
        <v>92</v>
      </c>
      <c r="B158" s="54">
        <v>9</v>
      </c>
      <c r="C158" s="152" t="str">
        <f t="shared" si="17"/>
        <v>0h45min</v>
      </c>
      <c r="D158" s="174" t="s">
        <v>164</v>
      </c>
      <c r="E158" s="285" t="s">
        <v>165</v>
      </c>
      <c r="F158" s="266"/>
      <c r="G158" s="215"/>
    </row>
    <row r="159" spans="1:8" s="47" customFormat="1" ht="30" customHeight="1" x14ac:dyDescent="0.25">
      <c r="A159" s="53" t="s">
        <v>101</v>
      </c>
      <c r="B159" s="54">
        <v>1</v>
      </c>
      <c r="C159" s="152" t="str">
        <f xml:space="preserve"> IF(B159="","",setValueToTime(B159))</f>
        <v>0h5min</v>
      </c>
      <c r="D159" s="174" t="s">
        <v>114</v>
      </c>
      <c r="E159" s="224"/>
      <c r="F159" s="223"/>
      <c r="G159" s="215"/>
    </row>
    <row r="160" spans="1:8" s="52" customFormat="1" ht="27.75" thickBot="1" x14ac:dyDescent="0.35">
      <c r="A160" s="53" t="s">
        <v>17</v>
      </c>
      <c r="B160" s="54">
        <v>1</v>
      </c>
      <c r="C160" s="152" t="str">
        <f xml:space="preserve"> IF(B160="","",setValueToTime(B160))</f>
        <v>0h5min</v>
      </c>
      <c r="D160" s="174" t="s">
        <v>166</v>
      </c>
      <c r="E160" s="265"/>
      <c r="F160" s="266"/>
      <c r="G160" s="215"/>
    </row>
    <row r="161" spans="1:8" s="52" customFormat="1" ht="15" thickBot="1" x14ac:dyDescent="0.35">
      <c r="A161" s="161" t="s">
        <v>29</v>
      </c>
      <c r="B161" s="83">
        <f>SUM(B155:B160)</f>
        <v>38</v>
      </c>
      <c r="C161" s="161" t="str">
        <f xml:space="preserve"> setValueToTime(B161)</f>
        <v>3h10min</v>
      </c>
      <c r="D161" s="120"/>
      <c r="E161" s="278"/>
      <c r="F161" s="279"/>
      <c r="G161" s="213"/>
    </row>
    <row r="162" spans="1:8" s="52" customFormat="1" ht="15" thickBot="1" x14ac:dyDescent="0.35">
      <c r="A162" s="77"/>
      <c r="B162" s="77"/>
      <c r="C162" s="77"/>
      <c r="D162" s="77"/>
      <c r="E162" s="77"/>
      <c r="F162" s="77"/>
      <c r="G162" s="51"/>
    </row>
    <row r="163" spans="1:8" s="52" customFormat="1" ht="18.75" thickBot="1" x14ac:dyDescent="0.35">
      <c r="A163" s="155" t="s">
        <v>12</v>
      </c>
      <c r="B163" s="163">
        <v>1</v>
      </c>
      <c r="C163" s="163"/>
      <c r="D163" s="156" t="s">
        <v>15</v>
      </c>
      <c r="E163" s="157" t="s">
        <v>41</v>
      </c>
      <c r="F163" s="158" t="s">
        <v>43</v>
      </c>
      <c r="G163" s="51"/>
    </row>
    <row r="164" spans="1:8" s="52" customFormat="1" ht="27.75" thickBot="1" x14ac:dyDescent="0.35">
      <c r="A164" s="78" t="s">
        <v>5</v>
      </c>
      <c r="B164" s="160" t="s">
        <v>40</v>
      </c>
      <c r="C164" s="159">
        <v>38</v>
      </c>
      <c r="D164" s="78" t="s">
        <v>13</v>
      </c>
      <c r="E164" s="275" t="s">
        <v>14</v>
      </c>
      <c r="F164" s="276"/>
      <c r="G164" s="213"/>
    </row>
    <row r="165" spans="1:8" s="52" customFormat="1" ht="27.75" thickBot="1" x14ac:dyDescent="0.35">
      <c r="A165" s="48" t="s">
        <v>88</v>
      </c>
      <c r="B165" s="49">
        <v>6</v>
      </c>
      <c r="C165" s="151" t="str">
        <f xml:space="preserve"> IF(B165="","",setValueToTime(B165))</f>
        <v>0h30min</v>
      </c>
      <c r="D165" s="171" t="s">
        <v>107</v>
      </c>
      <c r="E165" s="273"/>
      <c r="F165" s="274"/>
      <c r="G165" s="78" t="s">
        <v>163</v>
      </c>
    </row>
    <row r="166" spans="1:8" s="52" customFormat="1" ht="27" x14ac:dyDescent="0.3">
      <c r="A166" s="53" t="s">
        <v>89</v>
      </c>
      <c r="B166" s="54">
        <v>7</v>
      </c>
      <c r="C166" s="152" t="str">
        <f t="shared" ref="C166:C168" si="18" xml:space="preserve"> IF(B166="","",setValueToTime(B166))</f>
        <v>0h35min</v>
      </c>
      <c r="D166" s="174" t="s">
        <v>108</v>
      </c>
      <c r="E166" s="265"/>
      <c r="F166" s="266"/>
      <c r="G166" s="281" t="s">
        <v>177</v>
      </c>
    </row>
    <row r="167" spans="1:8" s="52" customFormat="1" ht="27" x14ac:dyDescent="0.3">
      <c r="A167" s="53" t="s">
        <v>87</v>
      </c>
      <c r="B167" s="54">
        <v>10</v>
      </c>
      <c r="C167" s="152" t="str">
        <f t="shared" si="18"/>
        <v>0h50min</v>
      </c>
      <c r="D167" s="174" t="s">
        <v>109</v>
      </c>
      <c r="E167" s="265"/>
      <c r="F167" s="266"/>
      <c r="G167" s="282"/>
    </row>
    <row r="168" spans="1:8" s="52" customFormat="1" ht="41.25" thickBot="1" x14ac:dyDescent="0.35">
      <c r="A168" s="53" t="s">
        <v>93</v>
      </c>
      <c r="B168" s="54">
        <v>15</v>
      </c>
      <c r="C168" s="152" t="str">
        <f t="shared" si="18"/>
        <v>1h15min</v>
      </c>
      <c r="D168" s="174" t="s">
        <v>158</v>
      </c>
      <c r="E168" s="280" t="s">
        <v>180</v>
      </c>
      <c r="F168" s="266"/>
      <c r="G168" s="282"/>
    </row>
    <row r="169" spans="1:8" s="59" customFormat="1" ht="15" thickBot="1" x14ac:dyDescent="0.35">
      <c r="A169" s="161" t="s">
        <v>29</v>
      </c>
      <c r="B169" s="83">
        <f>SUM(B165:B168)</f>
        <v>38</v>
      </c>
      <c r="C169" s="161" t="str">
        <f xml:space="preserve"> setValueToTime(B169)</f>
        <v>3h10min</v>
      </c>
      <c r="D169" s="120"/>
      <c r="E169" s="278"/>
      <c r="F169" s="279"/>
      <c r="G169" s="283"/>
    </row>
    <row r="170" spans="1:8" s="47" customFormat="1" ht="30" customHeight="1" thickBot="1" x14ac:dyDescent="0.35">
      <c r="A170" s="77"/>
      <c r="B170" s="77"/>
      <c r="C170" s="77"/>
      <c r="D170" s="77"/>
      <c r="E170" s="77"/>
      <c r="F170" s="77"/>
      <c r="G170" s="213"/>
    </row>
    <row r="171" spans="1:8" s="47" customFormat="1" ht="30" customHeight="1" x14ac:dyDescent="0.3">
      <c r="A171" s="60"/>
      <c r="B171" s="60"/>
      <c r="C171" s="60"/>
      <c r="D171" s="60"/>
      <c r="E171" s="124"/>
      <c r="F171" s="124"/>
      <c r="G171" s="213"/>
      <c r="H171" s="227"/>
    </row>
    <row r="172" spans="1:8" s="52" customFormat="1" x14ac:dyDescent="0.3">
      <c r="A172" s="60"/>
      <c r="B172" s="60"/>
      <c r="C172" s="60"/>
      <c r="D172" s="60"/>
      <c r="E172" s="124"/>
      <c r="F172" s="124"/>
      <c r="G172" s="213"/>
      <c r="H172" s="228"/>
    </row>
    <row r="173" spans="1:8" s="52" customFormat="1" x14ac:dyDescent="0.3">
      <c r="A173" s="60"/>
      <c r="B173" s="60"/>
      <c r="C173" s="60"/>
      <c r="D173" s="60"/>
      <c r="E173" s="124"/>
      <c r="F173" s="124"/>
      <c r="G173" s="124"/>
      <c r="H173" s="228"/>
    </row>
    <row r="174" spans="1:8" s="52" customFormat="1" ht="15" thickBot="1" x14ac:dyDescent="0.35">
      <c r="A174" s="60"/>
      <c r="B174" s="60"/>
      <c r="C174" s="60"/>
      <c r="D174" s="60"/>
      <c r="E174" s="124"/>
      <c r="F174" s="124"/>
      <c r="G174" s="124"/>
      <c r="H174" s="229"/>
    </row>
    <row r="175" spans="1:8" s="52" customFormat="1" x14ac:dyDescent="0.3">
      <c r="A175" s="60"/>
      <c r="B175" s="60"/>
      <c r="C175" s="60"/>
      <c r="D175" s="60"/>
      <c r="E175" s="124"/>
      <c r="F175" s="124"/>
      <c r="G175" s="124"/>
    </row>
    <row r="176" spans="1:8" s="52" customFormat="1" x14ac:dyDescent="0.3">
      <c r="A176" s="60"/>
      <c r="B176" s="60"/>
      <c r="C176" s="60"/>
      <c r="D176" s="60"/>
      <c r="E176" s="124"/>
      <c r="F176" s="124"/>
      <c r="G176" s="124"/>
    </row>
    <row r="177" spans="1:9" s="52" customFormat="1" x14ac:dyDescent="0.3">
      <c r="A177" s="60"/>
      <c r="B177" s="60"/>
      <c r="C177" s="60"/>
      <c r="D177" s="60"/>
      <c r="E177" s="124"/>
      <c r="F177" s="124"/>
      <c r="G177" s="124"/>
    </row>
    <row r="178" spans="1:9" s="52" customFormat="1" x14ac:dyDescent="0.3">
      <c r="A178" s="60"/>
      <c r="B178" s="60"/>
      <c r="C178" s="60"/>
      <c r="D178" s="60"/>
      <c r="E178" s="124"/>
      <c r="F178" s="61"/>
      <c r="G178" s="124"/>
    </row>
    <row r="179" spans="1:9" s="52" customFormat="1" x14ac:dyDescent="0.3">
      <c r="A179" s="60"/>
      <c r="B179" s="60"/>
      <c r="C179" s="60"/>
      <c r="D179" s="60"/>
      <c r="E179" s="124"/>
      <c r="F179" s="61"/>
      <c r="G179" s="220"/>
    </row>
    <row r="180" spans="1:9" s="52" customFormat="1" x14ac:dyDescent="0.3">
      <c r="A180" s="60"/>
      <c r="B180" s="60"/>
      <c r="C180" s="60"/>
      <c r="D180" s="60"/>
      <c r="E180" s="124"/>
      <c r="F180" s="61"/>
      <c r="G180" s="61"/>
    </row>
    <row r="181" spans="1:9" s="59" customFormat="1" x14ac:dyDescent="0.3">
      <c r="A181" s="60"/>
      <c r="B181" s="60"/>
      <c r="C181" s="60"/>
      <c r="D181" s="60"/>
      <c r="E181" s="124"/>
      <c r="F181" s="61"/>
      <c r="G181" s="61"/>
    </row>
    <row r="182" spans="1:9" s="47" customFormat="1" ht="30" customHeight="1" thickBot="1" x14ac:dyDescent="0.35">
      <c r="A182" s="60"/>
      <c r="B182" s="60"/>
      <c r="C182" s="60"/>
      <c r="D182" s="60"/>
      <c r="E182" s="124"/>
      <c r="F182" s="61"/>
      <c r="G182" s="61"/>
      <c r="H182" s="212"/>
      <c r="I182" s="218"/>
    </row>
    <row r="183" spans="1:9" s="47" customFormat="1" ht="30" customHeight="1" x14ac:dyDescent="0.3">
      <c r="A183" s="60"/>
      <c r="B183" s="60"/>
      <c r="C183" s="60"/>
      <c r="D183" s="60"/>
      <c r="E183" s="124"/>
      <c r="F183" s="61"/>
      <c r="G183" s="61"/>
      <c r="H183" s="214"/>
    </row>
    <row r="184" spans="1:9" s="52" customFormat="1" x14ac:dyDescent="0.3">
      <c r="A184" s="60"/>
      <c r="B184" s="60"/>
      <c r="C184" s="60"/>
      <c r="D184" s="60"/>
      <c r="E184" s="124"/>
      <c r="F184" s="61"/>
      <c r="G184" s="61"/>
      <c r="H184" s="216"/>
    </row>
    <row r="185" spans="1:9" s="52" customFormat="1" x14ac:dyDescent="0.3">
      <c r="A185" s="60"/>
      <c r="B185" s="60"/>
      <c r="C185" s="60"/>
      <c r="D185" s="60"/>
      <c r="E185" s="124"/>
      <c r="F185" s="61"/>
      <c r="G185" s="61"/>
      <c r="H185" s="216"/>
    </row>
    <row r="186" spans="1:9" s="52" customFormat="1" ht="15" thickBot="1" x14ac:dyDescent="0.35">
      <c r="A186" s="60"/>
      <c r="B186" s="60"/>
      <c r="C186" s="60"/>
      <c r="D186" s="60"/>
      <c r="E186" s="124"/>
      <c r="F186" s="61"/>
      <c r="G186" s="61"/>
      <c r="H186" s="217"/>
    </row>
    <row r="187" spans="1:9" s="52" customFormat="1" x14ac:dyDescent="0.3">
      <c r="A187" s="60"/>
      <c r="B187" s="60"/>
      <c r="C187" s="60"/>
      <c r="D187" s="60"/>
      <c r="E187" s="124"/>
      <c r="F187" s="61"/>
      <c r="G187" s="61"/>
      <c r="H187" s="213"/>
    </row>
    <row r="188" spans="1:9" s="52" customFormat="1" x14ac:dyDescent="0.3">
      <c r="A188" s="60"/>
      <c r="B188" s="60"/>
      <c r="C188" s="60"/>
      <c r="D188" s="60"/>
      <c r="E188" s="124"/>
      <c r="F188" s="61"/>
      <c r="G188" s="61"/>
    </row>
    <row r="189" spans="1:9" s="52" customFormat="1" x14ac:dyDescent="0.3">
      <c r="A189" s="60"/>
      <c r="B189" s="60"/>
      <c r="C189" s="60"/>
      <c r="D189" s="60"/>
      <c r="E189" s="124"/>
      <c r="F189" s="61"/>
      <c r="G189" s="61"/>
    </row>
    <row r="190" spans="1:9" s="52" customFormat="1" x14ac:dyDescent="0.3">
      <c r="A190" s="60"/>
      <c r="B190" s="60"/>
      <c r="C190" s="60"/>
      <c r="D190" s="60"/>
      <c r="E190" s="124"/>
      <c r="F190" s="61"/>
      <c r="G190" s="61"/>
    </row>
    <row r="191" spans="1:9" s="52" customFormat="1" ht="18.75" customHeight="1" thickBot="1" x14ac:dyDescent="0.35">
      <c r="A191" s="60"/>
      <c r="B191" s="60"/>
      <c r="C191" s="60"/>
      <c r="D191" s="60"/>
      <c r="E191" s="124"/>
      <c r="F191" s="61"/>
      <c r="G191" s="61"/>
      <c r="H191" s="47"/>
    </row>
    <row r="192" spans="1:9" s="52" customFormat="1" ht="64.5" customHeight="1" x14ac:dyDescent="0.3">
      <c r="A192" s="60"/>
      <c r="B192" s="60"/>
      <c r="C192" s="60"/>
      <c r="D192" s="60"/>
      <c r="E192" s="124"/>
      <c r="F192" s="61"/>
      <c r="G192" s="61"/>
      <c r="H192" s="193"/>
    </row>
    <row r="193" spans="1:8" s="59" customFormat="1" x14ac:dyDescent="0.3">
      <c r="A193" s="60"/>
      <c r="B193" s="60"/>
      <c r="C193" s="60"/>
      <c r="D193" s="60"/>
      <c r="E193" s="124"/>
      <c r="F193" s="61"/>
      <c r="G193" s="61"/>
      <c r="H193" s="194"/>
    </row>
    <row r="194" spans="1:8" s="47" customFormat="1" ht="30" customHeight="1" x14ac:dyDescent="0.3">
      <c r="A194" s="60"/>
      <c r="B194" s="60"/>
      <c r="C194" s="60"/>
      <c r="D194" s="60"/>
      <c r="E194" s="124"/>
      <c r="F194" s="61"/>
      <c r="G194" s="61"/>
      <c r="H194" s="194"/>
    </row>
    <row r="195" spans="1:8" s="47" customFormat="1" ht="30" customHeight="1" thickBot="1" x14ac:dyDescent="0.35">
      <c r="A195" s="60"/>
      <c r="B195" s="60"/>
      <c r="C195" s="60"/>
      <c r="D195" s="60"/>
      <c r="E195" s="124"/>
      <c r="F195" s="61"/>
      <c r="G195" s="61"/>
      <c r="H195" s="195"/>
    </row>
    <row r="196" spans="1:8" s="52" customFormat="1" x14ac:dyDescent="0.3">
      <c r="A196" s="60"/>
      <c r="B196" s="60"/>
      <c r="C196" s="60"/>
      <c r="D196" s="60"/>
      <c r="E196" s="124"/>
      <c r="F196" s="61"/>
      <c r="G196" s="61"/>
    </row>
    <row r="197" spans="1:8" s="52" customFormat="1" x14ac:dyDescent="0.3">
      <c r="A197" s="60"/>
      <c r="B197" s="60"/>
      <c r="C197" s="60"/>
      <c r="D197" s="60"/>
      <c r="E197" s="124"/>
      <c r="F197" s="61"/>
      <c r="G197" s="61"/>
    </row>
    <row r="198" spans="1:8" s="52" customFormat="1" x14ac:dyDescent="0.3">
      <c r="A198" s="60"/>
      <c r="B198" s="60"/>
      <c r="C198" s="60"/>
      <c r="D198" s="60"/>
      <c r="E198" s="124"/>
      <c r="F198" s="61"/>
      <c r="G198" s="61"/>
    </row>
    <row r="199" spans="1:8" s="52" customFormat="1" x14ac:dyDescent="0.3">
      <c r="A199" s="60"/>
      <c r="B199" s="60"/>
      <c r="C199" s="60"/>
      <c r="D199" s="60"/>
      <c r="E199" s="124"/>
      <c r="F199" s="61"/>
      <c r="G199" s="61"/>
    </row>
    <row r="200" spans="1:8" s="52" customFormat="1" x14ac:dyDescent="0.3">
      <c r="A200" s="60"/>
      <c r="B200" s="60"/>
      <c r="C200" s="60"/>
      <c r="D200" s="60"/>
      <c r="E200" s="124"/>
      <c r="F200" s="61"/>
      <c r="G200" s="61"/>
    </row>
    <row r="201" spans="1:8" s="52" customFormat="1" x14ac:dyDescent="0.3">
      <c r="A201" s="60"/>
      <c r="B201" s="60"/>
      <c r="C201" s="60"/>
      <c r="D201" s="60"/>
      <c r="E201" s="124"/>
      <c r="F201" s="61"/>
      <c r="G201" s="61"/>
    </row>
    <row r="202" spans="1:8" s="52" customFormat="1" x14ac:dyDescent="0.3">
      <c r="A202" s="60"/>
      <c r="B202" s="60"/>
      <c r="C202" s="60"/>
      <c r="D202" s="60"/>
      <c r="E202" s="124"/>
      <c r="F202" s="61"/>
      <c r="G202" s="61"/>
    </row>
    <row r="203" spans="1:8" s="52" customFormat="1" x14ac:dyDescent="0.3">
      <c r="A203" s="60"/>
      <c r="B203" s="60"/>
      <c r="C203" s="60"/>
      <c r="D203" s="60"/>
      <c r="E203" s="124"/>
      <c r="F203" s="61"/>
      <c r="G203" s="61"/>
    </row>
    <row r="204" spans="1:8" s="52" customFormat="1" x14ac:dyDescent="0.3">
      <c r="A204" s="60"/>
      <c r="B204" s="60"/>
      <c r="C204" s="60"/>
      <c r="D204" s="60"/>
      <c r="E204" s="124"/>
      <c r="F204" s="61"/>
      <c r="G204" s="61"/>
    </row>
    <row r="205" spans="1:8" s="59" customFormat="1" x14ac:dyDescent="0.3">
      <c r="A205" s="60"/>
      <c r="B205" s="60"/>
      <c r="C205" s="60"/>
      <c r="D205" s="60"/>
      <c r="E205" s="124"/>
      <c r="F205" s="61"/>
      <c r="G205" s="61"/>
    </row>
    <row r="206" spans="1:8" s="47" customFormat="1" ht="30" customHeight="1" x14ac:dyDescent="0.3">
      <c r="A206" s="60"/>
      <c r="B206" s="60"/>
      <c r="C206" s="60"/>
      <c r="D206" s="60"/>
      <c r="E206" s="124"/>
      <c r="F206" s="61"/>
      <c r="G206" s="61"/>
      <c r="H206" s="61"/>
    </row>
    <row r="207" spans="1:8" s="47" customFormat="1" ht="30" customHeight="1" x14ac:dyDescent="0.3">
      <c r="A207" s="60"/>
      <c r="B207" s="60"/>
      <c r="C207" s="60"/>
      <c r="D207" s="60"/>
      <c r="E207" s="124"/>
      <c r="F207" s="61"/>
      <c r="G207" s="61"/>
      <c r="H207" s="61"/>
    </row>
    <row r="208" spans="1:8" s="52" customFormat="1" x14ac:dyDescent="0.3">
      <c r="A208" s="60"/>
      <c r="B208" s="60"/>
      <c r="C208" s="60"/>
      <c r="D208" s="60"/>
      <c r="E208" s="124"/>
      <c r="F208" s="61"/>
      <c r="G208" s="61"/>
      <c r="H208" s="61"/>
    </row>
    <row r="209" spans="1:8" s="52" customFormat="1" x14ac:dyDescent="0.3">
      <c r="A209" s="60"/>
      <c r="B209" s="60"/>
      <c r="C209" s="60"/>
      <c r="D209" s="60"/>
      <c r="E209" s="124"/>
      <c r="F209" s="61"/>
      <c r="G209" s="61"/>
      <c r="H209" s="61"/>
    </row>
    <row r="210" spans="1:8" s="52" customFormat="1" x14ac:dyDescent="0.3">
      <c r="A210" s="60"/>
      <c r="B210" s="60"/>
      <c r="C210" s="60"/>
      <c r="D210" s="60"/>
      <c r="E210" s="124"/>
      <c r="F210" s="61"/>
      <c r="G210" s="61"/>
      <c r="H210" s="61"/>
    </row>
    <row r="211" spans="1:8" s="52" customFormat="1" x14ac:dyDescent="0.3">
      <c r="A211" s="60"/>
      <c r="B211" s="60"/>
      <c r="C211" s="60"/>
      <c r="D211" s="60"/>
      <c r="E211" s="124"/>
      <c r="F211" s="61"/>
      <c r="G211" s="61"/>
      <c r="H211" s="61"/>
    </row>
    <row r="212" spans="1:8" s="52" customFormat="1" x14ac:dyDescent="0.3">
      <c r="A212" s="60"/>
      <c r="B212" s="60"/>
      <c r="C212" s="60"/>
      <c r="D212" s="60"/>
      <c r="E212" s="124"/>
      <c r="F212" s="61"/>
      <c r="G212" s="61"/>
      <c r="H212" s="61"/>
    </row>
    <row r="213" spans="1:8" s="52" customFormat="1" x14ac:dyDescent="0.3">
      <c r="A213" s="60"/>
      <c r="B213" s="60"/>
      <c r="C213" s="60"/>
      <c r="D213" s="60"/>
      <c r="E213" s="124"/>
      <c r="F213" s="61"/>
      <c r="G213" s="61"/>
      <c r="H213" s="61"/>
    </row>
    <row r="214" spans="1:8" s="52" customFormat="1" x14ac:dyDescent="0.3">
      <c r="A214" s="60"/>
      <c r="B214" s="60"/>
      <c r="C214" s="60"/>
      <c r="D214" s="60"/>
      <c r="E214" s="124"/>
      <c r="F214" s="61"/>
      <c r="G214" s="61"/>
      <c r="H214" s="61"/>
    </row>
    <row r="215" spans="1:8" s="52" customFormat="1" x14ac:dyDescent="0.3">
      <c r="A215" s="60"/>
      <c r="B215" s="60"/>
      <c r="C215" s="60"/>
      <c r="D215" s="60"/>
      <c r="E215" s="124"/>
      <c r="F215" s="61"/>
      <c r="G215" s="61"/>
      <c r="H215" s="61"/>
    </row>
    <row r="216" spans="1:8" s="52" customFormat="1" x14ac:dyDescent="0.3">
      <c r="A216" s="60"/>
      <c r="B216" s="60"/>
      <c r="C216" s="60"/>
      <c r="D216" s="60"/>
      <c r="E216" s="124"/>
      <c r="F216" s="61"/>
      <c r="G216" s="61"/>
      <c r="H216" s="61"/>
    </row>
    <row r="217" spans="1:8" s="59" customFormat="1" x14ac:dyDescent="0.3">
      <c r="A217" s="60"/>
      <c r="B217" s="60"/>
      <c r="C217" s="60"/>
      <c r="D217" s="60"/>
      <c r="E217" s="124"/>
      <c r="F217" s="61"/>
      <c r="G217" s="61"/>
      <c r="H217" s="61"/>
    </row>
    <row r="218" spans="1:8" s="47" customFormat="1" ht="30" customHeight="1" x14ac:dyDescent="0.3">
      <c r="A218" s="60"/>
      <c r="B218" s="60"/>
      <c r="C218" s="60"/>
      <c r="D218" s="60"/>
      <c r="E218" s="124"/>
      <c r="F218" s="61"/>
      <c r="G218" s="61"/>
      <c r="H218" s="61"/>
    </row>
    <row r="219" spans="1:8" s="47" customFormat="1" ht="30" customHeight="1" x14ac:dyDescent="0.3">
      <c r="A219" s="60"/>
      <c r="B219" s="60"/>
      <c r="C219" s="60"/>
      <c r="D219" s="60"/>
      <c r="E219" s="124"/>
      <c r="F219" s="61"/>
      <c r="G219" s="61"/>
      <c r="H219" s="61"/>
    </row>
    <row r="220" spans="1:8" s="52" customFormat="1" x14ac:dyDescent="0.3">
      <c r="A220" s="60"/>
      <c r="B220" s="60"/>
      <c r="C220" s="60"/>
      <c r="D220" s="60"/>
      <c r="E220" s="124"/>
      <c r="F220" s="61"/>
      <c r="G220" s="61"/>
      <c r="H220" s="61"/>
    </row>
    <row r="221" spans="1:8" s="52" customFormat="1" x14ac:dyDescent="0.3">
      <c r="A221" s="60"/>
      <c r="B221" s="60"/>
      <c r="C221" s="60"/>
      <c r="D221" s="60"/>
      <c r="E221" s="124"/>
      <c r="F221" s="61"/>
      <c r="G221" s="61"/>
      <c r="H221" s="61"/>
    </row>
    <row r="222" spans="1:8" s="52" customFormat="1" x14ac:dyDescent="0.3">
      <c r="A222" s="60"/>
      <c r="B222" s="60"/>
      <c r="C222" s="60"/>
      <c r="D222" s="60"/>
      <c r="E222" s="124"/>
      <c r="F222" s="61"/>
      <c r="G222" s="61"/>
      <c r="H222" s="61"/>
    </row>
    <row r="223" spans="1:8" s="52" customFormat="1" x14ac:dyDescent="0.3">
      <c r="A223" s="60"/>
      <c r="B223" s="60"/>
      <c r="C223" s="60"/>
      <c r="D223" s="60"/>
      <c r="E223" s="124"/>
      <c r="F223" s="61"/>
      <c r="G223" s="61"/>
      <c r="H223" s="61"/>
    </row>
    <row r="224" spans="1:8" s="52" customFormat="1" x14ac:dyDescent="0.3">
      <c r="A224" s="60"/>
      <c r="B224" s="60"/>
      <c r="C224" s="60"/>
      <c r="D224" s="60"/>
      <c r="E224" s="124"/>
      <c r="F224" s="61"/>
      <c r="G224" s="61"/>
      <c r="H224" s="61"/>
    </row>
    <row r="225" spans="1:8" s="52" customFormat="1" x14ac:dyDescent="0.3">
      <c r="A225" s="60"/>
      <c r="B225" s="60"/>
      <c r="C225" s="60"/>
      <c r="D225" s="60"/>
      <c r="E225" s="124"/>
      <c r="F225" s="61"/>
      <c r="G225" s="61"/>
      <c r="H225" s="61"/>
    </row>
    <row r="226" spans="1:8" s="52" customFormat="1" x14ac:dyDescent="0.3">
      <c r="A226" s="60"/>
      <c r="B226" s="60"/>
      <c r="C226" s="60"/>
      <c r="D226" s="60"/>
      <c r="E226" s="124"/>
      <c r="F226" s="61"/>
      <c r="G226" s="61"/>
      <c r="H226" s="61"/>
    </row>
    <row r="227" spans="1:8" s="52" customFormat="1" x14ac:dyDescent="0.3">
      <c r="A227" s="60"/>
      <c r="B227" s="60"/>
      <c r="C227" s="60"/>
      <c r="D227" s="60"/>
      <c r="E227" s="124"/>
      <c r="F227" s="61"/>
      <c r="G227" s="61"/>
      <c r="H227" s="61"/>
    </row>
    <row r="228" spans="1:8" s="52" customFormat="1" x14ac:dyDescent="0.3">
      <c r="A228" s="60"/>
      <c r="B228" s="60"/>
      <c r="C228" s="60"/>
      <c r="D228" s="60"/>
      <c r="E228" s="124"/>
      <c r="F228" s="61"/>
      <c r="G228" s="61"/>
      <c r="H228" s="61"/>
    </row>
    <row r="229" spans="1:8" s="59" customFormat="1" x14ac:dyDescent="0.3">
      <c r="A229" s="60"/>
      <c r="B229" s="60"/>
      <c r="C229" s="60"/>
      <c r="D229" s="60"/>
      <c r="E229" s="124"/>
      <c r="F229" s="61"/>
      <c r="G229" s="61"/>
      <c r="H229" s="61"/>
    </row>
    <row r="230" spans="1:8" s="47" customFormat="1" ht="30" customHeight="1" x14ac:dyDescent="0.3">
      <c r="A230" s="60"/>
      <c r="B230" s="60"/>
      <c r="C230" s="60"/>
      <c r="D230" s="60"/>
      <c r="E230" s="124"/>
      <c r="F230" s="61"/>
      <c r="G230" s="61"/>
      <c r="H230" s="61"/>
    </row>
    <row r="231" spans="1:8" s="47" customFormat="1" ht="30" customHeight="1" x14ac:dyDescent="0.3">
      <c r="A231" s="60"/>
      <c r="B231" s="60"/>
      <c r="C231" s="60"/>
      <c r="D231" s="60"/>
      <c r="E231" s="124"/>
      <c r="F231" s="61"/>
      <c r="G231" s="61"/>
      <c r="H231" s="61"/>
    </row>
    <row r="232" spans="1:8" s="52" customFormat="1" x14ac:dyDescent="0.3">
      <c r="A232" s="60"/>
      <c r="B232" s="60"/>
      <c r="C232" s="60"/>
      <c r="D232" s="60"/>
      <c r="E232" s="124"/>
      <c r="F232" s="61"/>
      <c r="G232" s="61"/>
      <c r="H232" s="61"/>
    </row>
    <row r="233" spans="1:8" s="52" customFormat="1" x14ac:dyDescent="0.3">
      <c r="A233" s="60"/>
      <c r="B233" s="60"/>
      <c r="C233" s="60"/>
      <c r="D233" s="60"/>
      <c r="E233" s="124"/>
      <c r="F233" s="61"/>
      <c r="G233" s="61"/>
      <c r="H233" s="61"/>
    </row>
    <row r="234" spans="1:8" s="52" customFormat="1" x14ac:dyDescent="0.3">
      <c r="A234" s="60"/>
      <c r="B234" s="60"/>
      <c r="C234" s="60"/>
      <c r="D234" s="60"/>
      <c r="E234" s="124"/>
      <c r="F234" s="61"/>
      <c r="G234" s="61"/>
      <c r="H234" s="61"/>
    </row>
    <row r="235" spans="1:8" s="52" customFormat="1" x14ac:dyDescent="0.3">
      <c r="A235" s="60"/>
      <c r="B235" s="60"/>
      <c r="C235" s="60"/>
      <c r="D235" s="60"/>
      <c r="E235" s="124"/>
      <c r="F235" s="61"/>
      <c r="G235" s="61"/>
      <c r="H235" s="61"/>
    </row>
    <row r="236" spans="1:8" s="52" customFormat="1" x14ac:dyDescent="0.3">
      <c r="A236" s="60"/>
      <c r="B236" s="60"/>
      <c r="C236" s="60"/>
      <c r="D236" s="60"/>
      <c r="E236" s="124"/>
      <c r="F236" s="61"/>
      <c r="G236" s="61"/>
      <c r="H236" s="61"/>
    </row>
    <row r="237" spans="1:8" s="52" customFormat="1" x14ac:dyDescent="0.3">
      <c r="A237" s="60"/>
      <c r="B237" s="60"/>
      <c r="C237" s="60"/>
      <c r="D237" s="60"/>
      <c r="E237" s="124"/>
      <c r="F237" s="61"/>
      <c r="G237" s="61"/>
      <c r="H237" s="61"/>
    </row>
    <row r="238" spans="1:8" s="52" customFormat="1" x14ac:dyDescent="0.3">
      <c r="A238" s="60"/>
      <c r="B238" s="60"/>
      <c r="C238" s="60"/>
      <c r="D238" s="60"/>
      <c r="E238" s="124"/>
      <c r="F238" s="61"/>
      <c r="G238" s="61"/>
      <c r="H238" s="61"/>
    </row>
    <row r="239" spans="1:8" s="52" customFormat="1" x14ac:dyDescent="0.3">
      <c r="A239" s="60"/>
      <c r="B239" s="60"/>
      <c r="C239" s="60"/>
      <c r="D239" s="60"/>
      <c r="E239" s="124"/>
      <c r="F239" s="61"/>
      <c r="G239" s="61"/>
      <c r="H239" s="61"/>
    </row>
    <row r="240" spans="1:8" s="52" customFormat="1" x14ac:dyDescent="0.3">
      <c r="A240" s="60"/>
      <c r="B240" s="60"/>
      <c r="C240" s="60"/>
      <c r="D240" s="60"/>
      <c r="E240" s="124"/>
      <c r="F240" s="61"/>
      <c r="G240" s="61"/>
      <c r="H240" s="61"/>
    </row>
    <row r="241" spans="1:8" s="59" customFormat="1" x14ac:dyDescent="0.3">
      <c r="A241" s="60"/>
      <c r="B241" s="60"/>
      <c r="C241" s="60"/>
      <c r="D241" s="60"/>
      <c r="E241" s="124"/>
      <c r="F241" s="61"/>
      <c r="G241" s="61"/>
      <c r="H241" s="61"/>
    </row>
    <row r="242" spans="1:8" s="47" customFormat="1" ht="30" customHeight="1" x14ac:dyDescent="0.3">
      <c r="A242" s="60"/>
      <c r="B242" s="60"/>
      <c r="C242" s="60"/>
      <c r="D242" s="60"/>
      <c r="E242" s="124"/>
      <c r="F242" s="61"/>
      <c r="G242" s="61"/>
      <c r="H242" s="61"/>
    </row>
    <row r="243" spans="1:8" s="47" customFormat="1" ht="30" customHeight="1" x14ac:dyDescent="0.3">
      <c r="A243" s="60"/>
      <c r="B243" s="60"/>
      <c r="C243" s="60"/>
      <c r="D243" s="60"/>
      <c r="E243" s="124"/>
      <c r="F243" s="61"/>
      <c r="G243" s="61"/>
      <c r="H243" s="61"/>
    </row>
    <row r="244" spans="1:8" s="52" customFormat="1" x14ac:dyDescent="0.3">
      <c r="A244" s="60"/>
      <c r="B244" s="60"/>
      <c r="C244" s="60"/>
      <c r="D244" s="60"/>
      <c r="E244" s="124"/>
      <c r="F244" s="61"/>
      <c r="G244" s="61"/>
      <c r="H244" s="61"/>
    </row>
    <row r="245" spans="1:8" s="52" customFormat="1" x14ac:dyDescent="0.3">
      <c r="A245" s="60"/>
      <c r="B245" s="60"/>
      <c r="C245" s="60"/>
      <c r="D245" s="60"/>
      <c r="E245" s="124"/>
      <c r="F245" s="61"/>
      <c r="G245" s="61"/>
      <c r="H245" s="61"/>
    </row>
    <row r="246" spans="1:8" s="52" customFormat="1" x14ac:dyDescent="0.3">
      <c r="A246" s="60"/>
      <c r="B246" s="60"/>
      <c r="C246" s="60"/>
      <c r="D246" s="60"/>
      <c r="E246" s="124"/>
      <c r="F246" s="61"/>
      <c r="G246" s="61"/>
      <c r="H246" s="61"/>
    </row>
    <row r="247" spans="1:8" s="52" customFormat="1" x14ac:dyDescent="0.3">
      <c r="A247" s="60"/>
      <c r="B247" s="60"/>
      <c r="C247" s="60"/>
      <c r="D247" s="60"/>
      <c r="E247" s="124"/>
      <c r="F247" s="61"/>
      <c r="G247" s="61"/>
      <c r="H247" s="61"/>
    </row>
    <row r="248" spans="1:8" s="52" customFormat="1" x14ac:dyDescent="0.3">
      <c r="A248" s="60"/>
      <c r="B248" s="60"/>
      <c r="C248" s="60"/>
      <c r="D248" s="60"/>
      <c r="E248" s="124"/>
      <c r="F248" s="61"/>
      <c r="G248" s="61"/>
      <c r="H248" s="61"/>
    </row>
    <row r="249" spans="1:8" s="52" customFormat="1" x14ac:dyDescent="0.3">
      <c r="A249" s="60"/>
      <c r="B249" s="60"/>
      <c r="C249" s="60"/>
      <c r="D249" s="60"/>
      <c r="E249" s="124"/>
      <c r="F249" s="61"/>
      <c r="G249" s="61"/>
      <c r="H249" s="61"/>
    </row>
    <row r="250" spans="1:8" s="52" customFormat="1" x14ac:dyDescent="0.3">
      <c r="A250" s="60"/>
      <c r="B250" s="60"/>
      <c r="C250" s="60"/>
      <c r="D250" s="60"/>
      <c r="E250" s="124"/>
      <c r="F250" s="61"/>
      <c r="G250" s="61"/>
      <c r="H250" s="61"/>
    </row>
    <row r="251" spans="1:8" s="52" customFormat="1" x14ac:dyDescent="0.3">
      <c r="A251" s="60"/>
      <c r="B251" s="60"/>
      <c r="C251" s="60"/>
      <c r="D251" s="60"/>
      <c r="E251" s="124"/>
      <c r="F251" s="61"/>
      <c r="G251" s="61"/>
      <c r="H251" s="61"/>
    </row>
    <row r="252" spans="1:8" s="52" customFormat="1" x14ac:dyDescent="0.3">
      <c r="A252" s="60"/>
      <c r="B252" s="60"/>
      <c r="C252" s="60"/>
      <c r="D252" s="60"/>
      <c r="E252" s="124"/>
      <c r="F252" s="61"/>
      <c r="G252" s="61"/>
      <c r="H252" s="61"/>
    </row>
    <row r="253" spans="1:8" s="59" customFormat="1" x14ac:dyDescent="0.3">
      <c r="A253" s="60"/>
      <c r="B253" s="60"/>
      <c r="C253" s="60"/>
      <c r="D253" s="60"/>
      <c r="E253" s="124"/>
      <c r="F253" s="61"/>
      <c r="G253" s="61"/>
      <c r="H253" s="61"/>
    </row>
    <row r="254" spans="1:8" s="47" customFormat="1" ht="30" customHeight="1" x14ac:dyDescent="0.3">
      <c r="A254" s="60"/>
      <c r="B254" s="60"/>
      <c r="C254" s="60"/>
      <c r="D254" s="60"/>
      <c r="E254" s="124"/>
      <c r="F254" s="61"/>
      <c r="G254" s="61"/>
      <c r="H254" s="61"/>
    </row>
    <row r="255" spans="1:8" s="47" customFormat="1" ht="30" customHeight="1" x14ac:dyDescent="0.3">
      <c r="A255" s="60"/>
      <c r="B255" s="60"/>
      <c r="C255" s="60"/>
      <c r="D255" s="60"/>
      <c r="E255" s="124"/>
      <c r="F255" s="61"/>
      <c r="G255" s="61"/>
      <c r="H255" s="61"/>
    </row>
    <row r="256" spans="1:8" s="52" customFormat="1" x14ac:dyDescent="0.3">
      <c r="A256" s="60"/>
      <c r="B256" s="60"/>
      <c r="C256" s="60"/>
      <c r="D256" s="60"/>
      <c r="E256" s="124"/>
      <c r="F256" s="61"/>
      <c r="G256" s="61"/>
      <c r="H256" s="61"/>
    </row>
    <row r="257" spans="1:8" s="52" customFormat="1" x14ac:dyDescent="0.3">
      <c r="A257" s="60"/>
      <c r="B257" s="60"/>
      <c r="C257" s="60"/>
      <c r="D257" s="60"/>
      <c r="E257" s="124"/>
      <c r="F257" s="61"/>
      <c r="G257" s="61"/>
      <c r="H257" s="61"/>
    </row>
    <row r="258" spans="1:8" s="52" customFormat="1" x14ac:dyDescent="0.3">
      <c r="A258" s="60"/>
      <c r="B258" s="60"/>
      <c r="C258" s="60"/>
      <c r="D258" s="60"/>
      <c r="E258" s="124"/>
      <c r="F258" s="61"/>
      <c r="G258" s="61"/>
      <c r="H258" s="61"/>
    </row>
    <row r="259" spans="1:8" s="52" customFormat="1" x14ac:dyDescent="0.3">
      <c r="A259" s="60"/>
      <c r="B259" s="60"/>
      <c r="C259" s="60"/>
      <c r="D259" s="60"/>
      <c r="E259" s="124"/>
      <c r="F259" s="61"/>
      <c r="G259" s="61"/>
      <c r="H259" s="61"/>
    </row>
    <row r="260" spans="1:8" s="52" customFormat="1" x14ac:dyDescent="0.3">
      <c r="A260" s="60"/>
      <c r="B260" s="60"/>
      <c r="C260" s="60"/>
      <c r="D260" s="60"/>
      <c r="E260" s="124"/>
      <c r="F260" s="61"/>
      <c r="G260" s="61"/>
      <c r="H260" s="61"/>
    </row>
    <row r="261" spans="1:8" s="52" customFormat="1" x14ac:dyDescent="0.3">
      <c r="A261" s="60"/>
      <c r="B261" s="60"/>
      <c r="C261" s="60"/>
      <c r="D261" s="60"/>
      <c r="E261" s="124"/>
      <c r="F261" s="61"/>
      <c r="G261" s="61"/>
      <c r="H261" s="61"/>
    </row>
    <row r="262" spans="1:8" s="52" customFormat="1" x14ac:dyDescent="0.3">
      <c r="A262" s="60"/>
      <c r="B262" s="60"/>
      <c r="C262" s="60"/>
      <c r="D262" s="60"/>
      <c r="E262" s="124"/>
      <c r="F262" s="61"/>
      <c r="G262" s="61"/>
      <c r="H262" s="61"/>
    </row>
    <row r="263" spans="1:8" s="52" customFormat="1" x14ac:dyDescent="0.3">
      <c r="A263" s="60"/>
      <c r="B263" s="60"/>
      <c r="C263" s="60"/>
      <c r="D263" s="60"/>
      <c r="E263" s="124"/>
      <c r="F263" s="61"/>
      <c r="G263" s="61"/>
      <c r="H263" s="61"/>
    </row>
    <row r="264" spans="1:8" s="52" customFormat="1" x14ac:dyDescent="0.3">
      <c r="A264" s="60"/>
      <c r="B264" s="60"/>
      <c r="C264" s="60"/>
      <c r="D264" s="60"/>
      <c r="E264" s="124"/>
      <c r="F264" s="61"/>
      <c r="G264" s="61"/>
      <c r="H264" s="61"/>
    </row>
    <row r="265" spans="1:8" s="59" customFormat="1" x14ac:dyDescent="0.3">
      <c r="A265" s="60"/>
      <c r="B265" s="60"/>
      <c r="C265" s="60"/>
      <c r="D265" s="60"/>
      <c r="E265" s="124"/>
      <c r="F265" s="61"/>
      <c r="G265" s="61"/>
      <c r="H265" s="61"/>
    </row>
    <row r="266" spans="1:8" s="47" customFormat="1" ht="30" customHeight="1" x14ac:dyDescent="0.3">
      <c r="A266" s="60"/>
      <c r="B266" s="60"/>
      <c r="C266" s="60"/>
      <c r="D266" s="60"/>
      <c r="E266" s="124"/>
      <c r="F266" s="61"/>
      <c r="G266" s="61"/>
      <c r="H266" s="61"/>
    </row>
    <row r="267" spans="1:8" s="47" customFormat="1" ht="30" customHeight="1" x14ac:dyDescent="0.3">
      <c r="A267" s="60"/>
      <c r="B267" s="60"/>
      <c r="C267" s="60"/>
      <c r="D267" s="60"/>
      <c r="E267" s="124"/>
      <c r="F267" s="61"/>
      <c r="G267" s="61"/>
      <c r="H267" s="61"/>
    </row>
    <row r="268" spans="1:8" s="52" customFormat="1" x14ac:dyDescent="0.3">
      <c r="A268" s="60"/>
      <c r="B268" s="60"/>
      <c r="C268" s="60"/>
      <c r="D268" s="60"/>
      <c r="E268" s="124"/>
      <c r="F268" s="61"/>
      <c r="G268" s="61"/>
      <c r="H268" s="61"/>
    </row>
    <row r="269" spans="1:8" s="52" customFormat="1" x14ac:dyDescent="0.3">
      <c r="A269" s="60"/>
      <c r="B269" s="60"/>
      <c r="C269" s="60"/>
      <c r="D269" s="60"/>
      <c r="E269" s="124"/>
      <c r="F269" s="61"/>
      <c r="G269" s="61"/>
      <c r="H269" s="61"/>
    </row>
    <row r="270" spans="1:8" s="52" customFormat="1" x14ac:dyDescent="0.3">
      <c r="A270" s="60"/>
      <c r="B270" s="60"/>
      <c r="C270" s="60"/>
      <c r="D270" s="60"/>
      <c r="E270" s="124"/>
      <c r="F270" s="61"/>
      <c r="G270" s="61"/>
      <c r="H270" s="61"/>
    </row>
    <row r="271" spans="1:8" s="52" customFormat="1" x14ac:dyDescent="0.3">
      <c r="A271" s="60"/>
      <c r="B271" s="60"/>
      <c r="C271" s="60"/>
      <c r="D271" s="60"/>
      <c r="E271" s="124"/>
      <c r="F271" s="61"/>
      <c r="G271" s="61"/>
      <c r="H271" s="61"/>
    </row>
    <row r="272" spans="1:8" s="52" customFormat="1" x14ac:dyDescent="0.3">
      <c r="A272" s="60"/>
      <c r="B272" s="60"/>
      <c r="C272" s="60"/>
      <c r="D272" s="60"/>
      <c r="E272" s="124"/>
      <c r="F272" s="61"/>
      <c r="G272" s="61"/>
      <c r="H272" s="61"/>
    </row>
    <row r="273" spans="1:8" s="52" customFormat="1" x14ac:dyDescent="0.3">
      <c r="A273" s="60"/>
      <c r="B273" s="60"/>
      <c r="C273" s="60"/>
      <c r="D273" s="60"/>
      <c r="E273" s="124"/>
      <c r="F273" s="61"/>
      <c r="G273" s="61"/>
      <c r="H273" s="61"/>
    </row>
    <row r="274" spans="1:8" s="52" customFormat="1" x14ac:dyDescent="0.3">
      <c r="A274" s="60"/>
      <c r="B274" s="60"/>
      <c r="C274" s="60"/>
      <c r="D274" s="60"/>
      <c r="E274" s="124"/>
      <c r="F274" s="61"/>
      <c r="G274" s="61"/>
      <c r="H274" s="61"/>
    </row>
    <row r="275" spans="1:8" s="52" customFormat="1" x14ac:dyDescent="0.3">
      <c r="A275" s="60"/>
      <c r="B275" s="60"/>
      <c r="C275" s="60"/>
      <c r="D275" s="60"/>
      <c r="E275" s="124"/>
      <c r="F275" s="61"/>
      <c r="G275" s="61"/>
      <c r="H275" s="61"/>
    </row>
    <row r="276" spans="1:8" s="52" customFormat="1" x14ac:dyDescent="0.3">
      <c r="A276" s="60"/>
      <c r="B276" s="60"/>
      <c r="C276" s="60"/>
      <c r="D276" s="60"/>
      <c r="E276" s="124"/>
      <c r="F276" s="61"/>
      <c r="G276" s="61"/>
      <c r="H276" s="61"/>
    </row>
    <row r="277" spans="1:8" s="59" customFormat="1" x14ac:dyDescent="0.3">
      <c r="A277" s="60"/>
      <c r="B277" s="60"/>
      <c r="C277" s="60"/>
      <c r="D277" s="60"/>
      <c r="E277" s="124"/>
      <c r="F277" s="61"/>
      <c r="G277" s="61"/>
      <c r="H277" s="61"/>
    </row>
    <row r="278" spans="1:8" s="47" customFormat="1" ht="30" customHeight="1" x14ac:dyDescent="0.3">
      <c r="A278" s="60"/>
      <c r="B278" s="60"/>
      <c r="C278" s="60"/>
      <c r="D278" s="60"/>
      <c r="E278" s="124"/>
      <c r="F278" s="61"/>
      <c r="G278" s="61"/>
      <c r="H278" s="61"/>
    </row>
    <row r="279" spans="1:8" s="47" customFormat="1" ht="30" customHeight="1" x14ac:dyDescent="0.3">
      <c r="A279" s="60"/>
      <c r="B279" s="60"/>
      <c r="C279" s="60"/>
      <c r="D279" s="60"/>
      <c r="E279" s="124"/>
      <c r="F279" s="61"/>
      <c r="G279" s="61"/>
      <c r="H279" s="61"/>
    </row>
    <row r="280" spans="1:8" s="52" customFormat="1" x14ac:dyDescent="0.3">
      <c r="A280" s="60"/>
      <c r="B280" s="60"/>
      <c r="C280" s="60"/>
      <c r="D280" s="60"/>
      <c r="E280" s="124"/>
      <c r="F280" s="61"/>
      <c r="G280" s="61"/>
      <c r="H280" s="61"/>
    </row>
    <row r="281" spans="1:8" s="52" customFormat="1" x14ac:dyDescent="0.3">
      <c r="A281" s="60"/>
      <c r="B281" s="60"/>
      <c r="C281" s="60"/>
      <c r="D281" s="60"/>
      <c r="E281" s="124"/>
      <c r="F281" s="61"/>
      <c r="G281" s="61"/>
      <c r="H281" s="61"/>
    </row>
    <row r="282" spans="1:8" s="52" customFormat="1" x14ac:dyDescent="0.3">
      <c r="A282" s="60"/>
      <c r="B282" s="60"/>
      <c r="C282" s="60"/>
      <c r="D282" s="60"/>
      <c r="E282" s="124"/>
      <c r="F282" s="61"/>
      <c r="G282" s="61"/>
      <c r="H282" s="61"/>
    </row>
    <row r="283" spans="1:8" s="52" customFormat="1" x14ac:dyDescent="0.3">
      <c r="A283" s="60"/>
      <c r="B283" s="60"/>
      <c r="C283" s="60"/>
      <c r="D283" s="60"/>
      <c r="E283" s="124"/>
      <c r="F283" s="61"/>
      <c r="G283" s="61"/>
      <c r="H283" s="61"/>
    </row>
    <row r="284" spans="1:8" s="52" customFormat="1" x14ac:dyDescent="0.3">
      <c r="A284" s="60"/>
      <c r="B284" s="60"/>
      <c r="C284" s="60"/>
      <c r="D284" s="60"/>
      <c r="E284" s="124"/>
      <c r="F284" s="61"/>
      <c r="G284" s="61"/>
      <c r="H284" s="61"/>
    </row>
    <row r="285" spans="1:8" s="52" customFormat="1" x14ac:dyDescent="0.3">
      <c r="A285" s="60"/>
      <c r="B285" s="60"/>
      <c r="C285" s="60"/>
      <c r="D285" s="60"/>
      <c r="E285" s="124"/>
      <c r="F285" s="61"/>
      <c r="G285" s="61"/>
      <c r="H285" s="61"/>
    </row>
    <row r="286" spans="1:8" s="52" customFormat="1" x14ac:dyDescent="0.3">
      <c r="A286" s="60"/>
      <c r="B286" s="60"/>
      <c r="C286" s="60"/>
      <c r="D286" s="60"/>
      <c r="E286" s="124"/>
      <c r="F286" s="61"/>
      <c r="G286" s="61"/>
      <c r="H286" s="61"/>
    </row>
    <row r="287" spans="1:8" s="52" customFormat="1" x14ac:dyDescent="0.3">
      <c r="A287" s="60"/>
      <c r="B287" s="60"/>
      <c r="C287" s="60"/>
      <c r="D287" s="60"/>
      <c r="E287" s="124"/>
      <c r="F287" s="61"/>
      <c r="G287" s="61"/>
      <c r="H287" s="61"/>
    </row>
    <row r="288" spans="1:8" s="52" customFormat="1" x14ac:dyDescent="0.3">
      <c r="A288" s="60"/>
      <c r="B288" s="60"/>
      <c r="C288" s="60"/>
      <c r="D288" s="60"/>
      <c r="E288" s="124"/>
      <c r="F288" s="61"/>
      <c r="G288" s="61"/>
      <c r="H288" s="61"/>
    </row>
    <row r="289" spans="1:8" s="59" customFormat="1" x14ac:dyDescent="0.3">
      <c r="A289" s="60"/>
      <c r="B289" s="60"/>
      <c r="C289" s="60"/>
      <c r="D289" s="60"/>
      <c r="E289" s="124"/>
      <c r="F289" s="61"/>
      <c r="G289" s="61"/>
      <c r="H289" s="61"/>
    </row>
    <row r="290" spans="1:8" s="47" customFormat="1" ht="30" customHeight="1" x14ac:dyDescent="0.3">
      <c r="A290" s="60"/>
      <c r="B290" s="60"/>
      <c r="C290" s="60"/>
      <c r="D290" s="60"/>
      <c r="E290" s="124"/>
      <c r="F290" s="61"/>
      <c r="G290" s="61"/>
      <c r="H290" s="61"/>
    </row>
    <row r="291" spans="1:8" s="47" customFormat="1" ht="30" customHeight="1" x14ac:dyDescent="0.3">
      <c r="A291" s="60"/>
      <c r="B291" s="60"/>
      <c r="C291" s="60"/>
      <c r="D291" s="60"/>
      <c r="E291" s="124"/>
      <c r="F291" s="61"/>
      <c r="G291" s="61"/>
      <c r="H291" s="61"/>
    </row>
    <row r="292" spans="1:8" s="52" customFormat="1" x14ac:dyDescent="0.3">
      <c r="A292" s="60"/>
      <c r="B292" s="60"/>
      <c r="C292" s="60"/>
      <c r="D292" s="60"/>
      <c r="E292" s="124"/>
      <c r="F292" s="61"/>
      <c r="G292" s="61"/>
      <c r="H292" s="61"/>
    </row>
    <row r="293" spans="1:8" s="52" customFormat="1" x14ac:dyDescent="0.3">
      <c r="A293" s="60"/>
      <c r="B293" s="60"/>
      <c r="C293" s="60"/>
      <c r="D293" s="60"/>
      <c r="E293" s="124"/>
      <c r="F293" s="61"/>
      <c r="G293" s="61"/>
      <c r="H293" s="61"/>
    </row>
    <row r="294" spans="1:8" s="52" customFormat="1" x14ac:dyDescent="0.3">
      <c r="A294" s="60"/>
      <c r="B294" s="60"/>
      <c r="C294" s="60"/>
      <c r="D294" s="60"/>
      <c r="E294" s="124"/>
      <c r="F294" s="61"/>
      <c r="G294" s="61"/>
      <c r="H294" s="61"/>
    </row>
    <row r="295" spans="1:8" s="52" customFormat="1" x14ac:dyDescent="0.3">
      <c r="A295" s="60"/>
      <c r="B295" s="60"/>
      <c r="C295" s="60"/>
      <c r="D295" s="60"/>
      <c r="E295" s="124"/>
      <c r="F295" s="61"/>
      <c r="G295" s="61"/>
      <c r="H295" s="61"/>
    </row>
    <row r="296" spans="1:8" s="52" customFormat="1" x14ac:dyDescent="0.3">
      <c r="A296" s="60"/>
      <c r="B296" s="60"/>
      <c r="C296" s="60"/>
      <c r="D296" s="60"/>
      <c r="E296" s="124"/>
      <c r="F296" s="61"/>
      <c r="G296" s="61"/>
      <c r="H296" s="61"/>
    </row>
    <row r="297" spans="1:8" s="52" customFormat="1" x14ac:dyDescent="0.3">
      <c r="A297" s="60"/>
      <c r="B297" s="60"/>
      <c r="C297" s="60"/>
      <c r="D297" s="60"/>
      <c r="E297" s="124"/>
      <c r="F297" s="61"/>
      <c r="G297" s="61"/>
      <c r="H297" s="61"/>
    </row>
    <row r="298" spans="1:8" s="52" customFormat="1" x14ac:dyDescent="0.3">
      <c r="A298" s="60"/>
      <c r="B298" s="60"/>
      <c r="C298" s="60"/>
      <c r="D298" s="60"/>
      <c r="E298" s="124"/>
      <c r="F298" s="61"/>
      <c r="G298" s="61"/>
      <c r="H298" s="61"/>
    </row>
    <row r="299" spans="1:8" s="52" customFormat="1" x14ac:dyDescent="0.3">
      <c r="A299" s="60"/>
      <c r="B299" s="60"/>
      <c r="C299" s="60"/>
      <c r="D299" s="60"/>
      <c r="E299" s="124"/>
      <c r="F299" s="61"/>
      <c r="G299" s="61"/>
      <c r="H299" s="61"/>
    </row>
    <row r="300" spans="1:8" s="52" customFormat="1" x14ac:dyDescent="0.3">
      <c r="A300" s="60"/>
      <c r="B300" s="60"/>
      <c r="C300" s="60"/>
      <c r="D300" s="60"/>
      <c r="E300" s="124"/>
      <c r="F300" s="61"/>
      <c r="G300" s="61"/>
      <c r="H300" s="61"/>
    </row>
    <row r="301" spans="1:8" s="59" customFormat="1" x14ac:dyDescent="0.3">
      <c r="A301" s="60"/>
      <c r="B301" s="60"/>
      <c r="C301" s="60"/>
      <c r="D301" s="60"/>
      <c r="E301" s="124"/>
      <c r="F301" s="61"/>
      <c r="G301" s="61"/>
      <c r="H301" s="61"/>
    </row>
    <row r="302" spans="1:8" s="47" customFormat="1" ht="30" customHeight="1" x14ac:dyDescent="0.3">
      <c r="A302" s="60"/>
      <c r="B302" s="60"/>
      <c r="C302" s="60"/>
      <c r="D302" s="60"/>
      <c r="E302" s="124"/>
      <c r="F302" s="61"/>
      <c r="G302" s="61"/>
      <c r="H302" s="61"/>
    </row>
    <row r="303" spans="1:8" s="47" customFormat="1" ht="30" customHeight="1" x14ac:dyDescent="0.3">
      <c r="A303" s="60"/>
      <c r="B303" s="60"/>
      <c r="C303" s="60"/>
      <c r="D303" s="60"/>
      <c r="E303" s="124"/>
      <c r="F303" s="61"/>
      <c r="G303" s="61"/>
      <c r="H303" s="61"/>
    </row>
    <row r="304" spans="1:8" s="52" customFormat="1" x14ac:dyDescent="0.3">
      <c r="A304" s="60"/>
      <c r="B304" s="60"/>
      <c r="C304" s="60"/>
      <c r="D304" s="60"/>
      <c r="E304" s="124"/>
      <c r="F304" s="61"/>
      <c r="G304" s="61"/>
      <c r="H304" s="61"/>
    </row>
    <row r="305" spans="1:8" s="52" customFormat="1" x14ac:dyDescent="0.3">
      <c r="A305" s="60"/>
      <c r="B305" s="60"/>
      <c r="C305" s="60"/>
      <c r="D305" s="60"/>
      <c r="E305" s="124"/>
      <c r="F305" s="61"/>
      <c r="G305" s="61"/>
      <c r="H305" s="61"/>
    </row>
    <row r="306" spans="1:8" s="52" customFormat="1" x14ac:dyDescent="0.3">
      <c r="A306" s="60"/>
      <c r="B306" s="60"/>
      <c r="C306" s="60"/>
      <c r="D306" s="60"/>
      <c r="E306" s="124"/>
      <c r="F306" s="61"/>
      <c r="G306" s="61"/>
      <c r="H306" s="61"/>
    </row>
    <row r="307" spans="1:8" s="52" customFormat="1" x14ac:dyDescent="0.3">
      <c r="A307" s="60"/>
      <c r="B307" s="60"/>
      <c r="C307" s="60"/>
      <c r="D307" s="60"/>
      <c r="E307" s="124"/>
      <c r="F307" s="61"/>
      <c r="G307" s="61"/>
      <c r="H307" s="61"/>
    </row>
    <row r="308" spans="1:8" s="52" customFormat="1" x14ac:dyDescent="0.3">
      <c r="A308" s="60"/>
      <c r="B308" s="60"/>
      <c r="C308" s="60"/>
      <c r="D308" s="60"/>
      <c r="E308" s="124"/>
      <c r="F308" s="61"/>
      <c r="G308" s="61"/>
      <c r="H308" s="61"/>
    </row>
    <row r="309" spans="1:8" s="52" customFormat="1" x14ac:dyDescent="0.3">
      <c r="A309" s="60"/>
      <c r="B309" s="60"/>
      <c r="C309" s="60"/>
      <c r="D309" s="60"/>
      <c r="E309" s="124"/>
      <c r="F309" s="61"/>
      <c r="G309" s="61"/>
      <c r="H309" s="61"/>
    </row>
    <row r="310" spans="1:8" s="52" customFormat="1" x14ac:dyDescent="0.3">
      <c r="A310" s="60"/>
      <c r="B310" s="60"/>
      <c r="C310" s="60"/>
      <c r="D310" s="60"/>
      <c r="E310" s="124"/>
      <c r="F310" s="61"/>
      <c r="G310" s="61"/>
      <c r="H310" s="61"/>
    </row>
    <row r="311" spans="1:8" s="52" customFormat="1" x14ac:dyDescent="0.3">
      <c r="A311" s="60"/>
      <c r="B311" s="60"/>
      <c r="C311" s="60"/>
      <c r="D311" s="60"/>
      <c r="E311" s="124"/>
      <c r="F311" s="61"/>
      <c r="G311" s="61"/>
      <c r="H311" s="61"/>
    </row>
    <row r="312" spans="1:8" s="52" customFormat="1" x14ac:dyDescent="0.3">
      <c r="A312" s="60"/>
      <c r="B312" s="60"/>
      <c r="C312" s="60"/>
      <c r="D312" s="60"/>
      <c r="E312" s="124"/>
      <c r="F312" s="61"/>
      <c r="G312" s="61"/>
      <c r="H312" s="61"/>
    </row>
    <row r="313" spans="1:8" s="59" customFormat="1" x14ac:dyDescent="0.3">
      <c r="A313" s="60"/>
      <c r="B313" s="60"/>
      <c r="C313" s="60"/>
      <c r="D313" s="60"/>
      <c r="E313" s="124"/>
      <c r="F313" s="61"/>
      <c r="G313" s="61"/>
      <c r="H313" s="61"/>
    </row>
    <row r="314" spans="1:8" s="47" customFormat="1" ht="30" customHeight="1" x14ac:dyDescent="0.3">
      <c r="A314" s="60"/>
      <c r="B314" s="60"/>
      <c r="C314" s="60"/>
      <c r="D314" s="60"/>
      <c r="E314" s="124"/>
      <c r="F314" s="61"/>
      <c r="G314" s="61"/>
      <c r="H314" s="61"/>
    </row>
    <row r="315" spans="1:8" s="47" customFormat="1" ht="30" customHeight="1" x14ac:dyDescent="0.3">
      <c r="A315" s="60"/>
      <c r="B315" s="60"/>
      <c r="C315" s="60"/>
      <c r="D315" s="60"/>
      <c r="E315" s="124"/>
      <c r="F315" s="61"/>
      <c r="G315" s="61"/>
      <c r="H315" s="61"/>
    </row>
    <row r="316" spans="1:8" s="52" customFormat="1" x14ac:dyDescent="0.3">
      <c r="A316" s="60"/>
      <c r="B316" s="60"/>
      <c r="C316" s="60"/>
      <c r="D316" s="60"/>
      <c r="E316" s="124"/>
      <c r="F316" s="61"/>
      <c r="G316" s="61"/>
      <c r="H316" s="61"/>
    </row>
    <row r="317" spans="1:8" s="52" customFormat="1" x14ac:dyDescent="0.3">
      <c r="A317" s="60"/>
      <c r="B317" s="60"/>
      <c r="C317" s="60"/>
      <c r="D317" s="60"/>
      <c r="E317" s="124"/>
      <c r="F317" s="61"/>
      <c r="G317" s="61"/>
      <c r="H317" s="61"/>
    </row>
    <row r="318" spans="1:8" s="52" customFormat="1" x14ac:dyDescent="0.3">
      <c r="A318" s="60"/>
      <c r="B318" s="60"/>
      <c r="C318" s="60"/>
      <c r="D318" s="60"/>
      <c r="E318" s="124"/>
      <c r="F318" s="61"/>
      <c r="G318" s="61"/>
      <c r="H318" s="61"/>
    </row>
    <row r="319" spans="1:8" s="52" customFormat="1" x14ac:dyDescent="0.3">
      <c r="A319" s="60"/>
      <c r="B319" s="60"/>
      <c r="C319" s="60"/>
      <c r="D319" s="60"/>
      <c r="E319" s="124"/>
      <c r="F319" s="61"/>
      <c r="G319" s="61"/>
      <c r="H319" s="61"/>
    </row>
    <row r="320" spans="1:8" s="52" customFormat="1" x14ac:dyDescent="0.3">
      <c r="A320" s="60"/>
      <c r="B320" s="60"/>
      <c r="C320" s="60"/>
      <c r="D320" s="60"/>
      <c r="E320" s="124"/>
      <c r="F320" s="61"/>
      <c r="G320" s="61"/>
      <c r="H320" s="61"/>
    </row>
    <row r="321" spans="1:8" s="52" customFormat="1" x14ac:dyDescent="0.3">
      <c r="A321" s="60"/>
      <c r="B321" s="60"/>
      <c r="C321" s="60"/>
      <c r="D321" s="60"/>
      <c r="E321" s="124"/>
      <c r="F321" s="61"/>
      <c r="G321" s="61"/>
      <c r="H321" s="61"/>
    </row>
    <row r="322" spans="1:8" s="52" customFormat="1" x14ac:dyDescent="0.3">
      <c r="A322" s="60"/>
      <c r="B322" s="60"/>
      <c r="C322" s="60"/>
      <c r="D322" s="60"/>
      <c r="E322" s="124"/>
      <c r="F322" s="61"/>
      <c r="G322" s="61"/>
      <c r="H322" s="61"/>
    </row>
    <row r="323" spans="1:8" s="52" customFormat="1" x14ac:dyDescent="0.3">
      <c r="A323" s="60"/>
      <c r="B323" s="60"/>
      <c r="C323" s="60"/>
      <c r="D323" s="60"/>
      <c r="E323" s="124"/>
      <c r="F323" s="61"/>
      <c r="G323" s="61"/>
      <c r="H323" s="61"/>
    </row>
    <row r="324" spans="1:8" s="52" customFormat="1" x14ac:dyDescent="0.3">
      <c r="A324" s="60"/>
      <c r="B324" s="60"/>
      <c r="C324" s="60"/>
      <c r="D324" s="60"/>
      <c r="E324" s="124"/>
      <c r="F324" s="61"/>
      <c r="G324" s="61"/>
      <c r="H324" s="61"/>
    </row>
    <row r="325" spans="1:8" s="59" customFormat="1" x14ac:dyDescent="0.3">
      <c r="A325" s="60"/>
      <c r="B325" s="60"/>
      <c r="C325" s="60"/>
      <c r="D325" s="60"/>
      <c r="E325" s="124"/>
      <c r="F325" s="61"/>
      <c r="G325" s="61"/>
      <c r="H325" s="61"/>
    </row>
    <row r="326" spans="1:8" s="47" customFormat="1" ht="30" customHeight="1" x14ac:dyDescent="0.3">
      <c r="A326" s="60"/>
      <c r="B326" s="60"/>
      <c r="C326" s="60"/>
      <c r="D326" s="60"/>
      <c r="E326" s="124"/>
      <c r="F326" s="61"/>
      <c r="G326" s="61"/>
      <c r="H326" s="61"/>
    </row>
    <row r="327" spans="1:8" s="47" customFormat="1" ht="30" customHeight="1" x14ac:dyDescent="0.3">
      <c r="A327" s="60"/>
      <c r="B327" s="60"/>
      <c r="C327" s="60"/>
      <c r="D327" s="60"/>
      <c r="E327" s="124"/>
      <c r="F327" s="61"/>
      <c r="G327" s="61"/>
      <c r="H327" s="61"/>
    </row>
    <row r="328" spans="1:8" s="52" customFormat="1" x14ac:dyDescent="0.3">
      <c r="A328" s="60"/>
      <c r="B328" s="60"/>
      <c r="C328" s="60"/>
      <c r="D328" s="60"/>
      <c r="E328" s="124"/>
      <c r="F328" s="61"/>
      <c r="G328" s="61"/>
      <c r="H328" s="61"/>
    </row>
    <row r="329" spans="1:8" s="52" customFormat="1" x14ac:dyDescent="0.3">
      <c r="A329" s="60"/>
      <c r="B329" s="60"/>
      <c r="C329" s="60"/>
      <c r="D329" s="60"/>
      <c r="E329" s="124"/>
      <c r="F329" s="61"/>
      <c r="G329" s="61"/>
      <c r="H329" s="61"/>
    </row>
    <row r="330" spans="1:8" s="52" customFormat="1" x14ac:dyDescent="0.3">
      <c r="A330" s="60"/>
      <c r="B330" s="60"/>
      <c r="C330" s="60"/>
      <c r="D330" s="60"/>
      <c r="E330" s="124"/>
      <c r="F330" s="61"/>
      <c r="G330" s="61"/>
      <c r="H330" s="61"/>
    </row>
    <row r="331" spans="1:8" s="52" customFormat="1" x14ac:dyDescent="0.3">
      <c r="A331" s="60"/>
      <c r="B331" s="60"/>
      <c r="C331" s="60"/>
      <c r="D331" s="60"/>
      <c r="E331" s="124"/>
      <c r="F331" s="61"/>
      <c r="G331" s="61"/>
      <c r="H331" s="61"/>
    </row>
    <row r="332" spans="1:8" s="52" customFormat="1" x14ac:dyDescent="0.3">
      <c r="A332" s="60"/>
      <c r="B332" s="60"/>
      <c r="C332" s="60"/>
      <c r="D332" s="60"/>
      <c r="E332" s="124"/>
      <c r="F332" s="61"/>
      <c r="G332" s="61"/>
      <c r="H332" s="61"/>
    </row>
    <row r="333" spans="1:8" s="52" customFormat="1" x14ac:dyDescent="0.3">
      <c r="A333" s="60"/>
      <c r="B333" s="60"/>
      <c r="C333" s="60"/>
      <c r="D333" s="60"/>
      <c r="E333" s="124"/>
      <c r="F333" s="61"/>
      <c r="G333" s="61"/>
      <c r="H333" s="61"/>
    </row>
    <row r="334" spans="1:8" s="52" customFormat="1" x14ac:dyDescent="0.3">
      <c r="A334" s="60"/>
      <c r="B334" s="60"/>
      <c r="C334" s="60"/>
      <c r="D334" s="60"/>
      <c r="E334" s="124"/>
      <c r="F334" s="61"/>
      <c r="G334" s="61"/>
      <c r="H334" s="61"/>
    </row>
    <row r="335" spans="1:8" s="52" customFormat="1" x14ac:dyDescent="0.3">
      <c r="A335" s="60"/>
      <c r="B335" s="60"/>
      <c r="C335" s="60"/>
      <c r="D335" s="60"/>
      <c r="E335" s="124"/>
      <c r="F335" s="61"/>
      <c r="G335" s="61"/>
      <c r="H335" s="61"/>
    </row>
    <row r="336" spans="1:8" s="52" customFormat="1" x14ac:dyDescent="0.3">
      <c r="A336" s="60"/>
      <c r="B336" s="60"/>
      <c r="C336" s="60"/>
      <c r="D336" s="60"/>
      <c r="E336" s="124"/>
      <c r="F336" s="61"/>
      <c r="G336" s="61"/>
      <c r="H336" s="61"/>
    </row>
    <row r="337" spans="1:8" s="59" customFormat="1" x14ac:dyDescent="0.3">
      <c r="A337" s="60"/>
      <c r="B337" s="60"/>
      <c r="C337" s="60"/>
      <c r="D337" s="60"/>
      <c r="E337" s="124"/>
      <c r="F337" s="61"/>
      <c r="G337" s="61"/>
      <c r="H337" s="61"/>
    </row>
    <row r="338" spans="1:8" s="47" customFormat="1" ht="30" customHeight="1" x14ac:dyDescent="0.3">
      <c r="A338" s="60"/>
      <c r="B338" s="60"/>
      <c r="C338" s="60"/>
      <c r="D338" s="60"/>
      <c r="E338" s="124"/>
      <c r="F338" s="61"/>
      <c r="G338" s="61"/>
      <c r="H338" s="61"/>
    </row>
    <row r="339" spans="1:8" s="47" customFormat="1" ht="30" customHeight="1" x14ac:dyDescent="0.3">
      <c r="A339" s="60"/>
      <c r="B339" s="60"/>
      <c r="C339" s="60"/>
      <c r="D339" s="60"/>
      <c r="E339" s="124"/>
      <c r="F339" s="61"/>
      <c r="G339" s="61"/>
      <c r="H339" s="61"/>
    </row>
    <row r="340" spans="1:8" s="52" customFormat="1" x14ac:dyDescent="0.3">
      <c r="A340" s="60"/>
      <c r="B340" s="60"/>
      <c r="C340" s="60"/>
      <c r="D340" s="60"/>
      <c r="E340" s="124"/>
      <c r="F340" s="61"/>
      <c r="G340" s="61"/>
      <c r="H340" s="61"/>
    </row>
    <row r="341" spans="1:8" s="52" customFormat="1" x14ac:dyDescent="0.3">
      <c r="A341" s="60"/>
      <c r="B341" s="60"/>
      <c r="C341" s="60"/>
      <c r="D341" s="60"/>
      <c r="E341" s="124"/>
      <c r="F341" s="61"/>
      <c r="G341" s="61"/>
      <c r="H341" s="61"/>
    </row>
    <row r="342" spans="1:8" s="52" customFormat="1" x14ac:dyDescent="0.3">
      <c r="A342" s="60"/>
      <c r="B342" s="60"/>
      <c r="C342" s="60"/>
      <c r="D342" s="60"/>
      <c r="E342" s="124"/>
      <c r="F342" s="61"/>
      <c r="G342" s="61"/>
      <c r="H342" s="61"/>
    </row>
    <row r="343" spans="1:8" s="52" customFormat="1" x14ac:dyDescent="0.3">
      <c r="A343" s="60"/>
      <c r="B343" s="60"/>
      <c r="C343" s="60"/>
      <c r="D343" s="60"/>
      <c r="E343" s="124"/>
      <c r="F343" s="61"/>
      <c r="G343" s="61"/>
      <c r="H343" s="61"/>
    </row>
    <row r="344" spans="1:8" s="52" customFormat="1" x14ac:dyDescent="0.3">
      <c r="A344" s="60"/>
      <c r="B344" s="60"/>
      <c r="C344" s="60"/>
      <c r="D344" s="60"/>
      <c r="E344" s="124"/>
      <c r="F344" s="61"/>
      <c r="G344" s="61"/>
      <c r="H344" s="61"/>
    </row>
    <row r="345" spans="1:8" s="52" customFormat="1" x14ac:dyDescent="0.3">
      <c r="A345" s="60"/>
      <c r="B345" s="60"/>
      <c r="C345" s="60"/>
      <c r="D345" s="60"/>
      <c r="E345" s="124"/>
      <c r="F345" s="61"/>
      <c r="G345" s="61"/>
      <c r="H345" s="61"/>
    </row>
    <row r="346" spans="1:8" s="52" customFormat="1" x14ac:dyDescent="0.3">
      <c r="A346" s="60"/>
      <c r="B346" s="60"/>
      <c r="C346" s="60"/>
      <c r="D346" s="60"/>
      <c r="E346" s="124"/>
      <c r="F346" s="61"/>
      <c r="G346" s="61"/>
      <c r="H346" s="61"/>
    </row>
    <row r="347" spans="1:8" s="52" customFormat="1" x14ac:dyDescent="0.3">
      <c r="A347" s="60"/>
      <c r="B347" s="60"/>
      <c r="C347" s="60"/>
      <c r="D347" s="60"/>
      <c r="E347" s="124"/>
      <c r="F347" s="61"/>
      <c r="G347" s="61"/>
      <c r="H347" s="61"/>
    </row>
    <row r="348" spans="1:8" s="52" customFormat="1" x14ac:dyDescent="0.3">
      <c r="A348" s="60"/>
      <c r="B348" s="60"/>
      <c r="C348" s="60"/>
      <c r="D348" s="60"/>
      <c r="E348" s="124"/>
      <c r="F348" s="61"/>
      <c r="G348" s="61"/>
      <c r="H348" s="61"/>
    </row>
    <row r="349" spans="1:8" s="59" customFormat="1" x14ac:dyDescent="0.3">
      <c r="A349" s="60"/>
      <c r="B349" s="60"/>
      <c r="C349" s="60"/>
      <c r="D349" s="60"/>
      <c r="E349" s="124"/>
      <c r="F349" s="61"/>
      <c r="G349" s="61"/>
      <c r="H349" s="61"/>
    </row>
    <row r="350" spans="1:8" s="47" customFormat="1" ht="30" customHeight="1" x14ac:dyDescent="0.3">
      <c r="A350" s="60"/>
      <c r="B350" s="60"/>
      <c r="C350" s="60"/>
      <c r="D350" s="60"/>
      <c r="E350" s="124"/>
      <c r="F350" s="61"/>
      <c r="G350" s="61"/>
      <c r="H350" s="61"/>
    </row>
    <row r="351" spans="1:8" s="47" customFormat="1" ht="30" customHeight="1" x14ac:dyDescent="0.3">
      <c r="A351" s="60"/>
      <c r="B351" s="60"/>
      <c r="C351" s="60"/>
      <c r="D351" s="60"/>
      <c r="E351" s="124"/>
      <c r="F351" s="61"/>
      <c r="G351" s="61"/>
      <c r="H351" s="61"/>
    </row>
    <row r="352" spans="1:8" s="52" customFormat="1" x14ac:dyDescent="0.3">
      <c r="A352" s="60"/>
      <c r="B352" s="60"/>
      <c r="C352" s="60"/>
      <c r="D352" s="60"/>
      <c r="E352" s="124"/>
      <c r="F352" s="61"/>
      <c r="G352" s="61"/>
      <c r="H352" s="61"/>
    </row>
    <row r="353" spans="1:8" s="52" customFormat="1" x14ac:dyDescent="0.3">
      <c r="A353" s="60"/>
      <c r="B353" s="60"/>
      <c r="C353" s="60"/>
      <c r="D353" s="60"/>
      <c r="E353" s="124"/>
      <c r="F353" s="61"/>
      <c r="G353" s="61"/>
      <c r="H353" s="61"/>
    </row>
    <row r="354" spans="1:8" s="52" customFormat="1" x14ac:dyDescent="0.3">
      <c r="A354" s="60"/>
      <c r="B354" s="60"/>
      <c r="C354" s="60"/>
      <c r="D354" s="60"/>
      <c r="E354" s="124"/>
      <c r="F354" s="61"/>
      <c r="G354" s="61"/>
      <c r="H354" s="61"/>
    </row>
    <row r="355" spans="1:8" s="52" customFormat="1" x14ac:dyDescent="0.3">
      <c r="A355" s="60"/>
      <c r="B355" s="60"/>
      <c r="C355" s="60"/>
      <c r="D355" s="60"/>
      <c r="E355" s="124"/>
      <c r="F355" s="61"/>
      <c r="G355" s="61"/>
      <c r="H355" s="61"/>
    </row>
    <row r="356" spans="1:8" s="52" customFormat="1" x14ac:dyDescent="0.3">
      <c r="A356" s="60"/>
      <c r="B356" s="60"/>
      <c r="C356" s="60"/>
      <c r="D356" s="60"/>
      <c r="E356" s="124"/>
      <c r="F356" s="61"/>
      <c r="G356" s="61"/>
      <c r="H356" s="61"/>
    </row>
    <row r="357" spans="1:8" s="52" customFormat="1" x14ac:dyDescent="0.3">
      <c r="A357" s="60"/>
      <c r="B357" s="60"/>
      <c r="C357" s="60"/>
      <c r="D357" s="60"/>
      <c r="E357" s="124"/>
      <c r="F357" s="61"/>
      <c r="G357" s="61"/>
      <c r="H357" s="61"/>
    </row>
    <row r="358" spans="1:8" s="52" customFormat="1" x14ac:dyDescent="0.3">
      <c r="A358" s="60"/>
      <c r="B358" s="60"/>
      <c r="C358" s="60"/>
      <c r="D358" s="60"/>
      <c r="E358" s="124"/>
      <c r="F358" s="61"/>
      <c r="G358" s="61"/>
      <c r="H358" s="61"/>
    </row>
    <row r="359" spans="1:8" s="52" customFormat="1" x14ac:dyDescent="0.3">
      <c r="A359" s="60"/>
      <c r="B359" s="60"/>
      <c r="C359" s="60"/>
      <c r="D359" s="60"/>
      <c r="E359" s="124"/>
      <c r="F359" s="61"/>
      <c r="G359" s="61"/>
      <c r="H359" s="61"/>
    </row>
    <row r="360" spans="1:8" s="52" customFormat="1" x14ac:dyDescent="0.3">
      <c r="A360" s="60"/>
      <c r="B360" s="60"/>
      <c r="C360" s="60"/>
      <c r="D360" s="60"/>
      <c r="E360" s="124"/>
      <c r="F360" s="61"/>
      <c r="G360" s="61"/>
      <c r="H360" s="61"/>
    </row>
    <row r="361" spans="1:8" s="59" customFormat="1" x14ac:dyDescent="0.3">
      <c r="A361" s="60"/>
      <c r="B361" s="60"/>
      <c r="C361" s="60"/>
      <c r="D361" s="60"/>
      <c r="E361" s="124"/>
      <c r="F361" s="61"/>
      <c r="G361" s="61"/>
      <c r="H361" s="61"/>
    </row>
    <row r="362" spans="1:8" s="47" customFormat="1" ht="30" customHeight="1" x14ac:dyDescent="0.3">
      <c r="A362" s="60"/>
      <c r="B362" s="60"/>
      <c r="C362" s="60"/>
      <c r="D362" s="60"/>
      <c r="E362" s="124"/>
      <c r="F362" s="61"/>
      <c r="G362" s="61"/>
      <c r="H362" s="61"/>
    </row>
    <row r="363" spans="1:8" s="47" customFormat="1" ht="30" customHeight="1" x14ac:dyDescent="0.3">
      <c r="A363" s="60"/>
      <c r="B363" s="60"/>
      <c r="C363" s="60"/>
      <c r="D363" s="60"/>
      <c r="E363" s="124"/>
      <c r="F363" s="61"/>
      <c r="G363" s="61"/>
      <c r="H363" s="61"/>
    </row>
    <row r="364" spans="1:8" s="52" customFormat="1" x14ac:dyDescent="0.3">
      <c r="A364" s="60"/>
      <c r="B364" s="60"/>
      <c r="C364" s="60"/>
      <c r="D364" s="60"/>
      <c r="E364" s="124"/>
      <c r="F364" s="61"/>
      <c r="G364" s="61"/>
      <c r="H364" s="61"/>
    </row>
    <row r="365" spans="1:8" s="52" customFormat="1" x14ac:dyDescent="0.3">
      <c r="A365" s="60"/>
      <c r="B365" s="60"/>
      <c r="C365" s="60"/>
      <c r="D365" s="60"/>
      <c r="E365" s="124"/>
      <c r="F365" s="61"/>
      <c r="G365" s="61"/>
      <c r="H365" s="61"/>
    </row>
    <row r="366" spans="1:8" s="52" customFormat="1" x14ac:dyDescent="0.3">
      <c r="A366" s="60"/>
      <c r="B366" s="60"/>
      <c r="C366" s="60"/>
      <c r="D366" s="60"/>
      <c r="E366" s="124"/>
      <c r="F366" s="61"/>
      <c r="G366" s="61"/>
      <c r="H366" s="61"/>
    </row>
    <row r="367" spans="1:8" s="52" customFormat="1" x14ac:dyDescent="0.3">
      <c r="A367" s="60"/>
      <c r="B367" s="60"/>
      <c r="C367" s="60"/>
      <c r="D367" s="60"/>
      <c r="E367" s="124"/>
      <c r="F367" s="61"/>
      <c r="G367" s="61"/>
      <c r="H367" s="61"/>
    </row>
    <row r="368" spans="1:8" s="52" customFormat="1" x14ac:dyDescent="0.3">
      <c r="A368" s="60"/>
      <c r="B368" s="60"/>
      <c r="C368" s="60"/>
      <c r="D368" s="60"/>
      <c r="E368" s="124"/>
      <c r="F368" s="61"/>
      <c r="G368" s="61"/>
      <c r="H368" s="61"/>
    </row>
    <row r="369" spans="1:8" s="52" customFormat="1" x14ac:dyDescent="0.3">
      <c r="A369" s="60"/>
      <c r="B369" s="60"/>
      <c r="C369" s="60"/>
      <c r="D369" s="60"/>
      <c r="E369" s="124"/>
      <c r="F369" s="61"/>
      <c r="G369" s="61"/>
      <c r="H369" s="61"/>
    </row>
    <row r="370" spans="1:8" s="52" customFormat="1" x14ac:dyDescent="0.3">
      <c r="A370" s="60"/>
      <c r="B370" s="60"/>
      <c r="C370" s="60"/>
      <c r="D370" s="60"/>
      <c r="E370" s="124"/>
      <c r="F370" s="61"/>
      <c r="G370" s="61"/>
      <c r="H370" s="61"/>
    </row>
    <row r="371" spans="1:8" s="52" customFormat="1" x14ac:dyDescent="0.3">
      <c r="A371" s="60"/>
      <c r="B371" s="60"/>
      <c r="C371" s="60"/>
      <c r="D371" s="60"/>
      <c r="E371" s="124"/>
      <c r="F371" s="61"/>
      <c r="G371" s="61"/>
      <c r="H371" s="61"/>
    </row>
    <row r="372" spans="1:8" s="52" customFormat="1" x14ac:dyDescent="0.3">
      <c r="A372" s="60"/>
      <c r="B372" s="60"/>
      <c r="C372" s="60"/>
      <c r="D372" s="60"/>
      <c r="E372" s="124"/>
      <c r="F372" s="61"/>
      <c r="G372" s="61"/>
      <c r="H372" s="61"/>
    </row>
    <row r="373" spans="1:8" s="59" customFormat="1" x14ac:dyDescent="0.3">
      <c r="A373" s="60"/>
      <c r="B373" s="60"/>
      <c r="C373" s="60"/>
      <c r="D373" s="60"/>
      <c r="E373" s="124"/>
      <c r="F373" s="61"/>
      <c r="G373" s="61"/>
      <c r="H373" s="61"/>
    </row>
    <row r="374" spans="1:8" s="47" customFormat="1" ht="30" customHeight="1" x14ac:dyDescent="0.3">
      <c r="A374" s="60"/>
      <c r="B374" s="60"/>
      <c r="C374" s="60"/>
      <c r="D374" s="60"/>
      <c r="E374" s="124"/>
      <c r="F374" s="61"/>
      <c r="G374" s="61"/>
      <c r="H374" s="61"/>
    </row>
    <row r="375" spans="1:8" s="47" customFormat="1" ht="30" customHeight="1" x14ac:dyDescent="0.3">
      <c r="A375" s="60"/>
      <c r="B375" s="60"/>
      <c r="C375" s="60"/>
      <c r="D375" s="60"/>
      <c r="E375" s="124"/>
      <c r="F375" s="61"/>
      <c r="G375" s="61"/>
      <c r="H375" s="61"/>
    </row>
    <row r="376" spans="1:8" s="52" customFormat="1" x14ac:dyDescent="0.3">
      <c r="A376" s="60"/>
      <c r="B376" s="60"/>
      <c r="C376" s="60"/>
      <c r="D376" s="60"/>
      <c r="E376" s="124"/>
      <c r="F376" s="61"/>
      <c r="G376" s="61"/>
      <c r="H376" s="61"/>
    </row>
    <row r="377" spans="1:8" s="52" customFormat="1" x14ac:dyDescent="0.3">
      <c r="A377" s="60"/>
      <c r="B377" s="60"/>
      <c r="C377" s="60"/>
      <c r="D377" s="60"/>
      <c r="E377" s="124"/>
      <c r="F377" s="61"/>
      <c r="G377" s="61"/>
      <c r="H377" s="61"/>
    </row>
    <row r="378" spans="1:8" s="52" customFormat="1" x14ac:dyDescent="0.3">
      <c r="A378" s="60"/>
      <c r="B378" s="60"/>
      <c r="C378" s="60"/>
      <c r="D378" s="60"/>
      <c r="E378" s="124"/>
      <c r="F378" s="61"/>
      <c r="G378" s="61"/>
      <c r="H378" s="61"/>
    </row>
    <row r="379" spans="1:8" s="52" customFormat="1" x14ac:dyDescent="0.3">
      <c r="A379" s="60"/>
      <c r="B379" s="60"/>
      <c r="C379" s="60"/>
      <c r="D379" s="60"/>
      <c r="E379" s="124"/>
      <c r="F379" s="61"/>
      <c r="G379" s="61"/>
      <c r="H379" s="61"/>
    </row>
    <row r="380" spans="1:8" s="52" customFormat="1" x14ac:dyDescent="0.3">
      <c r="A380" s="60"/>
      <c r="B380" s="60"/>
      <c r="C380" s="60"/>
      <c r="D380" s="60"/>
      <c r="E380" s="124"/>
      <c r="F380" s="61"/>
      <c r="G380" s="61"/>
      <c r="H380" s="61"/>
    </row>
    <row r="381" spans="1:8" s="52" customFormat="1" x14ac:dyDescent="0.3">
      <c r="A381" s="60"/>
      <c r="B381" s="60"/>
      <c r="C381" s="60"/>
      <c r="D381" s="60"/>
      <c r="E381" s="124"/>
      <c r="F381" s="61"/>
      <c r="G381" s="61"/>
      <c r="H381" s="61"/>
    </row>
    <row r="382" spans="1:8" s="52" customFormat="1" x14ac:dyDescent="0.3">
      <c r="A382" s="60"/>
      <c r="B382" s="60"/>
      <c r="C382" s="60"/>
      <c r="D382" s="60"/>
      <c r="E382" s="124"/>
      <c r="F382" s="61"/>
      <c r="G382" s="61"/>
      <c r="H382" s="61"/>
    </row>
    <row r="383" spans="1:8" s="52" customFormat="1" x14ac:dyDescent="0.3">
      <c r="A383" s="60"/>
      <c r="B383" s="60"/>
      <c r="C383" s="60"/>
      <c r="D383" s="60"/>
      <c r="E383" s="124"/>
      <c r="F383" s="61"/>
      <c r="G383" s="61"/>
      <c r="H383" s="61"/>
    </row>
    <row r="384" spans="1:8" s="52" customFormat="1" x14ac:dyDescent="0.3">
      <c r="A384" s="60"/>
      <c r="B384" s="60"/>
      <c r="C384" s="60"/>
      <c r="D384" s="60"/>
      <c r="E384" s="124"/>
      <c r="F384" s="61"/>
      <c r="G384" s="61"/>
      <c r="H384" s="61"/>
    </row>
    <row r="385" spans="1:8" s="59" customFormat="1" x14ac:dyDescent="0.3">
      <c r="A385" s="60"/>
      <c r="B385" s="60"/>
      <c r="C385" s="60"/>
      <c r="D385" s="60"/>
      <c r="E385" s="124"/>
      <c r="F385" s="61"/>
      <c r="G385" s="61"/>
      <c r="H385" s="61"/>
    </row>
    <row r="386" spans="1:8" s="47" customFormat="1" ht="30" customHeight="1" x14ac:dyDescent="0.3">
      <c r="A386" s="60"/>
      <c r="B386" s="60"/>
      <c r="C386" s="60"/>
      <c r="D386" s="60"/>
      <c r="E386" s="124"/>
      <c r="F386" s="61"/>
      <c r="G386" s="61"/>
      <c r="H386" s="61"/>
    </row>
    <row r="387" spans="1:8" s="47" customFormat="1" ht="30" customHeight="1" x14ac:dyDescent="0.3">
      <c r="A387" s="60"/>
      <c r="B387" s="60"/>
      <c r="C387" s="60"/>
      <c r="D387" s="60"/>
      <c r="E387" s="124"/>
      <c r="F387" s="61"/>
      <c r="G387" s="61"/>
      <c r="H387" s="61"/>
    </row>
    <row r="388" spans="1:8" s="52" customFormat="1" x14ac:dyDescent="0.3">
      <c r="A388" s="60"/>
      <c r="B388" s="60"/>
      <c r="C388" s="60"/>
      <c r="D388" s="60"/>
      <c r="E388" s="124"/>
      <c r="F388" s="61"/>
      <c r="G388" s="61"/>
      <c r="H388" s="61"/>
    </row>
    <row r="389" spans="1:8" s="52" customFormat="1" x14ac:dyDescent="0.3">
      <c r="A389" s="60"/>
      <c r="B389" s="60"/>
      <c r="C389" s="60"/>
      <c r="D389" s="60"/>
      <c r="E389" s="124"/>
      <c r="F389" s="61"/>
      <c r="G389" s="61"/>
      <c r="H389" s="61"/>
    </row>
    <row r="390" spans="1:8" s="52" customFormat="1" x14ac:dyDescent="0.3">
      <c r="A390" s="60"/>
      <c r="B390" s="60"/>
      <c r="C390" s="60"/>
      <c r="D390" s="60"/>
      <c r="E390" s="124"/>
      <c r="F390" s="61"/>
      <c r="G390" s="61"/>
      <c r="H390" s="61"/>
    </row>
    <row r="391" spans="1:8" s="52" customFormat="1" x14ac:dyDescent="0.3">
      <c r="A391" s="60"/>
      <c r="B391" s="60"/>
      <c r="C391" s="60"/>
      <c r="D391" s="60"/>
      <c r="E391" s="124"/>
      <c r="F391" s="61"/>
      <c r="G391" s="61"/>
      <c r="H391" s="61"/>
    </row>
    <row r="392" spans="1:8" s="52" customFormat="1" x14ac:dyDescent="0.3">
      <c r="A392" s="60"/>
      <c r="B392" s="60"/>
      <c r="C392" s="60"/>
      <c r="D392" s="60"/>
      <c r="E392" s="124"/>
      <c r="F392" s="61"/>
      <c r="G392" s="61"/>
      <c r="H392" s="61"/>
    </row>
    <row r="393" spans="1:8" s="52" customFormat="1" x14ac:dyDescent="0.3">
      <c r="A393" s="60"/>
      <c r="B393" s="60"/>
      <c r="C393" s="60"/>
      <c r="D393" s="60"/>
      <c r="E393" s="124"/>
      <c r="F393" s="61"/>
      <c r="G393" s="61"/>
      <c r="H393" s="61"/>
    </row>
    <row r="394" spans="1:8" s="52" customFormat="1" x14ac:dyDescent="0.3">
      <c r="A394" s="60"/>
      <c r="B394" s="60"/>
      <c r="C394" s="60"/>
      <c r="D394" s="60"/>
      <c r="E394" s="124"/>
      <c r="F394" s="61"/>
      <c r="G394" s="61"/>
      <c r="H394" s="61"/>
    </row>
    <row r="395" spans="1:8" s="52" customFormat="1" x14ac:dyDescent="0.3">
      <c r="A395" s="60"/>
      <c r="B395" s="60"/>
      <c r="C395" s="60"/>
      <c r="D395" s="60"/>
      <c r="E395" s="124"/>
      <c r="F395" s="61"/>
      <c r="G395" s="61"/>
      <c r="H395" s="61"/>
    </row>
    <row r="396" spans="1:8" s="52" customFormat="1" x14ac:dyDescent="0.3">
      <c r="A396" s="60"/>
      <c r="B396" s="60"/>
      <c r="C396" s="60"/>
      <c r="D396" s="60"/>
      <c r="E396" s="124"/>
      <c r="F396" s="61"/>
      <c r="G396" s="61"/>
      <c r="H396" s="61"/>
    </row>
    <row r="397" spans="1:8" s="59" customFormat="1" x14ac:dyDescent="0.3">
      <c r="A397" s="60"/>
      <c r="B397" s="60"/>
      <c r="C397" s="60"/>
      <c r="D397" s="60"/>
      <c r="E397" s="124"/>
      <c r="F397" s="61"/>
      <c r="G397" s="61"/>
      <c r="H397" s="61"/>
    </row>
    <row r="398" spans="1:8" s="47" customFormat="1" ht="30" customHeight="1" x14ac:dyDescent="0.3">
      <c r="A398" s="60"/>
      <c r="B398" s="60"/>
      <c r="C398" s="60"/>
      <c r="D398" s="60"/>
      <c r="E398" s="124"/>
      <c r="F398" s="61"/>
      <c r="G398" s="61"/>
      <c r="H398" s="61"/>
    </row>
    <row r="399" spans="1:8" s="47" customFormat="1" ht="30" customHeight="1" x14ac:dyDescent="0.3">
      <c r="A399" s="60"/>
      <c r="B399" s="60"/>
      <c r="C399" s="60"/>
      <c r="D399" s="60"/>
      <c r="E399" s="124"/>
      <c r="F399" s="61"/>
      <c r="G399" s="61"/>
      <c r="H399" s="61"/>
    </row>
    <row r="400" spans="1:8" s="52" customFormat="1" x14ac:dyDescent="0.3">
      <c r="A400" s="60"/>
      <c r="B400" s="60"/>
      <c r="C400" s="60"/>
      <c r="D400" s="60"/>
      <c r="E400" s="124"/>
      <c r="F400" s="61"/>
      <c r="G400" s="61"/>
      <c r="H400" s="61"/>
    </row>
    <row r="401" spans="1:8" s="52" customFormat="1" x14ac:dyDescent="0.3">
      <c r="A401" s="60"/>
      <c r="B401" s="60"/>
      <c r="C401" s="60"/>
      <c r="D401" s="60"/>
      <c r="E401" s="124"/>
      <c r="F401" s="61"/>
      <c r="G401" s="61"/>
      <c r="H401" s="61"/>
    </row>
    <row r="402" spans="1:8" s="52" customFormat="1" x14ac:dyDescent="0.3">
      <c r="A402" s="60"/>
      <c r="B402" s="60"/>
      <c r="C402" s="60"/>
      <c r="D402" s="60"/>
      <c r="E402" s="124"/>
      <c r="F402" s="61"/>
      <c r="G402" s="61"/>
      <c r="H402" s="61"/>
    </row>
    <row r="403" spans="1:8" s="52" customFormat="1" x14ac:dyDescent="0.3">
      <c r="A403" s="60"/>
      <c r="B403" s="60"/>
      <c r="C403" s="60"/>
      <c r="D403" s="60"/>
      <c r="E403" s="124"/>
      <c r="F403" s="61"/>
      <c r="G403" s="61"/>
      <c r="H403" s="61"/>
    </row>
    <row r="404" spans="1:8" s="52" customFormat="1" x14ac:dyDescent="0.3">
      <c r="A404" s="60"/>
      <c r="B404" s="60"/>
      <c r="C404" s="60"/>
      <c r="D404" s="60"/>
      <c r="E404" s="124"/>
      <c r="F404" s="61"/>
      <c r="G404" s="61"/>
      <c r="H404" s="61"/>
    </row>
    <row r="405" spans="1:8" s="52" customFormat="1" x14ac:dyDescent="0.3">
      <c r="A405" s="60"/>
      <c r="B405" s="60"/>
      <c r="C405" s="60"/>
      <c r="D405" s="60"/>
      <c r="E405" s="124"/>
      <c r="F405" s="61"/>
      <c r="G405" s="61"/>
      <c r="H405" s="61"/>
    </row>
    <row r="406" spans="1:8" s="52" customFormat="1" x14ac:dyDescent="0.3">
      <c r="A406" s="60"/>
      <c r="B406" s="60"/>
      <c r="C406" s="60"/>
      <c r="D406" s="60"/>
      <c r="E406" s="124"/>
      <c r="F406" s="61"/>
      <c r="G406" s="61"/>
      <c r="H406" s="61"/>
    </row>
    <row r="407" spans="1:8" s="52" customFormat="1" x14ac:dyDescent="0.3">
      <c r="A407" s="60"/>
      <c r="B407" s="60"/>
      <c r="C407" s="60"/>
      <c r="D407" s="60"/>
      <c r="E407" s="124"/>
      <c r="F407" s="61"/>
      <c r="G407" s="61"/>
      <c r="H407" s="61"/>
    </row>
    <row r="408" spans="1:8" s="52" customFormat="1" x14ac:dyDescent="0.3">
      <c r="A408" s="60"/>
      <c r="B408" s="60"/>
      <c r="C408" s="60"/>
      <c r="D408" s="60"/>
      <c r="E408" s="124"/>
      <c r="F408" s="61"/>
      <c r="G408" s="61"/>
      <c r="H408" s="61"/>
    </row>
    <row r="409" spans="1:8" s="59" customFormat="1" x14ac:dyDescent="0.3">
      <c r="A409" s="60"/>
      <c r="B409" s="60"/>
      <c r="C409" s="60"/>
      <c r="D409" s="60"/>
      <c r="E409" s="124"/>
      <c r="F409" s="61"/>
      <c r="G409" s="61"/>
      <c r="H409" s="61"/>
    </row>
    <row r="410" spans="1:8" s="47" customFormat="1" ht="30" customHeight="1" x14ac:dyDescent="0.3">
      <c r="A410" s="60"/>
      <c r="B410" s="60"/>
      <c r="C410" s="60"/>
      <c r="D410" s="60"/>
      <c r="E410" s="124"/>
      <c r="F410" s="61"/>
      <c r="G410" s="61"/>
      <c r="H410" s="61"/>
    </row>
    <row r="411" spans="1:8" s="47" customFormat="1" ht="30" customHeight="1" x14ac:dyDescent="0.3">
      <c r="A411" s="60"/>
      <c r="B411" s="60"/>
      <c r="C411" s="60"/>
      <c r="D411" s="60"/>
      <c r="E411" s="124"/>
      <c r="F411" s="61"/>
      <c r="G411" s="61"/>
      <c r="H411" s="61"/>
    </row>
    <row r="412" spans="1:8" s="52" customFormat="1" x14ac:dyDescent="0.3">
      <c r="A412" s="60"/>
      <c r="B412" s="60"/>
      <c r="C412" s="60"/>
      <c r="D412" s="60"/>
      <c r="E412" s="124"/>
      <c r="F412" s="61"/>
      <c r="G412" s="61"/>
      <c r="H412" s="61"/>
    </row>
    <row r="413" spans="1:8" s="52" customFormat="1" x14ac:dyDescent="0.3">
      <c r="A413" s="60"/>
      <c r="B413" s="60"/>
      <c r="C413" s="60"/>
      <c r="D413" s="60"/>
      <c r="E413" s="124"/>
      <c r="F413" s="61"/>
      <c r="G413" s="61"/>
      <c r="H413" s="61"/>
    </row>
    <row r="414" spans="1:8" s="52" customFormat="1" x14ac:dyDescent="0.3">
      <c r="A414" s="60"/>
      <c r="B414" s="60"/>
      <c r="C414" s="60"/>
      <c r="D414" s="60"/>
      <c r="E414" s="124"/>
      <c r="F414" s="61"/>
      <c r="G414" s="61"/>
      <c r="H414" s="61"/>
    </row>
    <row r="415" spans="1:8" s="52" customFormat="1" x14ac:dyDescent="0.3">
      <c r="A415" s="60"/>
      <c r="B415" s="60"/>
      <c r="C415" s="60"/>
      <c r="D415" s="60"/>
      <c r="E415" s="124"/>
      <c r="F415" s="61"/>
      <c r="G415" s="61"/>
      <c r="H415" s="61"/>
    </row>
    <row r="416" spans="1:8" s="52" customFormat="1" x14ac:dyDescent="0.3">
      <c r="A416" s="60"/>
      <c r="B416" s="60"/>
      <c r="C416" s="60"/>
      <c r="D416" s="60"/>
      <c r="E416" s="124"/>
      <c r="F416" s="61"/>
      <c r="G416" s="61"/>
      <c r="H416" s="61"/>
    </row>
    <row r="417" spans="1:8" s="52" customFormat="1" x14ac:dyDescent="0.3">
      <c r="A417" s="60"/>
      <c r="B417" s="60"/>
      <c r="C417" s="60"/>
      <c r="D417" s="60"/>
      <c r="E417" s="124"/>
      <c r="F417" s="61"/>
      <c r="G417" s="61"/>
      <c r="H417" s="61"/>
    </row>
    <row r="418" spans="1:8" s="52" customFormat="1" x14ac:dyDescent="0.3">
      <c r="A418" s="60"/>
      <c r="B418" s="60"/>
      <c r="C418" s="60"/>
      <c r="D418" s="60"/>
      <c r="E418" s="124"/>
      <c r="F418" s="61"/>
      <c r="G418" s="61"/>
      <c r="H418" s="61"/>
    </row>
    <row r="419" spans="1:8" s="52" customFormat="1" x14ac:dyDescent="0.3">
      <c r="A419" s="60"/>
      <c r="B419" s="60"/>
      <c r="C419" s="60"/>
      <c r="D419" s="60"/>
      <c r="E419" s="124"/>
      <c r="F419" s="61"/>
      <c r="G419" s="61"/>
      <c r="H419" s="61"/>
    </row>
    <row r="420" spans="1:8" s="52" customFormat="1" x14ac:dyDescent="0.3">
      <c r="A420" s="60"/>
      <c r="B420" s="60"/>
      <c r="C420" s="60"/>
      <c r="D420" s="60"/>
      <c r="E420" s="124"/>
      <c r="F420" s="61"/>
      <c r="G420" s="61"/>
      <c r="H420" s="61"/>
    </row>
    <row r="421" spans="1:8" s="59" customFormat="1" x14ac:dyDescent="0.3">
      <c r="A421" s="60"/>
      <c r="B421" s="60"/>
      <c r="C421" s="60"/>
      <c r="D421" s="60"/>
      <c r="E421" s="124"/>
      <c r="F421" s="61"/>
      <c r="G421" s="61"/>
      <c r="H421" s="61"/>
    </row>
    <row r="422" spans="1:8" s="47" customFormat="1" ht="30" customHeight="1" x14ac:dyDescent="0.3">
      <c r="A422" s="60"/>
      <c r="B422" s="60"/>
      <c r="C422" s="60"/>
      <c r="D422" s="60"/>
      <c r="E422" s="124"/>
      <c r="F422" s="61"/>
      <c r="G422" s="61"/>
      <c r="H422" s="61"/>
    </row>
    <row r="423" spans="1:8" s="47" customFormat="1" ht="30" customHeight="1" x14ac:dyDescent="0.3">
      <c r="A423" s="60"/>
      <c r="B423" s="60"/>
      <c r="C423" s="60"/>
      <c r="D423" s="60"/>
      <c r="E423" s="124"/>
      <c r="F423" s="61"/>
      <c r="G423" s="61"/>
      <c r="H423" s="61"/>
    </row>
    <row r="424" spans="1:8" s="52" customFormat="1" x14ac:dyDescent="0.3">
      <c r="A424" s="60"/>
      <c r="B424" s="60"/>
      <c r="C424" s="60"/>
      <c r="D424" s="60"/>
      <c r="E424" s="124"/>
      <c r="F424" s="61"/>
      <c r="G424" s="61"/>
      <c r="H424" s="61"/>
    </row>
    <row r="425" spans="1:8" s="52" customFormat="1" x14ac:dyDescent="0.3">
      <c r="A425" s="60"/>
      <c r="B425" s="60"/>
      <c r="C425" s="60"/>
      <c r="D425" s="60"/>
      <c r="E425" s="124"/>
      <c r="F425" s="61"/>
      <c r="G425" s="61"/>
      <c r="H425" s="61"/>
    </row>
    <row r="426" spans="1:8" s="52" customFormat="1" x14ac:dyDescent="0.3">
      <c r="A426" s="60"/>
      <c r="B426" s="60"/>
      <c r="C426" s="60"/>
      <c r="D426" s="60"/>
      <c r="E426" s="124"/>
      <c r="F426" s="61"/>
      <c r="G426" s="61"/>
      <c r="H426" s="61"/>
    </row>
    <row r="427" spans="1:8" s="52" customFormat="1" x14ac:dyDescent="0.3">
      <c r="A427" s="60"/>
      <c r="B427" s="60"/>
      <c r="C427" s="60"/>
      <c r="D427" s="60"/>
      <c r="E427" s="124"/>
      <c r="F427" s="61"/>
      <c r="G427" s="61"/>
      <c r="H427" s="61"/>
    </row>
    <row r="428" spans="1:8" s="52" customFormat="1" x14ac:dyDescent="0.3">
      <c r="A428" s="60"/>
      <c r="B428" s="60"/>
      <c r="C428" s="60"/>
      <c r="D428" s="60"/>
      <c r="E428" s="124"/>
      <c r="F428" s="61"/>
      <c r="G428" s="61"/>
      <c r="H428" s="61"/>
    </row>
    <row r="429" spans="1:8" s="52" customFormat="1" x14ac:dyDescent="0.3">
      <c r="A429" s="60"/>
      <c r="B429" s="60"/>
      <c r="C429" s="60"/>
      <c r="D429" s="60"/>
      <c r="E429" s="124"/>
      <c r="F429" s="61"/>
      <c r="G429" s="61"/>
      <c r="H429" s="61"/>
    </row>
    <row r="430" spans="1:8" s="52" customFormat="1" x14ac:dyDescent="0.3">
      <c r="A430" s="60"/>
      <c r="B430" s="60"/>
      <c r="C430" s="60"/>
      <c r="D430" s="60"/>
      <c r="E430" s="124"/>
      <c r="F430" s="61"/>
      <c r="G430" s="61"/>
      <c r="H430" s="61"/>
    </row>
    <row r="431" spans="1:8" s="52" customFormat="1" x14ac:dyDescent="0.3">
      <c r="A431" s="60"/>
      <c r="B431" s="60"/>
      <c r="C431" s="60"/>
      <c r="D431" s="60"/>
      <c r="E431" s="124"/>
      <c r="F431" s="61"/>
      <c r="G431" s="61"/>
      <c r="H431" s="61"/>
    </row>
    <row r="432" spans="1:8" s="52" customFormat="1" x14ac:dyDescent="0.3">
      <c r="A432" s="60"/>
      <c r="B432" s="60"/>
      <c r="C432" s="60"/>
      <c r="D432" s="60"/>
      <c r="E432" s="124"/>
      <c r="F432" s="61"/>
      <c r="G432" s="61"/>
      <c r="H432" s="61"/>
    </row>
    <row r="433" spans="1:8" s="59" customFormat="1" x14ac:dyDescent="0.3">
      <c r="A433" s="60"/>
      <c r="B433" s="60"/>
      <c r="C433" s="60"/>
      <c r="D433" s="60"/>
      <c r="E433" s="124"/>
      <c r="F433" s="61"/>
      <c r="G433" s="61"/>
      <c r="H433" s="61"/>
    </row>
    <row r="434" spans="1:8" s="47" customFormat="1" ht="30" customHeight="1" x14ac:dyDescent="0.3">
      <c r="A434" s="60"/>
      <c r="B434" s="60"/>
      <c r="C434" s="60"/>
      <c r="D434" s="60"/>
      <c r="E434" s="124"/>
      <c r="F434" s="61"/>
      <c r="G434" s="61"/>
      <c r="H434" s="61"/>
    </row>
    <row r="435" spans="1:8" s="47" customFormat="1" ht="30" customHeight="1" x14ac:dyDescent="0.3">
      <c r="A435" s="60"/>
      <c r="B435" s="60"/>
      <c r="C435" s="60"/>
      <c r="D435" s="60"/>
      <c r="E435" s="124"/>
      <c r="F435" s="61"/>
      <c r="G435" s="61"/>
      <c r="H435" s="61"/>
    </row>
    <row r="436" spans="1:8" s="52" customFormat="1" x14ac:dyDescent="0.3">
      <c r="A436" s="60"/>
      <c r="B436" s="60"/>
      <c r="C436" s="60"/>
      <c r="D436" s="60"/>
      <c r="E436" s="124"/>
      <c r="F436" s="61"/>
      <c r="G436" s="61"/>
      <c r="H436" s="61"/>
    </row>
    <row r="437" spans="1:8" s="52" customFormat="1" x14ac:dyDescent="0.3">
      <c r="A437" s="60"/>
      <c r="B437" s="60"/>
      <c r="C437" s="60"/>
      <c r="D437" s="60"/>
      <c r="E437" s="124"/>
      <c r="F437" s="61"/>
      <c r="G437" s="61"/>
      <c r="H437" s="61"/>
    </row>
    <row r="438" spans="1:8" s="52" customFormat="1" x14ac:dyDescent="0.3">
      <c r="A438" s="60"/>
      <c r="B438" s="60"/>
      <c r="C438" s="60"/>
      <c r="D438" s="60"/>
      <c r="E438" s="124"/>
      <c r="F438" s="61"/>
      <c r="G438" s="61"/>
      <c r="H438" s="61"/>
    </row>
    <row r="439" spans="1:8" s="52" customFormat="1" x14ac:dyDescent="0.3">
      <c r="A439" s="60"/>
      <c r="B439" s="60"/>
      <c r="C439" s="60"/>
      <c r="D439" s="60"/>
      <c r="E439" s="124"/>
      <c r="F439" s="61"/>
      <c r="G439" s="61"/>
      <c r="H439" s="61"/>
    </row>
    <row r="440" spans="1:8" s="52" customFormat="1" x14ac:dyDescent="0.3">
      <c r="A440" s="60"/>
      <c r="B440" s="60"/>
      <c r="C440" s="60"/>
      <c r="D440" s="60"/>
      <c r="E440" s="124"/>
      <c r="F440" s="61"/>
      <c r="G440" s="61"/>
      <c r="H440" s="61"/>
    </row>
    <row r="441" spans="1:8" s="52" customFormat="1" x14ac:dyDescent="0.3">
      <c r="A441" s="60"/>
      <c r="B441" s="60"/>
      <c r="C441" s="60"/>
      <c r="D441" s="60"/>
      <c r="E441" s="124"/>
      <c r="F441" s="61"/>
      <c r="G441" s="61"/>
      <c r="H441" s="61"/>
    </row>
    <row r="442" spans="1:8" s="52" customFormat="1" x14ac:dyDescent="0.3">
      <c r="A442" s="60"/>
      <c r="B442" s="60"/>
      <c r="C442" s="60"/>
      <c r="D442" s="60"/>
      <c r="E442" s="124"/>
      <c r="F442" s="61"/>
      <c r="G442" s="61"/>
      <c r="H442" s="61"/>
    </row>
    <row r="443" spans="1:8" s="52" customFormat="1" x14ac:dyDescent="0.3">
      <c r="A443" s="60"/>
      <c r="B443" s="60"/>
      <c r="C443" s="60"/>
      <c r="D443" s="60"/>
      <c r="E443" s="124"/>
      <c r="F443" s="61"/>
      <c r="G443" s="61"/>
      <c r="H443" s="61"/>
    </row>
    <row r="444" spans="1:8" s="52" customFormat="1" x14ac:dyDescent="0.3">
      <c r="A444" s="60"/>
      <c r="B444" s="60"/>
      <c r="C444" s="60"/>
      <c r="D444" s="60"/>
      <c r="E444" s="124"/>
      <c r="F444" s="61"/>
      <c r="G444" s="61"/>
      <c r="H444" s="61"/>
    </row>
    <row r="445" spans="1:8" s="59" customFormat="1" x14ac:dyDescent="0.3">
      <c r="A445" s="60"/>
      <c r="B445" s="60"/>
      <c r="C445" s="60"/>
      <c r="D445" s="60"/>
      <c r="E445" s="124"/>
      <c r="F445" s="61"/>
      <c r="G445" s="61"/>
      <c r="H445" s="61"/>
    </row>
    <row r="446" spans="1:8" s="47" customFormat="1" ht="30" customHeight="1" x14ac:dyDescent="0.3">
      <c r="A446" s="60"/>
      <c r="B446" s="60"/>
      <c r="C446" s="60"/>
      <c r="D446" s="60"/>
      <c r="E446" s="124"/>
      <c r="F446" s="61"/>
      <c r="G446" s="61"/>
      <c r="H446" s="61"/>
    </row>
    <row r="447" spans="1:8" s="47" customFormat="1" ht="30" customHeight="1" x14ac:dyDescent="0.3">
      <c r="A447" s="60"/>
      <c r="B447" s="60"/>
      <c r="C447" s="60"/>
      <c r="D447" s="60"/>
      <c r="E447" s="124"/>
      <c r="F447" s="61"/>
      <c r="G447" s="61"/>
      <c r="H447" s="61"/>
    </row>
    <row r="448" spans="1:8" s="52" customFormat="1" x14ac:dyDescent="0.3">
      <c r="A448" s="60"/>
      <c r="B448" s="60"/>
      <c r="C448" s="60"/>
      <c r="D448" s="60"/>
      <c r="E448" s="124"/>
      <c r="F448" s="61"/>
      <c r="G448" s="61"/>
      <c r="H448" s="61"/>
    </row>
    <row r="449" spans="1:8" s="52" customFormat="1" x14ac:dyDescent="0.3">
      <c r="A449" s="60"/>
      <c r="B449" s="60"/>
      <c r="C449" s="60"/>
      <c r="D449" s="60"/>
      <c r="E449" s="124"/>
      <c r="F449" s="61"/>
      <c r="G449" s="61"/>
      <c r="H449" s="61"/>
    </row>
    <row r="450" spans="1:8" s="52" customFormat="1" x14ac:dyDescent="0.3">
      <c r="A450" s="60"/>
      <c r="B450" s="60"/>
      <c r="C450" s="60"/>
      <c r="D450" s="60"/>
      <c r="E450" s="124"/>
      <c r="F450" s="61"/>
      <c r="G450" s="61"/>
      <c r="H450" s="61"/>
    </row>
    <row r="451" spans="1:8" s="52" customFormat="1" x14ac:dyDescent="0.3">
      <c r="A451" s="60"/>
      <c r="B451" s="60"/>
      <c r="C451" s="60"/>
      <c r="D451" s="60"/>
      <c r="E451" s="124"/>
      <c r="F451" s="61"/>
      <c r="G451" s="61"/>
      <c r="H451" s="61"/>
    </row>
    <row r="452" spans="1:8" s="52" customFormat="1" x14ac:dyDescent="0.3">
      <c r="A452" s="60"/>
      <c r="B452" s="60"/>
      <c r="C452" s="60"/>
      <c r="D452" s="60"/>
      <c r="E452" s="124"/>
      <c r="F452" s="61"/>
      <c r="G452" s="61"/>
      <c r="H452" s="61"/>
    </row>
    <row r="453" spans="1:8" s="52" customFormat="1" x14ac:dyDescent="0.3">
      <c r="A453" s="60"/>
      <c r="B453" s="60"/>
      <c r="C453" s="60"/>
      <c r="D453" s="60"/>
      <c r="E453" s="124"/>
      <c r="F453" s="61"/>
      <c r="G453" s="61"/>
      <c r="H453" s="61"/>
    </row>
    <row r="454" spans="1:8" s="52" customFormat="1" x14ac:dyDescent="0.3">
      <c r="A454" s="60"/>
      <c r="B454" s="60"/>
      <c r="C454" s="60"/>
      <c r="D454" s="60"/>
      <c r="E454" s="124"/>
      <c r="F454" s="61"/>
      <c r="G454" s="61"/>
      <c r="H454" s="61"/>
    </row>
    <row r="455" spans="1:8" s="52" customFormat="1" x14ac:dyDescent="0.3">
      <c r="A455" s="60"/>
      <c r="B455" s="60"/>
      <c r="C455" s="60"/>
      <c r="D455" s="60"/>
      <c r="E455" s="124"/>
      <c r="F455" s="61"/>
      <c r="G455" s="61"/>
      <c r="H455" s="61"/>
    </row>
    <row r="456" spans="1:8" s="52" customFormat="1" x14ac:dyDescent="0.3">
      <c r="A456" s="60"/>
      <c r="B456" s="60"/>
      <c r="C456" s="60"/>
      <c r="D456" s="60"/>
      <c r="E456" s="124"/>
      <c r="F456" s="61"/>
      <c r="G456" s="61"/>
      <c r="H456" s="61"/>
    </row>
    <row r="457" spans="1:8" s="59" customFormat="1" x14ac:dyDescent="0.3">
      <c r="A457" s="60"/>
      <c r="B457" s="60"/>
      <c r="C457" s="60"/>
      <c r="D457" s="60"/>
      <c r="E457" s="124"/>
      <c r="F457" s="61"/>
      <c r="G457" s="61"/>
      <c r="H457" s="61"/>
    </row>
    <row r="458" spans="1:8" s="47" customFormat="1" ht="30" customHeight="1" x14ac:dyDescent="0.3">
      <c r="A458" s="60"/>
      <c r="B458" s="60"/>
      <c r="C458" s="60"/>
      <c r="D458" s="60"/>
      <c r="E458" s="124"/>
      <c r="F458" s="61"/>
      <c r="G458" s="61"/>
      <c r="H458" s="61"/>
    </row>
    <row r="459" spans="1:8" s="47" customFormat="1" ht="30" customHeight="1" x14ac:dyDescent="0.3">
      <c r="A459" s="60"/>
      <c r="B459" s="60"/>
      <c r="C459" s="60"/>
      <c r="D459" s="60"/>
      <c r="E459" s="124"/>
      <c r="F459" s="61"/>
      <c r="G459" s="61"/>
      <c r="H459" s="61"/>
    </row>
    <row r="460" spans="1:8" s="52" customFormat="1" x14ac:dyDescent="0.3">
      <c r="A460" s="60"/>
      <c r="B460" s="60"/>
      <c r="C460" s="60"/>
      <c r="D460" s="60"/>
      <c r="E460" s="124"/>
      <c r="F460" s="61"/>
      <c r="G460" s="61"/>
      <c r="H460" s="61"/>
    </row>
    <row r="461" spans="1:8" s="52" customFormat="1" x14ac:dyDescent="0.3">
      <c r="A461" s="60"/>
      <c r="B461" s="60"/>
      <c r="C461" s="60"/>
      <c r="D461" s="60"/>
      <c r="E461" s="124"/>
      <c r="F461" s="61"/>
      <c r="G461" s="61"/>
      <c r="H461" s="61"/>
    </row>
    <row r="462" spans="1:8" s="52" customFormat="1" x14ac:dyDescent="0.3">
      <c r="A462" s="60"/>
      <c r="B462" s="60"/>
      <c r="C462" s="60"/>
      <c r="D462" s="60"/>
      <c r="E462" s="124"/>
      <c r="F462" s="61"/>
      <c r="G462" s="61"/>
      <c r="H462" s="61"/>
    </row>
    <row r="463" spans="1:8" s="52" customFormat="1" x14ac:dyDescent="0.3">
      <c r="A463" s="60"/>
      <c r="B463" s="60"/>
      <c r="C463" s="60"/>
      <c r="D463" s="60"/>
      <c r="E463" s="124"/>
      <c r="F463" s="61"/>
      <c r="G463" s="61"/>
      <c r="H463" s="61"/>
    </row>
    <row r="464" spans="1:8" s="52" customFormat="1" x14ac:dyDescent="0.3">
      <c r="A464" s="60"/>
      <c r="B464" s="60"/>
      <c r="C464" s="60"/>
      <c r="D464" s="60"/>
      <c r="E464" s="124"/>
      <c r="F464" s="61"/>
      <c r="G464" s="61"/>
      <c r="H464" s="61"/>
    </row>
    <row r="465" spans="1:8" s="52" customFormat="1" x14ac:dyDescent="0.3">
      <c r="A465" s="60"/>
      <c r="B465" s="60"/>
      <c r="C465" s="60"/>
      <c r="D465" s="60"/>
      <c r="E465" s="124"/>
      <c r="F465" s="61"/>
      <c r="G465" s="61"/>
      <c r="H465" s="61"/>
    </row>
    <row r="466" spans="1:8" s="52" customFormat="1" x14ac:dyDescent="0.3">
      <c r="A466" s="60"/>
      <c r="B466" s="60"/>
      <c r="C466" s="60"/>
      <c r="D466" s="60"/>
      <c r="E466" s="124"/>
      <c r="F466" s="61"/>
      <c r="G466" s="61"/>
      <c r="H466" s="61"/>
    </row>
    <row r="467" spans="1:8" s="52" customFormat="1" x14ac:dyDescent="0.3">
      <c r="A467" s="60"/>
      <c r="B467" s="60"/>
      <c r="C467" s="60"/>
      <c r="D467" s="60"/>
      <c r="E467" s="124"/>
      <c r="F467" s="61"/>
      <c r="G467" s="61"/>
      <c r="H467" s="61"/>
    </row>
    <row r="468" spans="1:8" s="52" customFormat="1" x14ac:dyDescent="0.3">
      <c r="A468" s="60"/>
      <c r="B468" s="60"/>
      <c r="C468" s="60"/>
      <c r="D468" s="60"/>
      <c r="E468" s="124"/>
      <c r="F468" s="61"/>
      <c r="G468" s="61"/>
      <c r="H468" s="61"/>
    </row>
    <row r="469" spans="1:8" s="59" customFormat="1" x14ac:dyDescent="0.3">
      <c r="A469" s="60"/>
      <c r="B469" s="60"/>
      <c r="C469" s="60"/>
      <c r="D469" s="60"/>
      <c r="E469" s="124"/>
      <c r="F469" s="61"/>
      <c r="G469" s="61"/>
      <c r="H469" s="61"/>
    </row>
    <row r="470" spans="1:8" s="47" customFormat="1" ht="30" customHeight="1" x14ac:dyDescent="0.3">
      <c r="A470" s="60"/>
      <c r="B470" s="60"/>
      <c r="C470" s="60"/>
      <c r="D470" s="60"/>
      <c r="E470" s="124"/>
      <c r="F470" s="61"/>
      <c r="G470" s="61"/>
      <c r="H470" s="61"/>
    </row>
    <row r="471" spans="1:8" s="47" customFormat="1" ht="30" customHeight="1" x14ac:dyDescent="0.3">
      <c r="A471" s="60"/>
      <c r="B471" s="60"/>
      <c r="C471" s="60"/>
      <c r="D471" s="60"/>
      <c r="E471" s="124"/>
      <c r="F471" s="61"/>
      <c r="G471" s="61"/>
      <c r="H471" s="61"/>
    </row>
    <row r="472" spans="1:8" s="52" customFormat="1" x14ac:dyDescent="0.3">
      <c r="A472" s="60"/>
      <c r="B472" s="60"/>
      <c r="C472" s="60"/>
      <c r="D472" s="60"/>
      <c r="E472" s="124"/>
      <c r="F472" s="61"/>
      <c r="G472" s="61"/>
      <c r="H472" s="61"/>
    </row>
    <row r="473" spans="1:8" s="52" customFormat="1" x14ac:dyDescent="0.3">
      <c r="A473" s="60"/>
      <c r="B473" s="60"/>
      <c r="C473" s="60"/>
      <c r="D473" s="60"/>
      <c r="E473" s="124"/>
      <c r="F473" s="61"/>
      <c r="G473" s="61"/>
      <c r="H473" s="61"/>
    </row>
    <row r="474" spans="1:8" s="52" customFormat="1" x14ac:dyDescent="0.3">
      <c r="A474" s="60"/>
      <c r="B474" s="60"/>
      <c r="C474" s="60"/>
      <c r="D474" s="60"/>
      <c r="E474" s="124"/>
      <c r="F474" s="61"/>
      <c r="G474" s="61"/>
      <c r="H474" s="61"/>
    </row>
    <row r="475" spans="1:8" s="52" customFormat="1" x14ac:dyDescent="0.3">
      <c r="A475" s="60"/>
      <c r="B475" s="60"/>
      <c r="C475" s="60"/>
      <c r="D475" s="60"/>
      <c r="E475" s="124"/>
      <c r="F475" s="61"/>
      <c r="G475" s="61"/>
      <c r="H475" s="61"/>
    </row>
    <row r="476" spans="1:8" s="52" customFormat="1" x14ac:dyDescent="0.3">
      <c r="A476" s="60"/>
      <c r="B476" s="60"/>
      <c r="C476" s="60"/>
      <c r="D476" s="60"/>
      <c r="E476" s="124"/>
      <c r="F476" s="61"/>
      <c r="G476" s="61"/>
      <c r="H476" s="61"/>
    </row>
    <row r="477" spans="1:8" s="52" customFormat="1" x14ac:dyDescent="0.3">
      <c r="A477" s="60"/>
      <c r="B477" s="60"/>
      <c r="C477" s="60"/>
      <c r="D477" s="60"/>
      <c r="E477" s="124"/>
      <c r="F477" s="61"/>
      <c r="G477" s="61"/>
      <c r="H477" s="61"/>
    </row>
    <row r="478" spans="1:8" s="52" customFormat="1" x14ac:dyDescent="0.3">
      <c r="A478" s="60"/>
      <c r="B478" s="60"/>
      <c r="C478" s="60"/>
      <c r="D478" s="60"/>
      <c r="E478" s="124"/>
      <c r="F478" s="61"/>
      <c r="G478" s="61"/>
      <c r="H478" s="61"/>
    </row>
    <row r="479" spans="1:8" s="52" customFormat="1" x14ac:dyDescent="0.3">
      <c r="A479" s="60"/>
      <c r="B479" s="60"/>
      <c r="C479" s="60"/>
      <c r="D479" s="60"/>
      <c r="E479" s="124"/>
      <c r="F479" s="61"/>
      <c r="G479" s="61"/>
      <c r="H479" s="61"/>
    </row>
    <row r="480" spans="1:8" s="52" customFormat="1" x14ac:dyDescent="0.3">
      <c r="A480" s="60"/>
      <c r="B480" s="60"/>
      <c r="C480" s="60"/>
      <c r="D480" s="60"/>
      <c r="E480" s="124"/>
      <c r="F480" s="61"/>
      <c r="G480" s="61"/>
      <c r="H480" s="61"/>
    </row>
    <row r="481" spans="1:8" s="59" customFormat="1" x14ac:dyDescent="0.3">
      <c r="A481" s="60"/>
      <c r="B481" s="60"/>
      <c r="C481" s="60"/>
      <c r="D481" s="60"/>
      <c r="E481" s="124"/>
      <c r="F481" s="61"/>
      <c r="G481" s="61"/>
      <c r="H481" s="61"/>
    </row>
  </sheetData>
  <sheetProtection formatRows="0" insertRows="0" insertHyperlinks="0" deleteRows="0" selectLockedCells="1"/>
  <mergeCells count="141">
    <mergeCell ref="E20:F20"/>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D46:D49"/>
    <mergeCell ref="A47:C49"/>
    <mergeCell ref="E47:F49"/>
    <mergeCell ref="G27:G32"/>
    <mergeCell ref="E42:F42"/>
    <mergeCell ref="G145:G148"/>
    <mergeCell ref="E23:F23"/>
    <mergeCell ref="E24:F24"/>
    <mergeCell ref="E25:F25"/>
    <mergeCell ref="E26:F26"/>
    <mergeCell ref="E27:F27"/>
    <mergeCell ref="E28:F28"/>
    <mergeCell ref="E29:F29"/>
    <mergeCell ref="E30:F30"/>
    <mergeCell ref="E31:F31"/>
    <mergeCell ref="E32:F32"/>
    <mergeCell ref="G49:G54"/>
    <mergeCell ref="E35:F35"/>
    <mergeCell ref="E36:F36"/>
    <mergeCell ref="E37:F37"/>
    <mergeCell ref="E38:F38"/>
    <mergeCell ref="E39:F39"/>
    <mergeCell ref="E40:F40"/>
    <mergeCell ref="E41:F41"/>
    <mergeCell ref="E84:F84"/>
    <mergeCell ref="E75:F75"/>
    <mergeCell ref="E66:F66"/>
    <mergeCell ref="E67:F67"/>
    <mergeCell ref="E68:F68"/>
    <mergeCell ref="E69:F69"/>
    <mergeCell ref="E70:F70"/>
    <mergeCell ref="G69:G74"/>
    <mergeCell ref="E71:F71"/>
    <mergeCell ref="E72:F72"/>
    <mergeCell ref="E73:F73"/>
    <mergeCell ref="E74:F74"/>
    <mergeCell ref="E78:F78"/>
    <mergeCell ref="E79:F79"/>
    <mergeCell ref="E80:F80"/>
    <mergeCell ref="E81:F81"/>
    <mergeCell ref="E82:F82"/>
    <mergeCell ref="E83:F83"/>
    <mergeCell ref="G99:G104"/>
    <mergeCell ref="G90:G95"/>
    <mergeCell ref="E108:F108"/>
    <mergeCell ref="E109:F109"/>
    <mergeCell ref="E87:F87"/>
    <mergeCell ref="E88:F88"/>
    <mergeCell ref="E89:F89"/>
    <mergeCell ref="E90:F90"/>
    <mergeCell ref="E91:F91"/>
    <mergeCell ref="E92:F92"/>
    <mergeCell ref="E93:F93"/>
    <mergeCell ref="E100:F100"/>
    <mergeCell ref="E96:F96"/>
    <mergeCell ref="E97:F97"/>
    <mergeCell ref="E98:F98"/>
    <mergeCell ref="E99:F99"/>
    <mergeCell ref="E110:F110"/>
    <mergeCell ref="E103:F103"/>
    <mergeCell ref="E104:F104"/>
    <mergeCell ref="E105:F105"/>
    <mergeCell ref="E106:F106"/>
    <mergeCell ref="E107:F107"/>
    <mergeCell ref="E120:F120"/>
    <mergeCell ref="E113:F113"/>
    <mergeCell ref="E114:F114"/>
    <mergeCell ref="E115:F115"/>
    <mergeCell ref="E116:F116"/>
    <mergeCell ref="E117:F117"/>
    <mergeCell ref="E118:F118"/>
    <mergeCell ref="E119:F119"/>
    <mergeCell ref="E169:F169"/>
    <mergeCell ref="E164:F164"/>
    <mergeCell ref="E165:F165"/>
    <mergeCell ref="E166:F166"/>
    <mergeCell ref="E167:F167"/>
    <mergeCell ref="E168:F168"/>
    <mergeCell ref="E139:F139"/>
    <mergeCell ref="E155:F155"/>
    <mergeCell ref="E158:F158"/>
    <mergeCell ref="E160:F160"/>
    <mergeCell ref="E148:F148"/>
    <mergeCell ref="E149:F149"/>
    <mergeCell ref="E150:F150"/>
    <mergeCell ref="E151:F151"/>
    <mergeCell ref="E156:F156"/>
    <mergeCell ref="E157:F157"/>
    <mergeCell ref="E161:F161"/>
    <mergeCell ref="E142:F142"/>
    <mergeCell ref="E143:F143"/>
    <mergeCell ref="E144:F144"/>
    <mergeCell ref="E145:F145"/>
    <mergeCell ref="E146:F146"/>
    <mergeCell ref="E147:F147"/>
    <mergeCell ref="E154:F154"/>
    <mergeCell ref="G166:G169"/>
    <mergeCell ref="E123:F123"/>
    <mergeCell ref="E124:F124"/>
    <mergeCell ref="E125:F125"/>
    <mergeCell ref="E126:F126"/>
    <mergeCell ref="E131:F131"/>
    <mergeCell ref="E127:F127"/>
    <mergeCell ref="E128:F128"/>
    <mergeCell ref="E129:F129"/>
    <mergeCell ref="E130:F130"/>
    <mergeCell ref="E134:F134"/>
    <mergeCell ref="E135:F135"/>
    <mergeCell ref="E136:F136"/>
    <mergeCell ref="E137:F137"/>
    <mergeCell ref="E138:F138"/>
    <mergeCell ref="E45:F45"/>
    <mergeCell ref="E46:F46"/>
    <mergeCell ref="E50:F50"/>
    <mergeCell ref="E63:F63"/>
    <mergeCell ref="E58:F58"/>
    <mergeCell ref="E59:F59"/>
    <mergeCell ref="E60:F60"/>
    <mergeCell ref="E61:F61"/>
    <mergeCell ref="E62:F62"/>
    <mergeCell ref="E51:F51"/>
    <mergeCell ref="E52:F52"/>
    <mergeCell ref="E53:F53"/>
    <mergeCell ref="E54:F54"/>
    <mergeCell ref="E55:F55"/>
  </mergeCells>
  <phoneticPr fontId="0" type="noConversion"/>
  <conditionalFormatting sqref="B169">
    <cfRule type="cellIs" dxfId="18" priority="40" operator="greaterThan">
      <formula>60</formula>
    </cfRule>
  </conditionalFormatting>
  <conditionalFormatting sqref="B161">
    <cfRule type="cellIs" dxfId="17" priority="39" operator="greaterThan">
      <formula>60</formula>
    </cfRule>
  </conditionalFormatting>
  <conditionalFormatting sqref="B151">
    <cfRule type="cellIs" dxfId="16" priority="38" operator="greaterThan">
      <formula>60</formula>
    </cfRule>
  </conditionalFormatting>
  <conditionalFormatting sqref="B139">
    <cfRule type="cellIs" dxfId="15" priority="14" operator="greaterThan">
      <formula>60</formula>
    </cfRule>
  </conditionalFormatting>
  <conditionalFormatting sqref="B131">
    <cfRule type="cellIs" dxfId="14" priority="13" operator="greaterThan">
      <formula>60</formula>
    </cfRule>
  </conditionalFormatting>
  <conditionalFormatting sqref="B120">
    <cfRule type="cellIs" dxfId="13" priority="12" operator="greaterThan">
      <formula>60</formula>
    </cfRule>
  </conditionalFormatting>
  <conditionalFormatting sqref="B110">
    <cfRule type="cellIs" dxfId="12" priority="11" operator="greaterThan">
      <formula>60</formula>
    </cfRule>
  </conditionalFormatting>
  <conditionalFormatting sqref="B100">
    <cfRule type="cellIs" dxfId="11" priority="10" operator="greaterThan">
      <formula>60</formula>
    </cfRule>
  </conditionalFormatting>
  <conditionalFormatting sqref="B93">
    <cfRule type="cellIs" dxfId="10" priority="9" operator="greaterThan">
      <formula>60</formula>
    </cfRule>
  </conditionalFormatting>
  <conditionalFormatting sqref="B84">
    <cfRule type="cellIs" dxfId="9" priority="8" operator="greaterThan">
      <formula>60</formula>
    </cfRule>
  </conditionalFormatting>
  <conditionalFormatting sqref="B75">
    <cfRule type="cellIs" dxfId="8" priority="7" operator="greaterThan">
      <formula>60</formula>
    </cfRule>
  </conditionalFormatting>
  <conditionalFormatting sqref="B63">
    <cfRule type="cellIs" dxfId="7" priority="6" operator="greaterThan">
      <formula>60</formula>
    </cfRule>
  </conditionalFormatting>
  <conditionalFormatting sqref="B55">
    <cfRule type="cellIs" dxfId="6" priority="5" operator="greaterThan">
      <formula>60</formula>
    </cfRule>
  </conditionalFormatting>
  <conditionalFormatting sqref="B42">
    <cfRule type="cellIs" dxfId="5" priority="4" operator="greaterThan">
      <formula>60</formula>
    </cfRule>
  </conditionalFormatting>
  <conditionalFormatting sqref="B32">
    <cfRule type="cellIs" dxfId="4" priority="3" operator="greaterThan">
      <formula>60</formula>
    </cfRule>
  </conditionalFormatting>
  <conditionalFormatting sqref="B20">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5:B168 B143:B150 B135:B138 B124:B130 B155:B160 B114:B119 B104:B109 B97:B99 B88:B92 B79:B83 B67:B74 B59:B62 B36:B41 B24:B31 B46 B50:B54 B16:B19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9 B161 B151 B139 B131 B120 B110 B100 B93 B84 B75 B63 B55 B42 B32 B20 B12">
      <formula1>0</formula1>
      <formula2>60</formula2>
    </dataValidation>
    <dataValidation type="list" allowBlank="1" showInputMessage="1" showErrorMessage="1" sqref="A165:A168 A143:A150 A135:A138 A155:A160 A124:A130 A114:A119 A104:A109 A97:A99 A88:A92 A79:A83 A67:A74 A59:A62 A36:A41 A24:A31 A46:A47 A50:A54 A16:A19 A4:A11">
      <formula1>ListeTaches</formula1>
    </dataValidation>
  </dataValidations>
  <hyperlinks>
    <hyperlink ref="E168" r:id="rId1" display="https://www.youtube.com/watch?v=0Icla6TVNNo&amp;ab_channel=AutomationStepbyStep-RaghavPal"/>
    <hyperlink ref="E135" r:id="rId2" display="https://app.moqups.com/"/>
    <hyperlink ref="E137" r:id="rId3" display="https://dev.to/apentsov/ios-database-comparison-what-are-the-differences-4h1b"/>
    <hyperlink ref="E143" r:id="rId4" display="https://app.moqups.com/"/>
    <hyperlink ref="E136" r:id="rId5" display="https://lucid.app/ - Réalisation du MCD"/>
    <hyperlink ref="E126" r:id="rId6" display="https://www.lucidchart.com/pages/ - Tableau des besoins de l'utilisateur "/>
    <hyperlink ref="E126:F126" r:id="rId7" display="https://www.lucidchart.com -  Outil pour la création du MCD"/>
    <hyperlink ref="E136:F136" r:id="rId8" display="https://www.lucidchart.com - Outil pour la création du MCD"/>
    <hyperlink ref="E128" r:id="rId9" display="https://lucid.app/ - Réalisation du MCD"/>
    <hyperlink ref="E128:F128" r:id="rId10" display="https://www.lucidchart.com -  Outil pour la création du tableau des besoins utilisateurs."/>
    <hyperlink ref="E117" r:id="rId11" display="https://firebase.google.com/docs/ios/setup"/>
    <hyperlink ref="E117:F117" r:id="rId12" display="Ajoutez Firebase à un projet IOS"/>
    <hyperlink ref="E108" r:id="rId13" display="https://www.youtube.com/watch?v=cTM8kX9jOLs&amp;ab_channel=LetCreateAnApp"/>
    <hyperlink ref="E108:F108" r:id="rId14" display="What is model view Controller with Example - Swift "/>
    <hyperlink ref="E97" r:id="rId15" display="https://www.youtube.com/watch?v=tpsffoRh9u0&amp;ab_channel=iOSAcademy"/>
    <hyperlink ref="E97:F97" r:id="rId16" display="Swift 5: Firebase Database in App - Setup/Read/Write Data (Xcode 11) - Beginners"/>
    <hyperlink ref="E88" r:id="rId17" display="https://swiftludus.org/how-to-navigate-between-view-controllers-in-ios/"/>
    <hyperlink ref="E88:F88" r:id="rId18" display="swiftludus.org - How to navigate between view controllers in IOS"/>
    <hyperlink ref="E90" r:id="rId19" display="https://firebase.google.com/docs/auth/ios/start"/>
    <hyperlink ref="E90:F90" r:id="rId20" display="Premiers pas avec l'authentification Firebase sur iOS"/>
    <hyperlink ref="E79" r:id="rId21"/>
    <hyperlink ref="E80" r:id="rId22"/>
    <hyperlink ref="E81" r:id="rId23"/>
    <hyperlink ref="E82" r:id="rId24" location=":~:text=Interface%20Builder%20provides%20four%20Auto,make%20multiple%20constraints%20at%20once."/>
    <hyperlink ref="E67" r:id="rId25"/>
    <hyperlink ref="E60" r:id="rId26"/>
    <hyperlink ref="E46" r:id="rId27"/>
    <hyperlink ref="E39" r:id="rId28"/>
    <hyperlink ref="E40" r:id="rId29"/>
    <hyperlink ref="E41" r:id="rId30"/>
    <hyperlink ref="E24" r:id="rId31"/>
    <hyperlink ref="E25" r:id="rId32"/>
    <hyperlink ref="E26" r:id="rId33"/>
    <hyperlink ref="E16" r:id="rId34"/>
    <hyperlink ref="E6" r:id="rId35"/>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6"/>
  <headerFooter alignWithMargins="0">
    <oddHeader>&amp;L&amp;"ETML,Normal"&amp;14ETML&amp;R&amp;14&amp;USection Informatique</oddHeader>
    <oddFooter>&amp;L&amp;14&amp;D - GGZ&amp;C&amp;14&amp;F - &amp;A&amp;R&amp;14&amp;P/&amp;N</oddFooter>
  </headerFooter>
  <drawing r:id="rId37"/>
  <legacyDrawing r:id="rId38"/>
  <controls>
    <mc:AlternateContent xmlns:mc="http://schemas.openxmlformats.org/markup-compatibility/2006">
      <mc:Choice Requires="x14">
        <control shapeId="9220" r:id="rId39" name="btnAjoutSeqJournal">
          <controlPr defaultSize="0" autoLine="0" r:id="rId40">
            <anchor moveWithCells="1">
              <from>
                <xdr:col>2</xdr:col>
                <xdr:colOff>85725</xdr:colOff>
                <xdr:row>0</xdr:row>
                <xdr:rowOff>85725</xdr:rowOff>
              </from>
              <to>
                <xdr:col>3</xdr:col>
                <xdr:colOff>447675</xdr:colOff>
                <xdr:row>0</xdr:row>
                <xdr:rowOff>561975</xdr:rowOff>
              </to>
            </anchor>
          </controlPr>
        </control>
      </mc:Choice>
      <mc:Fallback>
        <control shapeId="9220" r:id="rId39" name="btnAjoutSeqJournal"/>
      </mc:Fallback>
    </mc:AlternateContent>
    <mc:AlternateContent xmlns:mc="http://schemas.openxmlformats.org/markup-compatibility/2006">
      <mc:Choice Requires="x14">
        <control shapeId="9224" r:id="rId41" name="btnRapatriementJournal">
          <controlPr defaultSize="0" autoLine="0" r:id="rId42">
            <anchor moveWithCells="1">
              <from>
                <xdr:col>0</xdr:col>
                <xdr:colOff>104775</xdr:colOff>
                <xdr:row>0</xdr:row>
                <xdr:rowOff>85725</xdr:rowOff>
              </from>
              <to>
                <xdr:col>1</xdr:col>
                <xdr:colOff>457200</xdr:colOff>
                <xdr:row>0</xdr:row>
                <xdr:rowOff>552450</xdr:rowOff>
              </to>
            </anchor>
          </controlPr>
        </control>
      </mc:Choice>
      <mc:Fallback>
        <control shapeId="9224" r:id="rId4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workbookViewId="0">
      <selection activeCell="A15" sqref="A15:J50"/>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6" t="s">
        <v>170</v>
      </c>
      <c r="B1" s="210"/>
      <c r="C1" s="208" t="s">
        <v>171</v>
      </c>
      <c r="D1" s="209" t="s">
        <v>172</v>
      </c>
      <c r="E1" s="199" t="s">
        <v>173</v>
      </c>
      <c r="F1" s="211" t="s">
        <v>174</v>
      </c>
      <c r="G1" s="252"/>
      <c r="H1" s="252"/>
      <c r="I1" s="252"/>
      <c r="J1" s="252"/>
    </row>
    <row r="2" spans="1:10" ht="14.25" thickBot="1" x14ac:dyDescent="0.3">
      <c r="A2" s="197"/>
      <c r="B2" s="210"/>
      <c r="C2" s="203"/>
      <c r="D2" s="205"/>
      <c r="E2" s="200"/>
      <c r="G2" s="252"/>
      <c r="H2" s="252"/>
      <c r="I2" s="252"/>
      <c r="J2" s="252"/>
    </row>
    <row r="3" spans="1:10" ht="15.75" thickBot="1" x14ac:dyDescent="0.3">
      <c r="A3" s="198" t="s">
        <v>93</v>
      </c>
      <c r="B3" s="210"/>
      <c r="C3" s="207" t="s">
        <v>94</v>
      </c>
      <c r="D3" s="206" t="s">
        <v>93</v>
      </c>
      <c r="E3" s="200"/>
      <c r="G3" s="252"/>
      <c r="H3" s="252"/>
      <c r="I3" s="252"/>
      <c r="J3" s="252"/>
    </row>
    <row r="4" spans="1:10" ht="30.75" thickBot="1" x14ac:dyDescent="0.3">
      <c r="A4" s="198" t="s">
        <v>94</v>
      </c>
      <c r="B4" s="210"/>
      <c r="C4" s="207" t="s">
        <v>16</v>
      </c>
      <c r="D4" s="207" t="s">
        <v>91</v>
      </c>
      <c r="E4" s="200"/>
      <c r="G4" s="252"/>
      <c r="H4" s="252"/>
      <c r="I4" s="252"/>
      <c r="J4" s="252"/>
    </row>
    <row r="5" spans="1:10" ht="15.75" thickBot="1" x14ac:dyDescent="0.3">
      <c r="A5" s="198" t="s">
        <v>95</v>
      </c>
      <c r="B5" s="210"/>
      <c r="C5" s="207" t="s">
        <v>96</v>
      </c>
      <c r="D5" s="207" t="s">
        <v>92</v>
      </c>
      <c r="E5" s="200"/>
      <c r="G5" s="252"/>
      <c r="H5" s="252"/>
      <c r="I5" s="252"/>
      <c r="J5" s="252"/>
    </row>
    <row r="6" spans="1:10" ht="15.75" thickBot="1" x14ac:dyDescent="0.3">
      <c r="A6" s="198" t="s">
        <v>96</v>
      </c>
      <c r="B6" s="210"/>
      <c r="C6" s="207" t="s">
        <v>97</v>
      </c>
      <c r="D6" s="207" t="s">
        <v>100</v>
      </c>
      <c r="E6" s="200"/>
      <c r="G6" s="252"/>
      <c r="H6" s="252"/>
      <c r="I6" s="252"/>
      <c r="J6" s="252"/>
    </row>
    <row r="7" spans="1:10" ht="15.75" thickBot="1" x14ac:dyDescent="0.3">
      <c r="A7" s="198" t="s">
        <v>97</v>
      </c>
      <c r="B7" s="210"/>
      <c r="C7" s="207" t="s">
        <v>90</v>
      </c>
      <c r="D7" s="205"/>
      <c r="E7" s="200"/>
      <c r="G7" s="252"/>
      <c r="H7" s="252"/>
      <c r="I7" s="252"/>
      <c r="J7" s="252"/>
    </row>
    <row r="8" spans="1:10" ht="15.75" thickBot="1" x14ac:dyDescent="0.3">
      <c r="A8" s="198" t="s">
        <v>98</v>
      </c>
      <c r="B8" s="210"/>
      <c r="C8" s="207" t="s">
        <v>95</v>
      </c>
      <c r="D8" s="205"/>
      <c r="E8" s="200"/>
      <c r="G8" s="252"/>
      <c r="H8" s="252"/>
      <c r="I8" s="252"/>
      <c r="J8" s="252"/>
    </row>
    <row r="9" spans="1:10" ht="14.25" thickBot="1" x14ac:dyDescent="0.3">
      <c r="A9" s="201" t="s">
        <v>100</v>
      </c>
      <c r="B9" s="210"/>
      <c r="C9" s="204"/>
      <c r="D9" s="202"/>
      <c r="G9" s="252"/>
      <c r="H9" s="252"/>
      <c r="I9" s="252"/>
      <c r="J9" s="252"/>
    </row>
    <row r="10" spans="1:10" ht="14.25" thickBot="1" x14ac:dyDescent="0.3">
      <c r="A10" s="198" t="s">
        <v>92</v>
      </c>
      <c r="B10" s="210"/>
      <c r="C10" s="204"/>
      <c r="D10" s="202"/>
      <c r="G10" s="252"/>
      <c r="H10" s="252"/>
      <c r="I10" s="252"/>
      <c r="J10" s="252"/>
    </row>
    <row r="11" spans="1:10" ht="14.25" thickBot="1" x14ac:dyDescent="0.3">
      <c r="A11" s="198" t="s">
        <v>98</v>
      </c>
      <c r="B11" s="210"/>
      <c r="C11" s="204"/>
      <c r="D11" s="202"/>
      <c r="G11" s="252"/>
      <c r="H11" s="252"/>
      <c r="I11" s="252"/>
      <c r="J11" s="252"/>
    </row>
    <row r="12" spans="1:10" ht="27" x14ac:dyDescent="0.25">
      <c r="A12" s="198" t="s">
        <v>91</v>
      </c>
      <c r="B12" s="210"/>
      <c r="C12" s="204"/>
      <c r="D12" s="202"/>
      <c r="G12" s="252"/>
      <c r="H12" s="252"/>
      <c r="I12" s="252"/>
      <c r="J12" s="252"/>
    </row>
    <row r="13" spans="1:10" x14ac:dyDescent="0.25">
      <c r="A13" s="210"/>
      <c r="B13" s="210"/>
      <c r="G13" s="252"/>
      <c r="H13" s="252"/>
      <c r="I13" s="252"/>
      <c r="J13" s="252"/>
    </row>
    <row r="14" spans="1:10" x14ac:dyDescent="0.25">
      <c r="A14" s="210"/>
      <c r="B14" s="210"/>
      <c r="G14" s="252"/>
      <c r="H14" s="252"/>
      <c r="I14" s="252"/>
      <c r="J14" s="252"/>
    </row>
    <row r="15" spans="1:10" x14ac:dyDescent="0.25">
      <c r="A15" s="307"/>
      <c r="B15" s="307"/>
      <c r="C15" s="307"/>
      <c r="D15" s="307"/>
      <c r="E15" s="307"/>
      <c r="F15" s="307"/>
      <c r="G15" s="307"/>
      <c r="H15" s="307"/>
      <c r="I15" s="307"/>
      <c r="J15" s="307"/>
    </row>
    <row r="16" spans="1:10" x14ac:dyDescent="0.25">
      <c r="A16" s="307"/>
      <c r="B16" s="307"/>
      <c r="C16" s="307"/>
      <c r="D16" s="307"/>
      <c r="E16" s="307"/>
      <c r="F16" s="307"/>
      <c r="G16" s="307"/>
      <c r="H16" s="307"/>
      <c r="I16" s="307"/>
      <c r="J16" s="307"/>
    </row>
    <row r="17" spans="1:10" x14ac:dyDescent="0.25">
      <c r="A17" s="307"/>
      <c r="B17" s="307"/>
      <c r="C17" s="307"/>
      <c r="D17" s="307"/>
      <c r="E17" s="307"/>
      <c r="F17" s="307"/>
      <c r="G17" s="307"/>
      <c r="H17" s="307"/>
      <c r="I17" s="307"/>
      <c r="J17" s="307"/>
    </row>
    <row r="18" spans="1:10" x14ac:dyDescent="0.25">
      <c r="A18" s="307"/>
      <c r="B18" s="307"/>
      <c r="C18" s="307"/>
      <c r="D18" s="307"/>
      <c r="E18" s="307"/>
      <c r="F18" s="307"/>
      <c r="G18" s="307"/>
      <c r="H18" s="307"/>
      <c r="I18" s="307"/>
      <c r="J18" s="307"/>
    </row>
    <row r="19" spans="1:10" x14ac:dyDescent="0.25">
      <c r="A19" s="307"/>
      <c r="B19" s="307"/>
      <c r="C19" s="307"/>
      <c r="D19" s="307"/>
      <c r="E19" s="307"/>
      <c r="F19" s="307"/>
      <c r="G19" s="307"/>
      <c r="H19" s="307"/>
      <c r="I19" s="307"/>
      <c r="J19" s="307"/>
    </row>
    <row r="20" spans="1:10" x14ac:dyDescent="0.25">
      <c r="A20" s="307"/>
      <c r="B20" s="307"/>
      <c r="C20" s="307"/>
      <c r="D20" s="307"/>
      <c r="E20" s="307"/>
      <c r="F20" s="307"/>
      <c r="G20" s="307"/>
      <c r="H20" s="307"/>
      <c r="I20" s="307"/>
      <c r="J20" s="307"/>
    </row>
    <row r="21" spans="1:10" x14ac:dyDescent="0.25">
      <c r="A21" s="307"/>
      <c r="B21" s="307"/>
      <c r="C21" s="307"/>
      <c r="D21" s="307"/>
      <c r="E21" s="307"/>
      <c r="F21" s="307"/>
      <c r="G21" s="307"/>
      <c r="H21" s="307"/>
      <c r="I21" s="307"/>
      <c r="J21" s="307"/>
    </row>
    <row r="22" spans="1:10" x14ac:dyDescent="0.25">
      <c r="A22" s="307"/>
      <c r="B22" s="307"/>
      <c r="C22" s="307"/>
      <c r="D22" s="307"/>
      <c r="E22" s="307"/>
      <c r="F22" s="307"/>
      <c r="G22" s="307"/>
      <c r="H22" s="307"/>
      <c r="I22" s="307"/>
      <c r="J22" s="307"/>
    </row>
    <row r="23" spans="1:10" x14ac:dyDescent="0.25">
      <c r="A23" s="307"/>
      <c r="B23" s="307"/>
      <c r="C23" s="307"/>
      <c r="D23" s="307"/>
      <c r="E23" s="307"/>
      <c r="F23" s="307"/>
      <c r="G23" s="307"/>
      <c r="H23" s="307"/>
      <c r="I23" s="307"/>
      <c r="J23" s="307"/>
    </row>
    <row r="24" spans="1:10" x14ac:dyDescent="0.25">
      <c r="A24" s="307"/>
      <c r="B24" s="307"/>
      <c r="C24" s="307"/>
      <c r="D24" s="307"/>
      <c r="E24" s="307"/>
      <c r="F24" s="307"/>
      <c r="G24" s="307"/>
      <c r="H24" s="307"/>
      <c r="I24" s="307"/>
      <c r="J24" s="307"/>
    </row>
    <row r="25" spans="1:10" x14ac:dyDescent="0.25">
      <c r="A25" s="307"/>
      <c r="B25" s="307"/>
      <c r="C25" s="307"/>
      <c r="D25" s="307"/>
      <c r="E25" s="307"/>
      <c r="F25" s="307"/>
      <c r="G25" s="307"/>
      <c r="H25" s="307"/>
      <c r="I25" s="307"/>
      <c r="J25" s="307"/>
    </row>
    <row r="26" spans="1:10" x14ac:dyDescent="0.25">
      <c r="A26" s="307"/>
      <c r="B26" s="307"/>
      <c r="C26" s="307"/>
      <c r="D26" s="307"/>
      <c r="E26" s="307"/>
      <c r="F26" s="307"/>
      <c r="G26" s="307"/>
      <c r="H26" s="307"/>
      <c r="I26" s="307"/>
      <c r="J26" s="307"/>
    </row>
    <row r="27" spans="1:10" x14ac:dyDescent="0.25">
      <c r="A27" s="307"/>
      <c r="B27" s="307"/>
      <c r="C27" s="307"/>
      <c r="D27" s="307"/>
      <c r="E27" s="307"/>
      <c r="F27" s="307"/>
      <c r="G27" s="307"/>
      <c r="H27" s="307"/>
      <c r="I27" s="307"/>
      <c r="J27" s="307"/>
    </row>
    <row r="28" spans="1:10" x14ac:dyDescent="0.25">
      <c r="A28" s="307"/>
      <c r="B28" s="307"/>
      <c r="C28" s="307"/>
      <c r="D28" s="307"/>
      <c r="E28" s="307"/>
      <c r="F28" s="307"/>
      <c r="G28" s="307"/>
      <c r="H28" s="307"/>
      <c r="I28" s="307"/>
      <c r="J28" s="307"/>
    </row>
    <row r="29" spans="1:10" x14ac:dyDescent="0.25">
      <c r="A29" s="307"/>
      <c r="B29" s="307"/>
      <c r="C29" s="307"/>
      <c r="D29" s="307"/>
      <c r="E29" s="307"/>
      <c r="F29" s="307"/>
      <c r="G29" s="307"/>
      <c r="H29" s="307"/>
      <c r="I29" s="307"/>
      <c r="J29" s="307"/>
    </row>
    <row r="30" spans="1:10" x14ac:dyDescent="0.25">
      <c r="A30" s="307"/>
      <c r="B30" s="307"/>
      <c r="C30" s="307"/>
      <c r="D30" s="307"/>
      <c r="E30" s="307"/>
      <c r="F30" s="307"/>
      <c r="G30" s="307"/>
      <c r="H30" s="307"/>
      <c r="I30" s="307"/>
      <c r="J30" s="307"/>
    </row>
    <row r="31" spans="1:10" x14ac:dyDescent="0.25">
      <c r="A31" s="307"/>
      <c r="B31" s="307"/>
      <c r="C31" s="307"/>
      <c r="D31" s="307"/>
      <c r="E31" s="307"/>
      <c r="F31" s="307"/>
      <c r="G31" s="307"/>
      <c r="H31" s="307"/>
      <c r="I31" s="307"/>
      <c r="J31" s="307"/>
    </row>
    <row r="32" spans="1:10" x14ac:dyDescent="0.25">
      <c r="A32" s="307"/>
      <c r="B32" s="307"/>
      <c r="C32" s="307"/>
      <c r="D32" s="307"/>
      <c r="E32" s="307"/>
      <c r="F32" s="307"/>
      <c r="G32" s="307"/>
      <c r="H32" s="307"/>
      <c r="I32" s="307"/>
      <c r="J32" s="307"/>
    </row>
    <row r="33" spans="1:10" x14ac:dyDescent="0.25">
      <c r="A33" s="307"/>
      <c r="B33" s="307"/>
      <c r="C33" s="307"/>
      <c r="D33" s="307"/>
      <c r="E33" s="307"/>
      <c r="F33" s="307"/>
      <c r="G33" s="307"/>
      <c r="H33" s="307"/>
      <c r="I33" s="307"/>
      <c r="J33" s="307"/>
    </row>
    <row r="34" spans="1:10" x14ac:dyDescent="0.25">
      <c r="A34" s="307"/>
      <c r="B34" s="307"/>
      <c r="C34" s="307"/>
      <c r="D34" s="307"/>
      <c r="E34" s="307"/>
      <c r="F34" s="307"/>
      <c r="G34" s="307"/>
      <c r="H34" s="307"/>
      <c r="I34" s="307"/>
      <c r="J34" s="307"/>
    </row>
    <row r="35" spans="1:10" x14ac:dyDescent="0.25">
      <c r="A35" s="307"/>
      <c r="B35" s="307"/>
      <c r="C35" s="307"/>
      <c r="D35" s="307"/>
      <c r="E35" s="307"/>
      <c r="F35" s="307"/>
      <c r="G35" s="307"/>
      <c r="H35" s="307"/>
      <c r="I35" s="307"/>
      <c r="J35" s="307"/>
    </row>
    <row r="36" spans="1:10" x14ac:dyDescent="0.25">
      <c r="A36" s="307"/>
      <c r="B36" s="307"/>
      <c r="C36" s="307"/>
      <c r="D36" s="307"/>
      <c r="E36" s="307"/>
      <c r="F36" s="307"/>
      <c r="G36" s="307"/>
      <c r="H36" s="307"/>
      <c r="I36" s="307"/>
      <c r="J36" s="307"/>
    </row>
    <row r="37" spans="1:10" x14ac:dyDescent="0.25">
      <c r="A37" s="307"/>
      <c r="B37" s="307"/>
      <c r="C37" s="307"/>
      <c r="D37" s="307"/>
      <c r="E37" s="307"/>
      <c r="F37" s="307"/>
      <c r="G37" s="307"/>
      <c r="H37" s="307"/>
      <c r="I37" s="307"/>
      <c r="J37" s="307"/>
    </row>
    <row r="38" spans="1:10" x14ac:dyDescent="0.25">
      <c r="A38" s="307"/>
      <c r="B38" s="307"/>
      <c r="C38" s="307"/>
      <c r="D38" s="307"/>
      <c r="E38" s="307"/>
      <c r="F38" s="307"/>
      <c r="G38" s="307"/>
      <c r="H38" s="307"/>
      <c r="I38" s="307"/>
      <c r="J38" s="307"/>
    </row>
    <row r="39" spans="1:10" x14ac:dyDescent="0.25">
      <c r="A39" s="307"/>
      <c r="B39" s="307"/>
      <c r="C39" s="307"/>
      <c r="D39" s="307"/>
      <c r="E39" s="307"/>
      <c r="F39" s="307"/>
      <c r="G39" s="307"/>
      <c r="H39" s="307"/>
      <c r="I39" s="307"/>
      <c r="J39" s="307"/>
    </row>
    <row r="40" spans="1:10" x14ac:dyDescent="0.25">
      <c r="A40" s="307"/>
      <c r="B40" s="307"/>
      <c r="C40" s="307"/>
      <c r="D40" s="307"/>
      <c r="E40" s="307"/>
      <c r="F40" s="307"/>
      <c r="G40" s="307"/>
      <c r="H40" s="307"/>
      <c r="I40" s="307"/>
      <c r="J40" s="307"/>
    </row>
    <row r="41" spans="1:10" x14ac:dyDescent="0.25">
      <c r="A41" s="307"/>
      <c r="B41" s="307"/>
      <c r="C41" s="307"/>
      <c r="D41" s="307"/>
      <c r="E41" s="307"/>
      <c r="F41" s="307"/>
      <c r="G41" s="307"/>
      <c r="H41" s="307"/>
      <c r="I41" s="307"/>
      <c r="J41" s="307"/>
    </row>
    <row r="42" spans="1:10" x14ac:dyDescent="0.25">
      <c r="A42" s="307"/>
      <c r="B42" s="307"/>
      <c r="C42" s="307"/>
      <c r="D42" s="307"/>
      <c r="E42" s="307"/>
      <c r="F42" s="307"/>
      <c r="G42" s="307"/>
      <c r="H42" s="307"/>
      <c r="I42" s="307"/>
      <c r="J42" s="307"/>
    </row>
    <row r="43" spans="1:10" x14ac:dyDescent="0.25">
      <c r="A43" s="307"/>
      <c r="B43" s="307"/>
      <c r="C43" s="307"/>
      <c r="D43" s="307"/>
      <c r="E43" s="307"/>
      <c r="F43" s="307"/>
      <c r="G43" s="307"/>
      <c r="H43" s="307"/>
      <c r="I43" s="307"/>
      <c r="J43" s="307"/>
    </row>
    <row r="44" spans="1:10" x14ac:dyDescent="0.25">
      <c r="A44" s="307"/>
      <c r="B44" s="307"/>
      <c r="C44" s="307"/>
      <c r="D44" s="307"/>
      <c r="E44" s="307"/>
      <c r="F44" s="307"/>
      <c r="G44" s="307"/>
      <c r="H44" s="307"/>
      <c r="I44" s="307"/>
      <c r="J44" s="307"/>
    </row>
    <row r="45" spans="1:10" x14ac:dyDescent="0.25">
      <c r="A45" s="307"/>
      <c r="B45" s="307"/>
      <c r="C45" s="307"/>
      <c r="D45" s="307"/>
      <c r="E45" s="307"/>
      <c r="F45" s="307"/>
      <c r="G45" s="307"/>
      <c r="H45" s="307"/>
      <c r="I45" s="307"/>
      <c r="J45" s="307"/>
    </row>
    <row r="46" spans="1:10" x14ac:dyDescent="0.25">
      <c r="A46" s="307"/>
      <c r="B46" s="307"/>
      <c r="C46" s="307"/>
      <c r="D46" s="307"/>
      <c r="E46" s="307"/>
      <c r="F46" s="307"/>
      <c r="G46" s="307"/>
      <c r="H46" s="307"/>
      <c r="I46" s="307"/>
      <c r="J46" s="307"/>
    </row>
    <row r="47" spans="1:10" x14ac:dyDescent="0.25">
      <c r="A47" s="307"/>
      <c r="B47" s="307"/>
      <c r="C47" s="307"/>
      <c r="D47" s="307"/>
      <c r="E47" s="307"/>
      <c r="F47" s="307"/>
      <c r="G47" s="307"/>
      <c r="H47" s="307"/>
      <c r="I47" s="307"/>
      <c r="J47" s="307"/>
    </row>
    <row r="48" spans="1:10" x14ac:dyDescent="0.25">
      <c r="A48" s="307"/>
      <c r="B48" s="307"/>
      <c r="C48" s="307"/>
      <c r="D48" s="307"/>
      <c r="E48" s="307"/>
      <c r="F48" s="307"/>
      <c r="G48" s="307"/>
      <c r="H48" s="307"/>
      <c r="I48" s="307"/>
      <c r="J48" s="307"/>
    </row>
    <row r="49" spans="1:10" x14ac:dyDescent="0.25">
      <c r="A49" s="307"/>
      <c r="B49" s="307"/>
      <c r="C49" s="307"/>
      <c r="D49" s="307"/>
      <c r="E49" s="307"/>
      <c r="F49" s="307"/>
      <c r="G49" s="307"/>
      <c r="H49" s="307"/>
      <c r="I49" s="307"/>
      <c r="J49" s="307"/>
    </row>
    <row r="50" spans="1:10" x14ac:dyDescent="0.25">
      <c r="A50" s="307"/>
      <c r="B50" s="307"/>
      <c r="C50" s="307"/>
      <c r="D50" s="307"/>
      <c r="E50" s="307"/>
      <c r="F50" s="307"/>
      <c r="G50" s="307"/>
      <c r="H50" s="307"/>
      <c r="I50" s="307"/>
      <c r="J50" s="307"/>
    </row>
  </sheetData>
  <mergeCells count="2">
    <mergeCell ref="A15:J50"/>
    <mergeCell ref="G1:J14"/>
  </mergeCells>
  <dataValidations count="1">
    <dataValidation type="list" allowBlank="1" showInputMessage="1" showErrorMessage="1" sqref="A3:A12 C3:C8 D3:D6">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49"/>
      <c r="B10" s="249"/>
      <c r="C10" s="249"/>
      <c r="D10" s="249"/>
      <c r="E10" s="249"/>
      <c r="F10" s="249"/>
      <c r="G10" s="249"/>
      <c r="H10" s="249"/>
      <c r="I10" s="249"/>
      <c r="J10" s="249"/>
      <c r="K10" s="249"/>
      <c r="L10" s="249"/>
      <c r="M10" s="249"/>
      <c r="N10" s="249"/>
      <c r="O10" s="249"/>
      <c r="P10" s="249"/>
      <c r="Q10" s="249"/>
      <c r="R10" s="249"/>
      <c r="S10" s="249"/>
      <c r="T10" s="249"/>
      <c r="U10" s="249"/>
      <c r="V10" s="249"/>
      <c r="W10" s="249"/>
      <c r="X10" s="249"/>
      <c r="Y10" s="249"/>
      <c r="Z10" s="249"/>
      <c r="AA10" s="249"/>
      <c r="AB10" s="249"/>
      <c r="AC10" s="249"/>
      <c r="AD10" s="249"/>
      <c r="AE10" s="249"/>
      <c r="AF10" s="249"/>
      <c r="AG10" s="249"/>
      <c r="AH10" s="249"/>
      <c r="AI10" s="249"/>
      <c r="AJ10" s="249"/>
      <c r="AK10" s="249"/>
      <c r="AL10" s="249"/>
      <c r="AM10" s="249"/>
      <c r="AN10" s="249"/>
      <c r="AO10" s="249"/>
      <c r="AP10" s="249"/>
      <c r="AQ10" s="249"/>
      <c r="AR10" s="249"/>
      <c r="AS10" s="249"/>
      <c r="AT10" s="249"/>
      <c r="AU10" s="249"/>
      <c r="AV10" s="249"/>
      <c r="AW10" s="249"/>
      <c r="AX10" s="249"/>
      <c r="AY10" s="249"/>
      <c r="AZ10" s="249"/>
      <c r="BA10" s="249"/>
      <c r="BB10" s="249"/>
      <c r="BC10" s="249"/>
      <c r="BD10" s="249"/>
      <c r="BE10" s="249"/>
      <c r="BF10" s="249"/>
      <c r="BG10" s="249"/>
      <c r="BH10" s="249"/>
      <c r="BI10" s="90"/>
    </row>
    <row r="11" spans="1:61" ht="18" x14ac:dyDescent="0.25">
      <c r="A11" s="250"/>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0"/>
      <c r="AV11" s="250"/>
      <c r="AW11" s="250"/>
      <c r="AX11" s="250"/>
      <c r="AY11" s="250"/>
      <c r="AZ11" s="250"/>
      <c r="BA11" s="250"/>
      <c r="BB11" s="250"/>
      <c r="BC11" s="250"/>
      <c r="BD11" s="250"/>
      <c r="BE11" s="250"/>
      <c r="BF11" s="250"/>
      <c r="BG11" s="250"/>
      <c r="BH11" s="250"/>
      <c r="BI11" s="90"/>
    </row>
    <row r="12" spans="1:61" ht="18.75" thickBot="1" x14ac:dyDescent="0.3">
      <c r="A12" s="251"/>
      <c r="B12" s="251"/>
      <c r="C12" s="251"/>
      <c r="D12" s="251"/>
      <c r="E12" s="251"/>
      <c r="F12" s="251"/>
      <c r="G12" s="251"/>
      <c r="H12" s="251"/>
      <c r="I12" s="251"/>
      <c r="J12" s="251"/>
      <c r="K12" s="251"/>
      <c r="L12" s="251"/>
      <c r="M12" s="251"/>
      <c r="N12" s="251"/>
      <c r="O12" s="251"/>
      <c r="P12" s="251"/>
      <c r="Q12" s="251"/>
      <c r="R12" s="251"/>
      <c r="S12" s="251"/>
      <c r="T12" s="251"/>
      <c r="U12" s="251"/>
      <c r="V12" s="251"/>
      <c r="W12" s="251"/>
      <c r="X12" s="251"/>
      <c r="Y12" s="251"/>
      <c r="Z12" s="251"/>
      <c r="AA12" s="251"/>
      <c r="AB12" s="251"/>
      <c r="AC12" s="251"/>
      <c r="AD12" s="251"/>
      <c r="AE12" s="251"/>
      <c r="AF12" s="251"/>
      <c r="AG12" s="251"/>
      <c r="AH12" s="251"/>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51"/>
      <c r="BF12" s="251"/>
      <c r="BG12" s="251"/>
      <c r="BH12" s="251"/>
      <c r="BI12" s="90"/>
    </row>
    <row r="13" spans="1:61" ht="18.75" thickBot="1" x14ac:dyDescent="0.3">
      <c r="A13" s="246" t="s">
        <v>12</v>
      </c>
      <c r="B13" s="247"/>
      <c r="C13" s="247"/>
      <c r="D13" s="247"/>
      <c r="E13" s="247"/>
      <c r="F13" s="247"/>
      <c r="G13" s="247"/>
      <c r="H13" s="247"/>
      <c r="I13" s="247"/>
      <c r="J13" s="247"/>
      <c r="K13" s="247"/>
      <c r="L13" s="247"/>
      <c r="M13" s="247"/>
      <c r="N13" s="247"/>
      <c r="O13" s="247"/>
      <c r="P13" s="247"/>
      <c r="Q13" s="247"/>
      <c r="R13" s="247"/>
      <c r="S13" s="247"/>
      <c r="T13" s="247"/>
      <c r="U13" s="247"/>
      <c r="V13" s="247"/>
      <c r="W13" s="247"/>
      <c r="X13" s="247"/>
      <c r="Y13" s="247"/>
      <c r="Z13" s="247"/>
      <c r="AA13" s="247"/>
      <c r="AB13" s="247"/>
      <c r="AC13" s="247"/>
      <c r="AD13" s="247"/>
      <c r="AE13" s="247"/>
      <c r="AF13" s="247"/>
      <c r="AG13" s="247"/>
      <c r="AH13" s="247"/>
      <c r="AI13" s="247"/>
      <c r="AJ13" s="247"/>
      <c r="AK13" s="247"/>
      <c r="AL13" s="247"/>
      <c r="AM13" s="247"/>
      <c r="AN13" s="247"/>
      <c r="AO13" s="247"/>
      <c r="AP13" s="247"/>
      <c r="AQ13" s="247"/>
      <c r="AR13" s="247"/>
      <c r="AS13" s="247"/>
      <c r="AT13" s="247"/>
      <c r="AU13" s="247"/>
      <c r="AV13" s="247"/>
      <c r="AW13" s="247"/>
      <c r="AX13" s="247"/>
      <c r="AY13" s="247"/>
      <c r="AZ13" s="247"/>
      <c r="BA13" s="247"/>
      <c r="BB13" s="247"/>
      <c r="BC13" s="247"/>
      <c r="BD13" s="247"/>
      <c r="BE13" s="247"/>
      <c r="BF13" s="247"/>
      <c r="BG13" s="247"/>
      <c r="BH13" s="248"/>
      <c r="BI13" s="90"/>
    </row>
    <row r="14" spans="1:61" ht="15.75" thickBot="1" x14ac:dyDescent="0.35">
      <c r="A14" s="102"/>
      <c r="B14" s="103"/>
      <c r="C14" s="103"/>
      <c r="D14" s="103"/>
      <c r="E14" s="245" t="s">
        <v>34</v>
      </c>
      <c r="F14" s="245"/>
      <c r="G14" s="245"/>
      <c r="H14" s="245"/>
      <c r="I14" s="103"/>
      <c r="J14" s="103"/>
      <c r="K14" s="244" t="s">
        <v>24</v>
      </c>
      <c r="L14" s="244"/>
      <c r="M14" s="244"/>
      <c r="N14" s="244"/>
      <c r="O14" s="128"/>
      <c r="P14" s="128"/>
      <c r="Q14" s="245" t="s">
        <v>35</v>
      </c>
      <c r="R14" s="245"/>
      <c r="S14" s="245"/>
      <c r="T14" s="245"/>
      <c r="U14" s="103"/>
      <c r="V14" s="103"/>
      <c r="W14" s="244" t="s">
        <v>25</v>
      </c>
      <c r="X14" s="244"/>
      <c r="Y14" s="244"/>
      <c r="Z14" s="244"/>
      <c r="AA14" s="128"/>
      <c r="AB14" s="128"/>
      <c r="AC14" s="245" t="s">
        <v>36</v>
      </c>
      <c r="AD14" s="245"/>
      <c r="AE14" s="245"/>
      <c r="AF14" s="245"/>
      <c r="AG14" s="103"/>
      <c r="AH14" s="103"/>
      <c r="AI14" s="244" t="s">
        <v>26</v>
      </c>
      <c r="AJ14" s="244"/>
      <c r="AK14" s="244"/>
      <c r="AL14" s="244"/>
      <c r="AM14" s="128"/>
      <c r="AN14" s="128"/>
      <c r="AO14" s="245" t="s">
        <v>37</v>
      </c>
      <c r="AP14" s="245"/>
      <c r="AQ14" s="245"/>
      <c r="AR14" s="245"/>
      <c r="AS14" s="103"/>
      <c r="AT14" s="103"/>
      <c r="AU14" s="244" t="s">
        <v>27</v>
      </c>
      <c r="AV14" s="244"/>
      <c r="AW14" s="244"/>
      <c r="AX14" s="244"/>
      <c r="AY14" s="128"/>
      <c r="AZ14" s="128"/>
      <c r="BA14" s="245" t="s">
        <v>38</v>
      </c>
      <c r="BB14" s="245"/>
      <c r="BC14" s="245"/>
      <c r="BD14" s="245"/>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40</v>
      </c>
      <c r="C2" s="150"/>
      <c r="D2" s="80" t="s">
        <v>13</v>
      </c>
      <c r="E2" s="271" t="s">
        <v>14</v>
      </c>
      <c r="F2" s="272"/>
      <c r="G2" s="46"/>
    </row>
    <row r="3" spans="1:7" s="52" customFormat="1" x14ac:dyDescent="0.3">
      <c r="A3" s="48"/>
      <c r="B3" s="49"/>
      <c r="C3" s="151" t="str">
        <f xml:space="preserve"> IF(B3="","",setValueToTime(B3))</f>
        <v/>
      </c>
      <c r="D3" s="50"/>
      <c r="E3" s="273"/>
      <c r="F3" s="274"/>
      <c r="G3" s="51"/>
    </row>
    <row r="4" spans="1:7" s="52" customFormat="1" x14ac:dyDescent="0.3">
      <c r="A4" s="53"/>
      <c r="B4" s="54"/>
      <c r="C4" s="152" t="str">
        <f t="shared" ref="C4:C10" si="0" xml:space="preserve"> IF(B4="","",setValueToTime(B4))</f>
        <v/>
      </c>
      <c r="D4" s="55"/>
      <c r="E4" s="265"/>
      <c r="F4" s="266"/>
      <c r="G4" s="51"/>
    </row>
    <row r="5" spans="1:7" s="52" customFormat="1" x14ac:dyDescent="0.3">
      <c r="A5" s="53"/>
      <c r="B5" s="54"/>
      <c r="C5" s="152" t="str">
        <f t="shared" si="0"/>
        <v/>
      </c>
      <c r="D5" s="55"/>
      <c r="E5" s="265"/>
      <c r="F5" s="266"/>
      <c r="G5" s="51"/>
    </row>
    <row r="6" spans="1:7" s="52" customFormat="1" x14ac:dyDescent="0.3">
      <c r="A6" s="53"/>
      <c r="B6" s="54"/>
      <c r="C6" s="152" t="str">
        <f t="shared" si="0"/>
        <v/>
      </c>
      <c r="D6" s="55"/>
      <c r="E6" s="265"/>
      <c r="F6" s="266"/>
      <c r="G6" s="51"/>
    </row>
    <row r="7" spans="1:7" s="52" customFormat="1" x14ac:dyDescent="0.3">
      <c r="A7" s="54"/>
      <c r="B7" s="54"/>
      <c r="C7" s="153" t="str">
        <f t="shared" si="0"/>
        <v/>
      </c>
      <c r="D7" s="55"/>
      <c r="E7" s="265"/>
      <c r="F7" s="266"/>
      <c r="G7" s="51"/>
    </row>
    <row r="8" spans="1:7" s="52" customFormat="1" x14ac:dyDescent="0.3">
      <c r="A8" s="54"/>
      <c r="B8" s="54"/>
      <c r="C8" s="153" t="str">
        <f t="shared" si="0"/>
        <v/>
      </c>
      <c r="D8" s="55"/>
      <c r="E8" s="265"/>
      <c r="F8" s="266"/>
      <c r="G8" s="51"/>
    </row>
    <row r="9" spans="1:7" s="52" customFormat="1" x14ac:dyDescent="0.3">
      <c r="A9" s="54"/>
      <c r="B9" s="54"/>
      <c r="C9" s="153" t="str">
        <f t="shared" si="0"/>
        <v/>
      </c>
      <c r="D9" s="55"/>
      <c r="E9" s="265"/>
      <c r="F9" s="266"/>
      <c r="G9" s="51"/>
    </row>
    <row r="10" spans="1:7" s="52" customFormat="1" ht="15" thickBot="1" x14ac:dyDescent="0.35">
      <c r="A10" s="56"/>
      <c r="B10" s="56"/>
      <c r="C10" s="154" t="str">
        <f t="shared" si="0"/>
        <v/>
      </c>
      <c r="D10" s="57"/>
      <c r="E10" s="267"/>
      <c r="F10" s="268"/>
      <c r="G10" s="51"/>
    </row>
    <row r="11" spans="1:7" s="52" customFormat="1" ht="15" thickBot="1" x14ac:dyDescent="0.35">
      <c r="A11" s="110" t="s">
        <v>29</v>
      </c>
      <c r="B11" s="84">
        <f>SUM(B3:B10)</f>
        <v>0</v>
      </c>
      <c r="C11" s="110" t="str">
        <f xml:space="preserve"> setValueToTime(B11)</f>
        <v>0h</v>
      </c>
      <c r="D11" s="119"/>
      <c r="E11" s="269"/>
      <c r="F11" s="270"/>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40</v>
      </c>
      <c r="C2" s="159"/>
      <c r="D2" s="78" t="s">
        <v>13</v>
      </c>
      <c r="E2" s="275" t="s">
        <v>14</v>
      </c>
      <c r="F2" s="276"/>
      <c r="G2" s="46"/>
    </row>
    <row r="3" spans="1:7" s="52" customFormat="1" x14ac:dyDescent="0.3">
      <c r="A3" s="48"/>
      <c r="B3" s="49"/>
      <c r="C3" s="151" t="str">
        <f xml:space="preserve"> IF(B3="","",setValueToTime(B3))</f>
        <v/>
      </c>
      <c r="D3" s="50"/>
      <c r="E3" s="273"/>
      <c r="F3" s="274"/>
      <c r="G3" s="51"/>
    </row>
    <row r="4" spans="1:7" s="52" customFormat="1" x14ac:dyDescent="0.3">
      <c r="A4" s="53"/>
      <c r="B4" s="54"/>
      <c r="C4" s="152" t="str">
        <f t="shared" ref="C4:C10" si="0" xml:space="preserve"> IF(B4="","",setValueToTime(B4))</f>
        <v/>
      </c>
      <c r="D4" s="55"/>
      <c r="E4" s="265"/>
      <c r="F4" s="266"/>
      <c r="G4" s="51"/>
    </row>
    <row r="5" spans="1:7" s="52" customFormat="1" x14ac:dyDescent="0.3">
      <c r="A5" s="53"/>
      <c r="B5" s="54"/>
      <c r="C5" s="152" t="str">
        <f t="shared" si="0"/>
        <v/>
      </c>
      <c r="D5" s="55"/>
      <c r="E5" s="265"/>
      <c r="F5" s="266"/>
      <c r="G5" s="51"/>
    </row>
    <row r="6" spans="1:7" s="52" customFormat="1" x14ac:dyDescent="0.3">
      <c r="A6" s="53"/>
      <c r="B6" s="54"/>
      <c r="C6" s="152" t="str">
        <f t="shared" si="0"/>
        <v/>
      </c>
      <c r="D6" s="55"/>
      <c r="E6" s="265"/>
      <c r="F6" s="266"/>
      <c r="G6" s="51"/>
    </row>
    <row r="7" spans="1:7" s="52" customFormat="1" x14ac:dyDescent="0.3">
      <c r="A7" s="54"/>
      <c r="B7" s="54"/>
      <c r="C7" s="153" t="str">
        <f t="shared" si="0"/>
        <v/>
      </c>
      <c r="D7" s="55"/>
      <c r="E7" s="265"/>
      <c r="F7" s="266"/>
      <c r="G7" s="51"/>
    </row>
    <row r="8" spans="1:7" s="52" customFormat="1" x14ac:dyDescent="0.3">
      <c r="A8" s="54"/>
      <c r="B8" s="54"/>
      <c r="C8" s="153" t="str">
        <f t="shared" si="0"/>
        <v/>
      </c>
      <c r="D8" s="55"/>
      <c r="E8" s="265"/>
      <c r="F8" s="266"/>
      <c r="G8" s="51"/>
    </row>
    <row r="9" spans="1:7" s="52" customFormat="1" x14ac:dyDescent="0.3">
      <c r="A9" s="54"/>
      <c r="B9" s="54"/>
      <c r="C9" s="153" t="str">
        <f t="shared" si="0"/>
        <v/>
      </c>
      <c r="D9" s="55"/>
      <c r="E9" s="265"/>
      <c r="F9" s="266"/>
      <c r="G9" s="51"/>
    </row>
    <row r="10" spans="1:7" s="52" customFormat="1" ht="15" thickBot="1" x14ac:dyDescent="0.35">
      <c r="A10" s="56"/>
      <c r="B10" s="56"/>
      <c r="C10" s="154" t="str">
        <f t="shared" si="0"/>
        <v/>
      </c>
      <c r="D10" s="57"/>
      <c r="E10" s="267"/>
      <c r="F10" s="268"/>
      <c r="G10" s="51"/>
    </row>
    <row r="11" spans="1:7" s="52" customFormat="1" ht="15" thickBot="1" x14ac:dyDescent="0.35">
      <c r="A11" s="161" t="s">
        <v>29</v>
      </c>
      <c r="B11" s="83">
        <f>SUM(B3:B10)</f>
        <v>0</v>
      </c>
      <c r="C11" s="161" t="str">
        <f xml:space="preserve"> setValueToTime(B11)</f>
        <v>0h</v>
      </c>
      <c r="D11" s="120"/>
      <c r="E11" s="278"/>
      <c r="F11" s="27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schemas.microsoft.com/office/2006/metadata/properties"/>
    <ds:schemaRef ds:uri="http://schemas.openxmlformats.org/package/2006/metadata/core-properties"/>
    <ds:schemaRef ds:uri="15a2adb2-9a92-45bc-9379-5d8dde16dc3c"/>
    <ds:schemaRef ds:uri="http://schemas.microsoft.com/office/infopath/2007/PartnerControls"/>
    <ds:schemaRef ds:uri="http://purl.org/dc/terms/"/>
    <ds:schemaRef ds:uri="http://purl.org/dc/dcmitype/"/>
    <ds:schemaRef ds:uri="http://schemas.microsoft.com/office/2006/documentManagement/types"/>
    <ds:schemaRef ds:uri="http://purl.org/dc/elements/1.1/"/>
    <ds:schemaRef ds:uri="67738394-1d8a-43c4-9891-d7e1fdf7c6ea"/>
    <ds:schemaRef ds:uri="http://www.w3.org/XML/1998/namespac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2021-05-26T14:12:59Z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