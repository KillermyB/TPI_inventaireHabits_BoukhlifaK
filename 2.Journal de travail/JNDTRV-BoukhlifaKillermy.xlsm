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TPI\"/>
    </mc:Choice>
  </mc:AlternateContent>
  <bookViews>
    <workbookView xWindow="0" yWindow="0" windowWidth="28800" windowHeight="11700" activeTab="2"/>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0" l="1"/>
  <c r="C11" i="10"/>
  <c r="C10" i="10"/>
  <c r="C9" i="10"/>
  <c r="C8" i="10"/>
  <c r="C7" i="10"/>
  <c r="C6" i="10"/>
  <c r="C5" i="10"/>
  <c r="C4" i="10"/>
  <c r="B24" i="10"/>
  <c r="C23" i="10"/>
  <c r="C22" i="10"/>
  <c r="C21" i="10"/>
  <c r="C20" i="10"/>
  <c r="C19" i="10"/>
  <c r="C18" i="10"/>
  <c r="C17" i="10"/>
  <c r="C16" i="10"/>
  <c r="B36" i="10"/>
  <c r="C35" i="10"/>
  <c r="C34" i="10"/>
  <c r="C33" i="10"/>
  <c r="C32" i="10"/>
  <c r="C31" i="10"/>
  <c r="C30" i="10"/>
  <c r="C29" i="10"/>
  <c r="C28" i="10"/>
  <c r="B48" i="10"/>
  <c r="C47" i="10"/>
  <c r="C46" i="10"/>
  <c r="C45" i="10"/>
  <c r="C44" i="10"/>
  <c r="C43" i="10"/>
  <c r="C42" i="10"/>
  <c r="C41" i="10"/>
  <c r="C40" i="10"/>
  <c r="B60" i="10"/>
  <c r="C59" i="10"/>
  <c r="C58" i="10"/>
  <c r="C57" i="10"/>
  <c r="C56" i="10"/>
  <c r="C55" i="10"/>
  <c r="C54" i="10"/>
  <c r="C53" i="10"/>
  <c r="C52" i="10"/>
  <c r="B72" i="10"/>
  <c r="C71" i="10"/>
  <c r="C70" i="10"/>
  <c r="C69" i="10"/>
  <c r="C68" i="10"/>
  <c r="C67" i="10"/>
  <c r="C66" i="10"/>
  <c r="C65" i="10"/>
  <c r="C64" i="10"/>
  <c r="B84" i="10"/>
  <c r="C83" i="10"/>
  <c r="C82" i="10"/>
  <c r="C81" i="10"/>
  <c r="C80" i="10"/>
  <c r="C79" i="10"/>
  <c r="C78" i="10"/>
  <c r="C77" i="10"/>
  <c r="C76" i="10"/>
  <c r="B96" i="10"/>
  <c r="C95" i="10"/>
  <c r="C94" i="10"/>
  <c r="C93" i="10"/>
  <c r="C92" i="10"/>
  <c r="C91" i="10"/>
  <c r="C90" i="10"/>
  <c r="C89" i="10"/>
  <c r="C88" i="10"/>
  <c r="B108" i="10"/>
  <c r="C107" i="10"/>
  <c r="C106" i="10"/>
  <c r="C105" i="10"/>
  <c r="C104" i="10"/>
  <c r="C103" i="10"/>
  <c r="C102" i="10"/>
  <c r="C101" i="10"/>
  <c r="C100" i="10"/>
  <c r="B120" i="10"/>
  <c r="C119" i="10"/>
  <c r="C118" i="10"/>
  <c r="C117" i="10"/>
  <c r="C116" i="10"/>
  <c r="C115" i="10"/>
  <c r="C114" i="10"/>
  <c r="C113" i="10"/>
  <c r="C112" i="10"/>
  <c r="B132" i="10"/>
  <c r="C131" i="10"/>
  <c r="C130" i="10"/>
  <c r="C129" i="10"/>
  <c r="C128" i="10"/>
  <c r="C127" i="10"/>
  <c r="C126" i="10"/>
  <c r="C125" i="10"/>
  <c r="C124" i="10"/>
  <c r="B144" i="10"/>
  <c r="C143" i="10"/>
  <c r="C142" i="10"/>
  <c r="C141" i="10"/>
  <c r="C140" i="10"/>
  <c r="C139" i="10"/>
  <c r="C138" i="10"/>
  <c r="C137" i="10"/>
  <c r="C136" i="10"/>
  <c r="B156" i="10"/>
  <c r="C155" i="10"/>
  <c r="C154" i="10"/>
  <c r="C153" i="10"/>
  <c r="C152" i="10"/>
  <c r="C151" i="10"/>
  <c r="C150" i="10"/>
  <c r="C149" i="10"/>
  <c r="C148" i="10"/>
  <c r="B168" i="10"/>
  <c r="C167" i="10"/>
  <c r="C166" i="10"/>
  <c r="C165" i="10"/>
  <c r="C164" i="10"/>
  <c r="C163" i="10"/>
  <c r="C162" i="10"/>
  <c r="C161" i="10"/>
  <c r="C160" i="10"/>
  <c r="B180" i="10"/>
  <c r="C179" i="10"/>
  <c r="C178" i="10"/>
  <c r="C177" i="10"/>
  <c r="C176" i="10"/>
  <c r="C175" i="10"/>
  <c r="C174" i="10"/>
  <c r="C173" i="10"/>
  <c r="C172" i="10"/>
  <c r="B192" i="10"/>
  <c r="C191" i="10"/>
  <c r="C190" i="10"/>
  <c r="C189" i="10"/>
  <c r="C188" i="10"/>
  <c r="C187" i="10"/>
  <c r="C186" i="10"/>
  <c r="C185" i="10"/>
  <c r="C184" i="10"/>
  <c r="B204" i="10"/>
  <c r="C203" i="10"/>
  <c r="C202" i="10"/>
  <c r="C201" i="10"/>
  <c r="C200" i="10"/>
  <c r="C199" i="10"/>
  <c r="C198" i="10"/>
  <c r="C197" i="10"/>
  <c r="C196" i="10"/>
  <c r="B216" i="10"/>
  <c r="C215" i="10"/>
  <c r="C214" i="10"/>
  <c r="C213" i="10"/>
  <c r="C212" i="10"/>
  <c r="C211" i="10"/>
  <c r="C210" i="10"/>
  <c r="C209" i="10"/>
  <c r="C208" i="10"/>
  <c r="B228" i="10"/>
  <c r="C227" i="10"/>
  <c r="C226" i="10"/>
  <c r="C225" i="10"/>
  <c r="C224" i="10"/>
  <c r="C223" i="10"/>
  <c r="C222" i="10"/>
  <c r="C221" i="10"/>
  <c r="C220" i="10"/>
  <c r="B240" i="10"/>
  <c r="C239" i="10"/>
  <c r="C238" i="10"/>
  <c r="C237" i="10"/>
  <c r="C236" i="10"/>
  <c r="C235" i="10"/>
  <c r="C234" i="10"/>
  <c r="C233" i="10"/>
  <c r="C232" i="10"/>
  <c r="B252" i="10"/>
  <c r="C251" i="10"/>
  <c r="C250" i="10"/>
  <c r="C249" i="10"/>
  <c r="C248" i="10"/>
  <c r="C247" i="10"/>
  <c r="C246" i="10"/>
  <c r="C245" i="10"/>
  <c r="C244" i="10"/>
  <c r="B264" i="10"/>
  <c r="C263" i="10"/>
  <c r="C262" i="10"/>
  <c r="C261" i="10"/>
  <c r="C260" i="10"/>
  <c r="C259" i="10"/>
  <c r="C258" i="10"/>
  <c r="C257" i="10"/>
  <c r="C256" i="10"/>
  <c r="B276" i="10"/>
  <c r="C275" i="10"/>
  <c r="C274" i="10"/>
  <c r="C273" i="10"/>
  <c r="C272" i="10"/>
  <c r="C271" i="10"/>
  <c r="C270" i="10"/>
  <c r="C269" i="10"/>
  <c r="C268" i="10"/>
  <c r="B288" i="10"/>
  <c r="C287" i="10"/>
  <c r="C286" i="10"/>
  <c r="C285" i="10"/>
  <c r="C284" i="10"/>
  <c r="C283" i="10"/>
  <c r="C282" i="10"/>
  <c r="C281" i="10"/>
  <c r="C280" i="10"/>
  <c r="B300" i="10"/>
  <c r="C299" i="10"/>
  <c r="C298" i="10"/>
  <c r="C297" i="10"/>
  <c r="C296" i="10"/>
  <c r="C295" i="10"/>
  <c r="C294" i="10"/>
  <c r="C293" i="10"/>
  <c r="C292" i="10"/>
  <c r="B312" i="10"/>
  <c r="C311" i="10"/>
  <c r="C310" i="10"/>
  <c r="C309" i="10"/>
  <c r="C308" i="10"/>
  <c r="C307" i="10"/>
  <c r="C306" i="10"/>
  <c r="C305" i="10"/>
  <c r="C304" i="10"/>
  <c r="B324" i="10"/>
  <c r="C323" i="10"/>
  <c r="C322" i="10"/>
  <c r="C321" i="10"/>
  <c r="C320" i="10"/>
  <c r="C319" i="10"/>
  <c r="C318" i="10"/>
  <c r="C317" i="10"/>
  <c r="C316" i="10"/>
  <c r="B336" i="10"/>
  <c r="C335" i="10"/>
  <c r="C334" i="10"/>
  <c r="C333" i="10"/>
  <c r="C332" i="10"/>
  <c r="C331" i="10"/>
  <c r="C330" i="10"/>
  <c r="C329" i="10"/>
  <c r="C328" i="10"/>
  <c r="B348" i="10"/>
  <c r="C347" i="10"/>
  <c r="C346" i="10"/>
  <c r="C345" i="10"/>
  <c r="C344" i="10"/>
  <c r="C343" i="10"/>
  <c r="C342" i="10"/>
  <c r="C341" i="10"/>
  <c r="C340" i="10"/>
  <c r="B360" i="10"/>
  <c r="C359" i="10"/>
  <c r="C358" i="10"/>
  <c r="C357" i="10"/>
  <c r="C356" i="10"/>
  <c r="C355" i="10"/>
  <c r="C354" i="10"/>
  <c r="C353" i="10"/>
  <c r="C352" i="10"/>
  <c r="B372" i="10"/>
  <c r="C371" i="10"/>
  <c r="C370" i="10"/>
  <c r="C369" i="10"/>
  <c r="C368" i="10"/>
  <c r="C367" i="10"/>
  <c r="C366" i="10"/>
  <c r="C365" i="10"/>
  <c r="C364" i="10"/>
  <c r="B384" i="10"/>
  <c r="C383" i="10"/>
  <c r="C382" i="10"/>
  <c r="C381" i="10"/>
  <c r="C380" i="10"/>
  <c r="C379" i="10"/>
  <c r="C378" i="10"/>
  <c r="C377" i="10"/>
  <c r="C376" i="10"/>
  <c r="B396" i="10"/>
  <c r="C395" i="10"/>
  <c r="C394" i="10"/>
  <c r="C393" i="10"/>
  <c r="C392" i="10"/>
  <c r="C391" i="10"/>
  <c r="C390" i="10"/>
  <c r="C389" i="10"/>
  <c r="C388" i="10"/>
  <c r="B12" i="12"/>
  <c r="C11" i="12"/>
  <c r="C10" i="12"/>
  <c r="C9" i="12"/>
  <c r="C8" i="12"/>
  <c r="C7" i="12"/>
  <c r="C6" i="12"/>
  <c r="C5" i="12"/>
  <c r="C4" i="12"/>
  <c r="B408" i="10"/>
  <c r="C407" i="10"/>
  <c r="C406" i="10"/>
  <c r="C405" i="10"/>
  <c r="C404" i="10"/>
  <c r="C403" i="10"/>
  <c r="C402" i="10"/>
  <c r="C401" i="10"/>
  <c r="C400" i="10"/>
  <c r="C12" i="10"/>
  <c r="C24" i="10"/>
  <c r="C36" i="10"/>
  <c r="C48" i="10"/>
  <c r="C60" i="10"/>
  <c r="C72" i="10"/>
  <c r="C84" i="10"/>
  <c r="C96" i="10"/>
  <c r="C108" i="10"/>
  <c r="C120" i="10"/>
  <c r="C132" i="10"/>
  <c r="C144" i="10"/>
  <c r="C156" i="10"/>
  <c r="C168" i="10"/>
  <c r="C180" i="10"/>
  <c r="C192" i="10"/>
  <c r="C204" i="10"/>
  <c r="C216" i="10"/>
  <c r="C228" i="10"/>
  <c r="C240" i="10"/>
  <c r="C252" i="10"/>
  <c r="C264" i="10"/>
  <c r="C276" i="10"/>
  <c r="C288" i="10"/>
  <c r="C300" i="10"/>
  <c r="C312" i="10"/>
  <c r="C324" i="10"/>
  <c r="C336" i="10"/>
  <c r="C348" i="10"/>
  <c r="C360" i="10"/>
  <c r="C372" i="10"/>
  <c r="C384" i="10"/>
  <c r="C396" i="10"/>
  <c r="C12" i="12"/>
  <c r="C408" i="10"/>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<sst xmlns="http://schemas.openxmlformats.org/spreadsheetml/2006/main" count="831" uniqueCount="106">
  <si>
    <t>Module :</t>
  </si>
  <si>
    <t>Classe :</t>
  </si>
  <si>
    <t>Lieu :</t>
  </si>
  <si>
    <t>Dates :</t>
  </si>
  <si>
    <t xml:space="preserve">Absences - imprévus </t>
  </si>
  <si>
    <t>Tâche</t>
  </si>
  <si>
    <t>Prénom - nom :</t>
  </si>
  <si>
    <t>Tâches - objectifs</t>
  </si>
  <si>
    <t>Séquence 1</t>
  </si>
  <si>
    <t>Total planifié</t>
  </si>
  <si>
    <t>Total réalisé</t>
  </si>
  <si>
    <t>PROF</t>
  </si>
  <si>
    <t>ETML</t>
  </si>
  <si>
    <t>Liste des enseignants</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</si>
  <si>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</si>
  <si>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</si>
  <si>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</si>
  <si>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</si>
  <si>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</si>
  <si>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</si>
  <si>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</si>
  <si>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</si>
  <si>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</si>
  <si>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</si>
  <si>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</si>
  <si>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</si>
  <si>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</si>
  <si>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</si>
  <si>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</si>
  <si>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</si>
  <si>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</si>
  <si>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</si>
  <si>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</si>
  <si>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</si>
  <si>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</si>
  <si>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</si>
  <si>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</si>
  <si>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</si>
  <si>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</si>
  <si>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</si>
  <si>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</si>
  <si>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</si>
  <si>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</si>
  <si>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</si>
  <si>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</si>
  <si>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</si>
  <si>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Après-midi</t>
  </si>
  <si>
    <t>Matin</t>
  </si>
  <si>
    <t>Séquence 4</t>
  </si>
  <si>
    <t xml:space="preserve">TPI </t>
  </si>
  <si>
    <t>jeudi, 6 mai 2021</t>
  </si>
  <si>
    <t>mercredi, 5 mai 2021</t>
  </si>
  <si>
    <t>Semaine 1</t>
  </si>
  <si>
    <t>Semaine 2</t>
  </si>
  <si>
    <t>Semaine 3</t>
  </si>
  <si>
    <t>Semaine 4</t>
  </si>
  <si>
    <t>Séquence 34</t>
  </si>
  <si>
    <t>vendredi, 4 juin 2021</t>
  </si>
  <si>
    <t>Séquence 33</t>
  </si>
  <si>
    <t>jeudi, 3 juin 2021</t>
  </si>
  <si>
    <t>Séquence 32</t>
  </si>
  <si>
    <t>Séquence 31</t>
  </si>
  <si>
    <t>mercredi, 2 juin 2021</t>
  </si>
  <si>
    <t>Séquence 30</t>
  </si>
  <si>
    <t>Séquence 29</t>
  </si>
  <si>
    <t>lundi, 31 mai 2021</t>
  </si>
  <si>
    <t>Séquence 28</t>
  </si>
  <si>
    <t>vendredi, 28 mai 2021</t>
  </si>
  <si>
    <t>Séquence 27</t>
  </si>
  <si>
    <t>Séquence 26</t>
  </si>
  <si>
    <t>jeudi, 27 mai 2021</t>
  </si>
  <si>
    <t>Séquence 25</t>
  </si>
  <si>
    <t>Séquence 24</t>
  </si>
  <si>
    <t>mercredi, 26 mai 2021</t>
  </si>
  <si>
    <t>Séquence 23</t>
  </si>
  <si>
    <t>Séquence 22</t>
  </si>
  <si>
    <t>lundi, 24 mai 2021</t>
  </si>
  <si>
    <t>Séquence 21</t>
  </si>
  <si>
    <t>vendredi, 21 mai 2021</t>
  </si>
  <si>
    <t>Séquence 20</t>
  </si>
  <si>
    <t>Séquence 19</t>
  </si>
  <si>
    <t>jeudi, 20 mai 2021</t>
  </si>
  <si>
    <t>Séquence 18</t>
  </si>
  <si>
    <t>Séquence 17</t>
  </si>
  <si>
    <t>mercredi, 19 mai 2021</t>
  </si>
  <si>
    <t>Séquence 16</t>
  </si>
  <si>
    <t>Séquence 15</t>
  </si>
  <si>
    <t>lundi, 17 mai 2021</t>
  </si>
  <si>
    <t>Séquence 14</t>
  </si>
  <si>
    <t>vendredi, 14 mai 2021</t>
  </si>
  <si>
    <t>Séquence 13</t>
  </si>
  <si>
    <t>Séquence 12</t>
  </si>
  <si>
    <t>jeudi, 13 mai 2021</t>
  </si>
  <si>
    <t>Séquence 11</t>
  </si>
  <si>
    <t>Séquence 10</t>
  </si>
  <si>
    <t>mercredi, 12 mai 2021</t>
  </si>
  <si>
    <t>Séquence 9</t>
  </si>
  <si>
    <t>Séquence 8</t>
  </si>
  <si>
    <t>mardi, 11 mai 2021</t>
  </si>
  <si>
    <t>Séquence 7</t>
  </si>
  <si>
    <t>Séquence 6</t>
  </si>
  <si>
    <t>lundi, 10 mai 2021</t>
  </si>
  <si>
    <t>Séquence 5</t>
  </si>
  <si>
    <t>vendredi, 7 mai 2021</t>
  </si>
  <si>
    <t>Du 05.mm.aaaa au jj.mm.aaaa</t>
  </si>
  <si>
    <t>Semaine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</si>
</sst>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1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9" borderId="0" xfId="0" applyFill="1" applyBorder="1" applyAlignment="1">
      <alignment horizontal="center"/>
    </xf>
    <xf numFmtId="0" fontId="0" fillId="0" borderId="0" xfId="0"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43964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66" t="s">
        <v>36</v>
      </c>
      <c r="C35" s="166"/>
      <c r="D35" s="166"/>
      <c r="E35" s="107" t="s">
        <v>45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67" t="s">
        <v>37</v>
      </c>
      <c r="C37" s="167"/>
      <c r="D37" s="167"/>
      <c r="E37" s="109" t="s">
        <v>45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140" t="s">
        <v>45</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CBZ99"/>
  <sheetViews>
    <sheetView showGridLines="0" zoomScale="70" zoomScaleNormal="70" zoomScaleSheetLayoutView="43" workbookViewId="0">
      <selection activeCell="CV29" sqref="CV29"/>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2105" width="1.140625" style="3" customWidth="1"/>
    <col min="2106" max="2106" width="2.7109375" style="3" customWidth="1"/>
    <col min="2107" max="16384" width="11.42578125" style="3"/>
  </cols>
  <sheetData>
    <row r="1" spans="1:2106" ht="35.1" customHeight="1" x14ac:dyDescent="0.25">
      <c r="B1" s="95"/>
      <c r="C1" s="168" t="s">
        <v>33</v>
      </c>
      <c r="D1" s="168"/>
      <c r="E1" s="168"/>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93">
        <v>1</v>
      </c>
    </row>
    <row r="2" spans="1:21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88"/>
      <c r="BLW2" s="88"/>
      <c r="BLX2" s="88"/>
      <c r="BLY2" s="88"/>
      <c r="BLZ2" s="88"/>
      <c r="BMA2" s="88"/>
      <c r="BMB2" s="88"/>
      <c r="BMC2" s="88"/>
      <c r="BMD2" s="88"/>
      <c r="BME2" s="88"/>
      <c r="BMF2" s="88"/>
      <c r="BMG2" s="88"/>
      <c r="BMH2" s="88"/>
      <c r="BMI2" s="88"/>
      <c r="BMJ2" s="88"/>
      <c r="BMK2" s="88"/>
      <c r="BML2" s="88"/>
      <c r="BMM2" s="88"/>
      <c r="BMN2" s="88"/>
      <c r="BMO2" s="88"/>
      <c r="BMP2" s="88"/>
      <c r="BMQ2" s="88"/>
      <c r="BMR2" s="88"/>
      <c r="BMS2" s="88"/>
      <c r="BMT2" s="88"/>
      <c r="BMU2" s="88"/>
      <c r="BMV2" s="88"/>
      <c r="BMW2" s="88"/>
      <c r="BMX2" s="88"/>
      <c r="BMY2" s="88"/>
      <c r="BMZ2" s="88"/>
      <c r="BNA2" s="88"/>
      <c r="BNB2" s="88"/>
      <c r="BNC2" s="88"/>
      <c r="BND2" s="88"/>
      <c r="BNE2" s="88"/>
      <c r="BNF2" s="88"/>
      <c r="BNG2" s="88"/>
      <c r="BNH2" s="88"/>
      <c r="BNI2" s="88"/>
      <c r="BNJ2" s="88"/>
      <c r="BNK2" s="88"/>
      <c r="BNL2" s="88"/>
      <c r="BNM2" s="88"/>
      <c r="BNN2" s="88"/>
      <c r="BNO2" s="88"/>
      <c r="BNP2" s="88"/>
      <c r="BNQ2" s="88"/>
      <c r="BNR2" s="88"/>
      <c r="BNS2" s="88"/>
      <c r="BNT2" s="88"/>
      <c r="BNU2" s="88"/>
      <c r="BNV2" s="88"/>
      <c r="BNW2" s="88"/>
      <c r="BNX2" s="88"/>
      <c r="BNY2" s="88"/>
      <c r="BNZ2" s="88"/>
      <c r="BOA2" s="88"/>
      <c r="BOB2" s="88"/>
      <c r="BOC2" s="88"/>
      <c r="BOD2" s="88"/>
      <c r="BOE2" s="88"/>
      <c r="BOF2" s="88"/>
      <c r="BOG2" s="88"/>
      <c r="BOH2" s="88"/>
      <c r="BOI2" s="88"/>
      <c r="BOJ2" s="88"/>
      <c r="BOK2" s="88"/>
      <c r="BOL2" s="88"/>
      <c r="BOM2" s="88"/>
      <c r="BON2" s="88"/>
      <c r="BOO2" s="88"/>
      <c r="BOP2" s="88"/>
      <c r="BOQ2" s="88"/>
      <c r="BOR2" s="88"/>
      <c r="BOS2" s="88"/>
      <c r="BOT2" s="88"/>
      <c r="BOU2" s="88"/>
      <c r="BOV2" s="88"/>
      <c r="BOW2" s="88"/>
      <c r="BOX2" s="88"/>
      <c r="BOY2" s="88"/>
      <c r="BOZ2" s="88"/>
      <c r="BPA2" s="88"/>
      <c r="BPB2" s="88"/>
      <c r="BPC2" s="88"/>
      <c r="BPD2" s="88"/>
      <c r="BPE2" s="88"/>
      <c r="BPF2" s="88"/>
      <c r="BPG2" s="88"/>
      <c r="BPH2" s="88"/>
      <c r="BPI2" s="88"/>
      <c r="BPJ2" s="88"/>
      <c r="BPK2" s="88"/>
      <c r="BPL2" s="88"/>
      <c r="BPM2" s="88"/>
      <c r="BPN2" s="88"/>
      <c r="BPO2" s="88"/>
      <c r="BPP2" s="88"/>
      <c r="BPQ2" s="88"/>
      <c r="BPR2" s="88"/>
      <c r="BPS2" s="88"/>
      <c r="BPT2" s="88"/>
      <c r="BPU2" s="88"/>
      <c r="BPV2" s="88"/>
      <c r="BPW2" s="88"/>
      <c r="BPX2" s="88"/>
      <c r="BPY2" s="88"/>
      <c r="BPZ2" s="88"/>
      <c r="BQA2" s="88"/>
      <c r="BQB2" s="88"/>
      <c r="BQC2" s="88"/>
      <c r="BQD2" s="88"/>
      <c r="BQE2" s="88"/>
      <c r="BQF2" s="88"/>
      <c r="BQG2" s="88"/>
      <c r="BQH2" s="88"/>
      <c r="BQI2" s="88"/>
      <c r="BQJ2" s="88"/>
      <c r="BQK2" s="88"/>
      <c r="BQL2" s="88"/>
      <c r="BQM2" s="88"/>
      <c r="BQN2" s="88"/>
      <c r="BQO2" s="88"/>
      <c r="BQP2" s="88"/>
      <c r="BQQ2" s="88"/>
      <c r="BQR2" s="88"/>
      <c r="BQS2" s="88"/>
      <c r="BQT2" s="88"/>
      <c r="BQU2" s="88"/>
      <c r="BQV2" s="88"/>
      <c r="BQW2" s="88"/>
      <c r="BQX2" s="88"/>
      <c r="BQY2" s="88"/>
      <c r="BQZ2" s="88"/>
      <c r="BRA2" s="88"/>
      <c r="BRB2" s="88"/>
      <c r="BRC2" s="88"/>
      <c r="BRD2" s="88"/>
      <c r="BRE2" s="88"/>
      <c r="BRF2" s="88"/>
      <c r="BRG2" s="88"/>
      <c r="BRH2" s="88"/>
      <c r="BRI2" s="88"/>
      <c r="BRJ2" s="88"/>
      <c r="BRK2" s="88"/>
      <c r="BRL2" s="88"/>
      <c r="BRM2" s="88"/>
      <c r="BRN2" s="88"/>
      <c r="BRO2" s="88"/>
      <c r="BRP2" s="88"/>
      <c r="BRQ2" s="88"/>
      <c r="BRR2" s="88"/>
      <c r="BRS2" s="88"/>
      <c r="BRT2" s="88"/>
      <c r="BRU2" s="88"/>
      <c r="BRV2" s="88"/>
      <c r="BRW2" s="88"/>
      <c r="BRX2" s="88"/>
      <c r="BRY2" s="88"/>
      <c r="BRZ2" s="88"/>
      <c r="BSA2" s="88"/>
      <c r="BSB2" s="88"/>
      <c r="BSC2" s="88"/>
      <c r="BSD2" s="88"/>
      <c r="BSE2" s="88"/>
      <c r="BSF2" s="88"/>
      <c r="BSG2" s="88"/>
      <c r="BSH2" s="88"/>
      <c r="BSI2" s="88"/>
      <c r="BSJ2" s="88"/>
      <c r="BSK2" s="88"/>
      <c r="BSL2" s="88"/>
      <c r="BSM2" s="88"/>
      <c r="BSN2" s="88"/>
      <c r="BSO2" s="88"/>
      <c r="BSP2" s="88"/>
      <c r="BSQ2" s="88"/>
      <c r="BSR2" s="88"/>
      <c r="BSS2" s="88"/>
      <c r="BST2" s="88"/>
      <c r="BSU2" s="88"/>
      <c r="BSV2" s="88"/>
      <c r="BSW2" s="88"/>
      <c r="BSX2" s="88"/>
      <c r="BSY2" s="88"/>
      <c r="BSZ2" s="88"/>
      <c r="BTA2" s="88"/>
      <c r="BTB2" s="88"/>
      <c r="BTC2" s="88"/>
      <c r="BTD2" s="88"/>
      <c r="BTE2" s="88"/>
      <c r="BTF2" s="88"/>
      <c r="BTG2" s="88"/>
      <c r="BTH2" s="88"/>
      <c r="BTI2" s="88"/>
      <c r="BTJ2" s="88"/>
      <c r="BTK2" s="88"/>
      <c r="BTL2" s="88"/>
      <c r="BTM2" s="88"/>
      <c r="BTN2" s="88"/>
      <c r="BTO2" s="88"/>
      <c r="BTP2" s="88"/>
      <c r="BTQ2" s="88"/>
      <c r="BTR2" s="88"/>
      <c r="BTS2" s="88"/>
      <c r="BTT2" s="88"/>
      <c r="BTU2" s="88"/>
      <c r="BTV2" s="88"/>
      <c r="BTW2" s="88"/>
      <c r="BTX2" s="88"/>
      <c r="BTY2" s="88"/>
      <c r="BTZ2" s="88"/>
      <c r="BUA2" s="88"/>
      <c r="BUB2" s="88"/>
      <c r="BUC2" s="88"/>
      <c r="BUD2" s="88"/>
      <c r="BUE2" s="88"/>
      <c r="BUF2" s="88"/>
      <c r="BUG2" s="88"/>
      <c r="BUH2" s="88"/>
      <c r="BUI2" s="88"/>
      <c r="BUJ2" s="88"/>
      <c r="BUK2" s="88"/>
      <c r="BUL2" s="88"/>
      <c r="BUM2" s="88"/>
      <c r="BUN2" s="88"/>
      <c r="BUO2" s="88"/>
      <c r="BUP2" s="88"/>
      <c r="BUQ2" s="88"/>
      <c r="BUR2" s="88"/>
      <c r="BUS2" s="88"/>
      <c r="BUT2" s="88"/>
      <c r="BUU2" s="88"/>
      <c r="BUV2" s="88"/>
      <c r="BUW2" s="88"/>
      <c r="BUX2" s="88"/>
      <c r="BUY2" s="88"/>
      <c r="BUZ2" s="88"/>
      <c r="BVA2" s="88"/>
      <c r="BVB2" s="88"/>
      <c r="BVC2" s="88"/>
      <c r="BVD2" s="88"/>
      <c r="BVE2" s="88"/>
      <c r="BVF2" s="88"/>
      <c r="BVG2" s="88"/>
      <c r="BVH2" s="88"/>
      <c r="BVI2" s="88"/>
      <c r="BVJ2" s="88"/>
      <c r="BVK2" s="88"/>
      <c r="BVL2" s="88"/>
      <c r="BVM2" s="88"/>
      <c r="BVN2" s="88"/>
      <c r="BVO2" s="88"/>
      <c r="BVP2" s="88"/>
      <c r="BVQ2" s="88"/>
      <c r="BVR2" s="88"/>
      <c r="BVS2" s="88"/>
      <c r="BVT2" s="88"/>
      <c r="BVU2" s="88"/>
      <c r="BVV2" s="88"/>
      <c r="BVW2" s="88"/>
      <c r="BVX2" s="88"/>
      <c r="BVY2" s="88"/>
      <c r="BVZ2" s="88"/>
      <c r="BWA2" s="88"/>
      <c r="BWB2" s="88"/>
      <c r="BWC2" s="88"/>
      <c r="BWD2" s="88"/>
      <c r="BWE2" s="88"/>
      <c r="BWF2" s="88"/>
      <c r="BWG2" s="88"/>
      <c r="BWH2" s="88"/>
      <c r="BWI2" s="88"/>
      <c r="BWJ2" s="88"/>
      <c r="BWK2" s="88"/>
      <c r="BWL2" s="88"/>
      <c r="BWM2" s="88"/>
      <c r="BWN2" s="88"/>
      <c r="BWO2" s="88"/>
      <c r="BWP2" s="88"/>
      <c r="BWQ2" s="88"/>
      <c r="BWR2" s="88"/>
      <c r="BWS2" s="88"/>
      <c r="BWT2" s="88"/>
      <c r="BWU2" s="88"/>
      <c r="BWV2" s="88"/>
      <c r="BWW2" s="88"/>
      <c r="BWX2" s="88"/>
      <c r="BWY2" s="88"/>
      <c r="BWZ2" s="88"/>
      <c r="BXA2" s="88"/>
      <c r="BXB2" s="88"/>
      <c r="BXC2" s="88"/>
      <c r="BXD2" s="88"/>
      <c r="BXE2" s="88"/>
      <c r="BXF2" s="88"/>
      <c r="BXG2" s="88"/>
      <c r="BXH2" s="88"/>
      <c r="BXI2" s="88"/>
      <c r="BXJ2" s="88"/>
      <c r="BXK2" s="88"/>
      <c r="BXL2" s="88"/>
      <c r="BXM2" s="88"/>
      <c r="BXN2" s="88"/>
      <c r="BXO2" s="88"/>
      <c r="BXP2" s="88"/>
      <c r="BXQ2" s="88"/>
      <c r="BXR2" s="88"/>
      <c r="BXS2" s="88"/>
      <c r="BXT2" s="88"/>
      <c r="BXU2" s="88"/>
      <c r="BXV2" s="88"/>
      <c r="BXW2" s="88"/>
      <c r="BXX2" s="88"/>
      <c r="BXY2" s="88"/>
      <c r="BXZ2" s="88"/>
      <c r="BYA2" s="88"/>
      <c r="BYB2" s="88"/>
      <c r="BYC2" s="88"/>
      <c r="BYD2" s="88"/>
      <c r="BYE2" s="88"/>
      <c r="BYF2" s="88"/>
      <c r="BYG2" s="88"/>
      <c r="BYH2" s="88"/>
      <c r="BYI2" s="88"/>
      <c r="BYJ2" s="88"/>
      <c r="BYK2" s="88"/>
      <c r="BYL2" s="88"/>
      <c r="BYM2" s="88"/>
      <c r="BYN2" s="88"/>
      <c r="BYO2" s="88"/>
      <c r="BYP2" s="88"/>
      <c r="BYQ2" s="88"/>
      <c r="BYR2" s="88"/>
      <c r="BYS2" s="88"/>
      <c r="BYT2" s="88"/>
      <c r="BYU2" s="88"/>
      <c r="BYV2" s="88"/>
      <c r="BYW2" s="88"/>
      <c r="BYX2" s="88"/>
      <c r="BYY2" s="88"/>
      <c r="BYZ2" s="88"/>
      <c r="BZA2" s="88"/>
      <c r="BZB2" s="88"/>
      <c r="BZC2" s="88"/>
      <c r="BZD2" s="88"/>
      <c r="BZE2" s="88"/>
      <c r="BZF2" s="88"/>
      <c r="BZG2" s="88"/>
      <c r="BZH2" s="88"/>
      <c r="BZI2" s="88"/>
      <c r="BZJ2" s="88"/>
      <c r="BZK2" s="88"/>
      <c r="BZL2" s="88"/>
      <c r="BZM2" s="88"/>
      <c r="BZN2" s="88"/>
      <c r="BZO2" s="88"/>
      <c r="BZP2" s="88"/>
      <c r="BZQ2" s="88"/>
      <c r="BZR2" s="88"/>
      <c r="BZS2" s="88"/>
      <c r="BZT2" s="88"/>
      <c r="BZU2" s="88"/>
      <c r="BZV2" s="88"/>
      <c r="BZW2" s="88"/>
      <c r="BZX2" s="88"/>
      <c r="BZY2" s="88"/>
      <c r="BZZ2" s="88"/>
      <c r="CAA2" s="88"/>
      <c r="CAB2" s="88"/>
      <c r="CAC2" s="88"/>
      <c r="CAD2" s="88"/>
      <c r="CAE2" s="88"/>
      <c r="CAF2" s="88"/>
      <c r="CAG2" s="88"/>
      <c r="CAH2" s="88"/>
      <c r="CAI2" s="88"/>
      <c r="CAJ2" s="88"/>
      <c r="CAK2" s="88"/>
      <c r="CAL2" s="88"/>
      <c r="CAM2" s="88"/>
      <c r="CAN2" s="88"/>
      <c r="CAO2" s="88"/>
      <c r="CAP2" s="88"/>
      <c r="CAQ2" s="88"/>
      <c r="CAR2" s="88"/>
      <c r="CAS2" s="88"/>
      <c r="CAT2" s="88"/>
      <c r="CAU2" s="88"/>
      <c r="CAV2" s="88"/>
      <c r="CAW2" s="88"/>
      <c r="CAX2" s="88"/>
      <c r="CAY2" s="88"/>
      <c r="CAZ2" s="88"/>
      <c r="CBA2" s="88"/>
      <c r="CBB2" s="88"/>
      <c r="CBC2" s="88"/>
      <c r="CBD2" s="88"/>
      <c r="CBE2" s="88"/>
      <c r="CBF2" s="88"/>
      <c r="CBG2" s="88"/>
      <c r="CBH2" s="88"/>
      <c r="CBI2" s="88"/>
      <c r="CBJ2" s="88"/>
      <c r="CBK2" s="88"/>
      <c r="CBL2" s="88"/>
      <c r="CBM2" s="88"/>
      <c r="CBN2" s="88"/>
      <c r="CBO2" s="88"/>
      <c r="CBP2" s="88"/>
      <c r="CBQ2" s="88"/>
      <c r="CBR2" s="88"/>
      <c r="CBS2" s="88"/>
      <c r="CBT2" s="88"/>
      <c r="CBU2" s="88"/>
      <c r="CBV2" s="88"/>
      <c r="CBW2" s="88"/>
      <c r="CBX2" s="88"/>
      <c r="CBY2" s="88"/>
      <c r="CBZ2" s="90"/>
    </row>
    <row r="3" spans="1:2106" ht="30" customHeight="1" x14ac:dyDescent="0.25">
      <c r="B3" s="96"/>
      <c r="C3" s="7" t="s">
        <v>0</v>
      </c>
      <c r="D3" s="141"/>
      <c r="E3" s="8" t="s">
        <v>49</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88"/>
      <c r="BLW3" s="88"/>
      <c r="BLX3" s="88"/>
      <c r="BLY3" s="88"/>
      <c r="BLZ3" s="88"/>
      <c r="BMA3" s="88"/>
      <c r="BMB3" s="88"/>
      <c r="BMC3" s="88"/>
      <c r="BMD3" s="88"/>
      <c r="BME3" s="88"/>
      <c r="BMF3" s="88"/>
      <c r="BMG3" s="88"/>
      <c r="BMH3" s="88"/>
      <c r="BMI3" s="88"/>
      <c r="BMJ3" s="88"/>
      <c r="BMK3" s="88"/>
      <c r="BML3" s="88"/>
      <c r="BMM3" s="88"/>
      <c r="BMN3" s="88"/>
      <c r="BMO3" s="88"/>
      <c r="BMP3" s="88"/>
      <c r="BMQ3" s="88"/>
      <c r="BMR3" s="88"/>
      <c r="BMS3" s="88"/>
      <c r="BMT3" s="88"/>
      <c r="BMU3" s="88"/>
      <c r="BMV3" s="88"/>
      <c r="BMW3" s="88"/>
      <c r="BMX3" s="88"/>
      <c r="BMY3" s="88"/>
      <c r="BMZ3" s="88"/>
      <c r="BNA3" s="88"/>
      <c r="BNB3" s="88"/>
      <c r="BNC3" s="88"/>
      <c r="BND3" s="88"/>
      <c r="BNE3" s="88"/>
      <c r="BNF3" s="88"/>
      <c r="BNG3" s="88"/>
      <c r="BNH3" s="88"/>
      <c r="BNI3" s="88"/>
      <c r="BNJ3" s="88"/>
      <c r="BNK3" s="88"/>
      <c r="BNL3" s="88"/>
      <c r="BNM3" s="88"/>
      <c r="BNN3" s="88"/>
      <c r="BNO3" s="88"/>
      <c r="BNP3" s="88"/>
      <c r="BNQ3" s="88"/>
      <c r="BNR3" s="88"/>
      <c r="BNS3" s="88"/>
      <c r="BNT3" s="88"/>
      <c r="BNU3" s="88"/>
      <c r="BNV3" s="88"/>
      <c r="BNW3" s="88"/>
      <c r="BNX3" s="88"/>
      <c r="BNY3" s="88"/>
      <c r="BNZ3" s="88"/>
      <c r="BOA3" s="88"/>
      <c r="BOB3" s="88"/>
      <c r="BOC3" s="88"/>
      <c r="BOD3" s="88"/>
      <c r="BOE3" s="88"/>
      <c r="BOF3" s="88"/>
      <c r="BOG3" s="88"/>
      <c r="BOH3" s="88"/>
      <c r="BOI3" s="88"/>
      <c r="BOJ3" s="88"/>
      <c r="BOK3" s="88"/>
      <c r="BOL3" s="88"/>
      <c r="BOM3" s="88"/>
      <c r="BON3" s="88"/>
      <c r="BOO3" s="88"/>
      <c r="BOP3" s="88"/>
      <c r="BOQ3" s="88"/>
      <c r="BOR3" s="88"/>
      <c r="BOS3" s="88"/>
      <c r="BOT3" s="88"/>
      <c r="BOU3" s="88"/>
      <c r="BOV3" s="88"/>
      <c r="BOW3" s="88"/>
      <c r="BOX3" s="88"/>
      <c r="BOY3" s="88"/>
      <c r="BOZ3" s="88"/>
      <c r="BPA3" s="88"/>
      <c r="BPB3" s="88"/>
      <c r="BPC3" s="88"/>
      <c r="BPD3" s="88"/>
      <c r="BPE3" s="88"/>
      <c r="BPF3" s="88"/>
      <c r="BPG3" s="88"/>
      <c r="BPH3" s="88"/>
      <c r="BPI3" s="88"/>
      <c r="BPJ3" s="88"/>
      <c r="BPK3" s="88"/>
      <c r="BPL3" s="88"/>
      <c r="BPM3" s="88"/>
      <c r="BPN3" s="88"/>
      <c r="BPO3" s="88"/>
      <c r="BPP3" s="88"/>
      <c r="BPQ3" s="88"/>
      <c r="BPR3" s="88"/>
      <c r="BPS3" s="88"/>
      <c r="BPT3" s="88"/>
      <c r="BPU3" s="88"/>
      <c r="BPV3" s="88"/>
      <c r="BPW3" s="88"/>
      <c r="BPX3" s="88"/>
      <c r="BPY3" s="88"/>
      <c r="BPZ3" s="88"/>
      <c r="BQA3" s="88"/>
      <c r="BQB3" s="88"/>
      <c r="BQC3" s="88"/>
      <c r="BQD3" s="88"/>
      <c r="BQE3" s="88"/>
      <c r="BQF3" s="88"/>
      <c r="BQG3" s="88"/>
      <c r="BQH3" s="88"/>
      <c r="BQI3" s="88"/>
      <c r="BQJ3" s="88"/>
      <c r="BQK3" s="88"/>
      <c r="BQL3" s="88"/>
      <c r="BQM3" s="88"/>
      <c r="BQN3" s="88"/>
      <c r="BQO3" s="88"/>
      <c r="BQP3" s="88"/>
      <c r="BQQ3" s="88"/>
      <c r="BQR3" s="88"/>
      <c r="BQS3" s="88"/>
      <c r="BQT3" s="88"/>
      <c r="BQU3" s="88"/>
      <c r="BQV3" s="88"/>
      <c r="BQW3" s="88"/>
      <c r="BQX3" s="88"/>
      <c r="BQY3" s="88"/>
      <c r="BQZ3" s="88"/>
      <c r="BRA3" s="88"/>
      <c r="BRB3" s="88"/>
      <c r="BRC3" s="88"/>
      <c r="BRD3" s="88"/>
      <c r="BRE3" s="88"/>
      <c r="BRF3" s="88"/>
      <c r="BRG3" s="88"/>
      <c r="BRH3" s="88"/>
      <c r="BRI3" s="88"/>
      <c r="BRJ3" s="88"/>
      <c r="BRK3" s="88"/>
      <c r="BRL3" s="88"/>
      <c r="BRM3" s="88"/>
      <c r="BRN3" s="88"/>
      <c r="BRO3" s="88"/>
      <c r="BRP3" s="88"/>
      <c r="BRQ3" s="88"/>
      <c r="BRR3" s="88"/>
      <c r="BRS3" s="88"/>
      <c r="BRT3" s="88"/>
      <c r="BRU3" s="88"/>
      <c r="BRV3" s="88"/>
      <c r="BRW3" s="88"/>
      <c r="BRX3" s="88"/>
      <c r="BRY3" s="88"/>
      <c r="BRZ3" s="88"/>
      <c r="BSA3" s="88"/>
      <c r="BSB3" s="88"/>
      <c r="BSC3" s="88"/>
      <c r="BSD3" s="88"/>
      <c r="BSE3" s="88"/>
      <c r="BSF3" s="88"/>
      <c r="BSG3" s="88"/>
      <c r="BSH3" s="88"/>
      <c r="BSI3" s="88"/>
      <c r="BSJ3" s="88"/>
      <c r="BSK3" s="88"/>
      <c r="BSL3" s="88"/>
      <c r="BSM3" s="88"/>
      <c r="BSN3" s="88"/>
      <c r="BSO3" s="88"/>
      <c r="BSP3" s="88"/>
      <c r="BSQ3" s="88"/>
      <c r="BSR3" s="88"/>
      <c r="BSS3" s="88"/>
      <c r="BST3" s="88"/>
      <c r="BSU3" s="88"/>
      <c r="BSV3" s="88"/>
      <c r="BSW3" s="88"/>
      <c r="BSX3" s="88"/>
      <c r="BSY3" s="88"/>
      <c r="BSZ3" s="88"/>
      <c r="BTA3" s="88"/>
      <c r="BTB3" s="88"/>
      <c r="BTC3" s="88"/>
      <c r="BTD3" s="88"/>
      <c r="BTE3" s="88"/>
      <c r="BTF3" s="88"/>
      <c r="BTG3" s="88"/>
      <c r="BTH3" s="88"/>
      <c r="BTI3" s="88"/>
      <c r="BTJ3" s="88"/>
      <c r="BTK3" s="88"/>
      <c r="BTL3" s="88"/>
      <c r="BTM3" s="88"/>
      <c r="BTN3" s="88"/>
      <c r="BTO3" s="88"/>
      <c r="BTP3" s="88"/>
      <c r="BTQ3" s="88"/>
      <c r="BTR3" s="88"/>
      <c r="BTS3" s="88"/>
      <c r="BTT3" s="88"/>
      <c r="BTU3" s="88"/>
      <c r="BTV3" s="88"/>
      <c r="BTW3" s="88"/>
      <c r="BTX3" s="88"/>
      <c r="BTY3" s="88"/>
      <c r="BTZ3" s="88"/>
      <c r="BUA3" s="88"/>
      <c r="BUB3" s="88"/>
      <c r="BUC3" s="88"/>
      <c r="BUD3" s="88"/>
      <c r="BUE3" s="88"/>
      <c r="BUF3" s="88"/>
      <c r="BUG3" s="88"/>
      <c r="BUH3" s="88"/>
      <c r="BUI3" s="88"/>
      <c r="BUJ3" s="88"/>
      <c r="BUK3" s="88"/>
      <c r="BUL3" s="88"/>
      <c r="BUM3" s="88"/>
      <c r="BUN3" s="88"/>
      <c r="BUO3" s="88"/>
      <c r="BUP3" s="88"/>
      <c r="BUQ3" s="88"/>
      <c r="BUR3" s="88"/>
      <c r="BUS3" s="88"/>
      <c r="BUT3" s="88"/>
      <c r="BUU3" s="88"/>
      <c r="BUV3" s="88"/>
      <c r="BUW3" s="88"/>
      <c r="BUX3" s="88"/>
      <c r="BUY3" s="88"/>
      <c r="BUZ3" s="88"/>
      <c r="BVA3" s="88"/>
      <c r="BVB3" s="88"/>
      <c r="BVC3" s="88"/>
      <c r="BVD3" s="88"/>
      <c r="BVE3" s="88"/>
      <c r="BVF3" s="88"/>
      <c r="BVG3" s="88"/>
      <c r="BVH3" s="88"/>
      <c r="BVI3" s="88"/>
      <c r="BVJ3" s="88"/>
      <c r="BVK3" s="88"/>
      <c r="BVL3" s="88"/>
      <c r="BVM3" s="88"/>
      <c r="BVN3" s="88"/>
      <c r="BVO3" s="88"/>
      <c r="BVP3" s="88"/>
      <c r="BVQ3" s="88"/>
      <c r="BVR3" s="88"/>
      <c r="BVS3" s="88"/>
      <c r="BVT3" s="88"/>
      <c r="BVU3" s="88"/>
      <c r="BVV3" s="88"/>
      <c r="BVW3" s="88"/>
      <c r="BVX3" s="88"/>
      <c r="BVY3" s="88"/>
      <c r="BVZ3" s="88"/>
      <c r="BWA3" s="88"/>
      <c r="BWB3" s="88"/>
      <c r="BWC3" s="88"/>
      <c r="BWD3" s="88"/>
      <c r="BWE3" s="88"/>
      <c r="BWF3" s="88"/>
      <c r="BWG3" s="88"/>
      <c r="BWH3" s="88"/>
      <c r="BWI3" s="88"/>
      <c r="BWJ3" s="88"/>
      <c r="BWK3" s="88"/>
      <c r="BWL3" s="88"/>
      <c r="BWM3" s="88"/>
      <c r="BWN3" s="88"/>
      <c r="BWO3" s="88"/>
      <c r="BWP3" s="88"/>
      <c r="BWQ3" s="88"/>
      <c r="BWR3" s="88"/>
      <c r="BWS3" s="88"/>
      <c r="BWT3" s="88"/>
      <c r="BWU3" s="88"/>
      <c r="BWV3" s="88"/>
      <c r="BWW3" s="88"/>
      <c r="BWX3" s="88"/>
      <c r="BWY3" s="88"/>
      <c r="BWZ3" s="88"/>
      <c r="BXA3" s="88"/>
      <c r="BXB3" s="88"/>
      <c r="BXC3" s="88"/>
      <c r="BXD3" s="88"/>
      <c r="BXE3" s="88"/>
      <c r="BXF3" s="88"/>
      <c r="BXG3" s="88"/>
      <c r="BXH3" s="88"/>
      <c r="BXI3" s="88"/>
      <c r="BXJ3" s="88"/>
      <c r="BXK3" s="88"/>
      <c r="BXL3" s="88"/>
      <c r="BXM3" s="88"/>
      <c r="BXN3" s="88"/>
      <c r="BXO3" s="88"/>
      <c r="BXP3" s="88"/>
      <c r="BXQ3" s="88"/>
      <c r="BXR3" s="88"/>
      <c r="BXS3" s="88"/>
      <c r="BXT3" s="88"/>
      <c r="BXU3" s="88"/>
      <c r="BXV3" s="88"/>
      <c r="BXW3" s="88"/>
      <c r="BXX3" s="88"/>
      <c r="BXY3" s="88"/>
      <c r="BXZ3" s="88"/>
      <c r="BYA3" s="88"/>
      <c r="BYB3" s="88"/>
      <c r="BYC3" s="88"/>
      <c r="BYD3" s="88"/>
      <c r="BYE3" s="88"/>
      <c r="BYF3" s="88"/>
      <c r="BYG3" s="88"/>
      <c r="BYH3" s="88"/>
      <c r="BYI3" s="88"/>
      <c r="BYJ3" s="88"/>
      <c r="BYK3" s="88"/>
      <c r="BYL3" s="88"/>
      <c r="BYM3" s="88"/>
      <c r="BYN3" s="88"/>
      <c r="BYO3" s="88"/>
      <c r="BYP3" s="88"/>
      <c r="BYQ3" s="88"/>
      <c r="BYR3" s="88"/>
      <c r="BYS3" s="88"/>
      <c r="BYT3" s="88"/>
      <c r="BYU3" s="88"/>
      <c r="BYV3" s="88"/>
      <c r="BYW3" s="88"/>
      <c r="BYX3" s="88"/>
      <c r="BYY3" s="88"/>
      <c r="BYZ3" s="88"/>
      <c r="BZA3" s="88"/>
      <c r="BZB3" s="88"/>
      <c r="BZC3" s="88"/>
      <c r="BZD3" s="88"/>
      <c r="BZE3" s="88"/>
      <c r="BZF3" s="88"/>
      <c r="BZG3" s="88"/>
      <c r="BZH3" s="88"/>
      <c r="BZI3" s="88"/>
      <c r="BZJ3" s="88"/>
      <c r="BZK3" s="88"/>
      <c r="BZL3" s="88"/>
      <c r="BZM3" s="88"/>
      <c r="BZN3" s="88"/>
      <c r="BZO3" s="88"/>
      <c r="BZP3" s="88"/>
      <c r="BZQ3" s="88"/>
      <c r="BZR3" s="88"/>
      <c r="BZS3" s="88"/>
      <c r="BZT3" s="88"/>
      <c r="BZU3" s="88"/>
      <c r="BZV3" s="88"/>
      <c r="BZW3" s="88"/>
      <c r="BZX3" s="88"/>
      <c r="BZY3" s="88"/>
      <c r="BZZ3" s="88"/>
      <c r="CAA3" s="88"/>
      <c r="CAB3" s="88"/>
      <c r="CAC3" s="88"/>
      <c r="CAD3" s="88"/>
      <c r="CAE3" s="88"/>
      <c r="CAF3" s="88"/>
      <c r="CAG3" s="88"/>
      <c r="CAH3" s="88"/>
      <c r="CAI3" s="88"/>
      <c r="CAJ3" s="88"/>
      <c r="CAK3" s="88"/>
      <c r="CAL3" s="88"/>
      <c r="CAM3" s="88"/>
      <c r="CAN3" s="88"/>
      <c r="CAO3" s="88"/>
      <c r="CAP3" s="88"/>
      <c r="CAQ3" s="88"/>
      <c r="CAR3" s="88"/>
      <c r="CAS3" s="88"/>
      <c r="CAT3" s="88"/>
      <c r="CAU3" s="88"/>
      <c r="CAV3" s="88"/>
      <c r="CAW3" s="88"/>
      <c r="CAX3" s="88"/>
      <c r="CAY3" s="88"/>
      <c r="CAZ3" s="88"/>
      <c r="CBA3" s="88"/>
      <c r="CBB3" s="88"/>
      <c r="CBC3" s="88"/>
      <c r="CBD3" s="88"/>
      <c r="CBE3" s="88"/>
      <c r="CBF3" s="88"/>
      <c r="CBG3" s="88"/>
      <c r="CBH3" s="88"/>
      <c r="CBI3" s="88"/>
      <c r="CBJ3" s="88"/>
      <c r="CBK3" s="88"/>
      <c r="CBL3" s="88"/>
      <c r="CBM3" s="88"/>
      <c r="CBN3" s="88"/>
      <c r="CBO3" s="88"/>
      <c r="CBP3" s="88"/>
      <c r="CBQ3" s="88"/>
      <c r="CBR3" s="88"/>
      <c r="CBS3" s="88"/>
      <c r="CBT3" s="88"/>
      <c r="CBU3" s="88"/>
      <c r="CBV3" s="88"/>
      <c r="CBW3" s="88"/>
      <c r="CBX3" s="88"/>
      <c r="CBY3" s="88"/>
      <c r="CBZ3" s="90"/>
    </row>
    <row r="4" spans="1:2106" ht="30" customHeight="1" x14ac:dyDescent="0.25">
      <c r="B4" s="96"/>
      <c r="C4" s="12" t="s">
        <v>6</v>
      </c>
      <c r="D4" s="142"/>
      <c r="E4" s="13" t="s">
        <v>13</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88"/>
      <c r="BLW4" s="88"/>
      <c r="BLX4" s="88"/>
      <c r="BLY4" s="88"/>
      <c r="BLZ4" s="88"/>
      <c r="BMA4" s="88"/>
      <c r="BMB4" s="88"/>
      <c r="BMC4" s="88"/>
      <c r="BMD4" s="88"/>
      <c r="BME4" s="88"/>
      <c r="BMF4" s="88"/>
      <c r="BMG4" s="88"/>
      <c r="BMH4" s="88"/>
      <c r="BMI4" s="88"/>
      <c r="BMJ4" s="88"/>
      <c r="BMK4" s="88"/>
      <c r="BML4" s="88"/>
      <c r="BMM4" s="88"/>
      <c r="BMN4" s="88"/>
      <c r="BMO4" s="88"/>
      <c r="BMP4" s="88"/>
      <c r="BMQ4" s="88"/>
      <c r="BMR4" s="88"/>
      <c r="BMS4" s="88"/>
      <c r="BMT4" s="88"/>
      <c r="BMU4" s="88"/>
      <c r="BMV4" s="88"/>
      <c r="BMW4" s="88"/>
      <c r="BMX4" s="88"/>
      <c r="BMY4" s="88"/>
      <c r="BMZ4" s="88"/>
      <c r="BNA4" s="88"/>
      <c r="BNB4" s="88"/>
      <c r="BNC4" s="88"/>
      <c r="BND4" s="88"/>
      <c r="BNE4" s="88"/>
      <c r="BNF4" s="88"/>
      <c r="BNG4" s="88"/>
      <c r="BNH4" s="88"/>
      <c r="BNI4" s="88"/>
      <c r="BNJ4" s="88"/>
      <c r="BNK4" s="88"/>
      <c r="BNL4" s="88"/>
      <c r="BNM4" s="88"/>
      <c r="BNN4" s="88"/>
      <c r="BNO4" s="88"/>
      <c r="BNP4" s="88"/>
      <c r="BNQ4" s="88"/>
      <c r="BNR4" s="88"/>
      <c r="BNS4" s="88"/>
      <c r="BNT4" s="88"/>
      <c r="BNU4" s="88"/>
      <c r="BNV4" s="88"/>
      <c r="BNW4" s="88"/>
      <c r="BNX4" s="88"/>
      <c r="BNY4" s="88"/>
      <c r="BNZ4" s="88"/>
      <c r="BOA4" s="88"/>
      <c r="BOB4" s="88"/>
      <c r="BOC4" s="88"/>
      <c r="BOD4" s="88"/>
      <c r="BOE4" s="88"/>
      <c r="BOF4" s="88"/>
      <c r="BOG4" s="88"/>
      <c r="BOH4" s="88"/>
      <c r="BOI4" s="88"/>
      <c r="BOJ4" s="88"/>
      <c r="BOK4" s="88"/>
      <c r="BOL4" s="88"/>
      <c r="BOM4" s="88"/>
      <c r="BON4" s="88"/>
      <c r="BOO4" s="88"/>
      <c r="BOP4" s="88"/>
      <c r="BOQ4" s="88"/>
      <c r="BOR4" s="88"/>
      <c r="BOS4" s="88"/>
      <c r="BOT4" s="88"/>
      <c r="BOU4" s="88"/>
      <c r="BOV4" s="88"/>
      <c r="BOW4" s="88"/>
      <c r="BOX4" s="88"/>
      <c r="BOY4" s="88"/>
      <c r="BOZ4" s="88"/>
      <c r="BPA4" s="88"/>
      <c r="BPB4" s="88"/>
      <c r="BPC4" s="88"/>
      <c r="BPD4" s="88"/>
      <c r="BPE4" s="88"/>
      <c r="BPF4" s="88"/>
      <c r="BPG4" s="88"/>
      <c r="BPH4" s="88"/>
      <c r="BPI4" s="88"/>
      <c r="BPJ4" s="88"/>
      <c r="BPK4" s="88"/>
      <c r="BPL4" s="88"/>
      <c r="BPM4" s="88"/>
      <c r="BPN4" s="88"/>
      <c r="BPO4" s="88"/>
      <c r="BPP4" s="88"/>
      <c r="BPQ4" s="88"/>
      <c r="BPR4" s="88"/>
      <c r="BPS4" s="88"/>
      <c r="BPT4" s="88"/>
      <c r="BPU4" s="88"/>
      <c r="BPV4" s="88"/>
      <c r="BPW4" s="88"/>
      <c r="BPX4" s="88"/>
      <c r="BPY4" s="88"/>
      <c r="BPZ4" s="88"/>
      <c r="BQA4" s="88"/>
      <c r="BQB4" s="88"/>
      <c r="BQC4" s="88"/>
      <c r="BQD4" s="88"/>
      <c r="BQE4" s="88"/>
      <c r="BQF4" s="88"/>
      <c r="BQG4" s="88"/>
      <c r="BQH4" s="88"/>
      <c r="BQI4" s="88"/>
      <c r="BQJ4" s="88"/>
      <c r="BQK4" s="88"/>
      <c r="BQL4" s="88"/>
      <c r="BQM4" s="88"/>
      <c r="BQN4" s="88"/>
      <c r="BQO4" s="88"/>
      <c r="BQP4" s="88"/>
      <c r="BQQ4" s="88"/>
      <c r="BQR4" s="88"/>
      <c r="BQS4" s="88"/>
      <c r="BQT4" s="88"/>
      <c r="BQU4" s="88"/>
      <c r="BQV4" s="88"/>
      <c r="BQW4" s="88"/>
      <c r="BQX4" s="88"/>
      <c r="BQY4" s="88"/>
      <c r="BQZ4" s="88"/>
      <c r="BRA4" s="88"/>
      <c r="BRB4" s="88"/>
      <c r="BRC4" s="88"/>
      <c r="BRD4" s="88"/>
      <c r="BRE4" s="88"/>
      <c r="BRF4" s="88"/>
      <c r="BRG4" s="88"/>
      <c r="BRH4" s="88"/>
      <c r="BRI4" s="88"/>
      <c r="BRJ4" s="88"/>
      <c r="BRK4" s="88"/>
      <c r="BRL4" s="88"/>
      <c r="BRM4" s="88"/>
      <c r="BRN4" s="88"/>
      <c r="BRO4" s="88"/>
      <c r="BRP4" s="88"/>
      <c r="BRQ4" s="88"/>
      <c r="BRR4" s="88"/>
      <c r="BRS4" s="88"/>
      <c r="BRT4" s="88"/>
      <c r="BRU4" s="88"/>
      <c r="BRV4" s="88"/>
      <c r="BRW4" s="88"/>
      <c r="BRX4" s="88"/>
      <c r="BRY4" s="88"/>
      <c r="BRZ4" s="88"/>
      <c r="BSA4" s="88"/>
      <c r="BSB4" s="88"/>
      <c r="BSC4" s="88"/>
      <c r="BSD4" s="88"/>
      <c r="BSE4" s="88"/>
      <c r="BSF4" s="88"/>
      <c r="BSG4" s="88"/>
      <c r="BSH4" s="88"/>
      <c r="BSI4" s="88"/>
      <c r="BSJ4" s="88"/>
      <c r="BSK4" s="88"/>
      <c r="BSL4" s="88"/>
      <c r="BSM4" s="88"/>
      <c r="BSN4" s="88"/>
      <c r="BSO4" s="88"/>
      <c r="BSP4" s="88"/>
      <c r="BSQ4" s="88"/>
      <c r="BSR4" s="88"/>
      <c r="BSS4" s="88"/>
      <c r="BST4" s="88"/>
      <c r="BSU4" s="88"/>
      <c r="BSV4" s="88"/>
      <c r="BSW4" s="88"/>
      <c r="BSX4" s="88"/>
      <c r="BSY4" s="88"/>
      <c r="BSZ4" s="88"/>
      <c r="BTA4" s="88"/>
      <c r="BTB4" s="88"/>
      <c r="BTC4" s="88"/>
      <c r="BTD4" s="88"/>
      <c r="BTE4" s="88"/>
      <c r="BTF4" s="88"/>
      <c r="BTG4" s="88"/>
      <c r="BTH4" s="88"/>
      <c r="BTI4" s="88"/>
      <c r="BTJ4" s="88"/>
      <c r="BTK4" s="88"/>
      <c r="BTL4" s="88"/>
      <c r="BTM4" s="88"/>
      <c r="BTN4" s="88"/>
      <c r="BTO4" s="88"/>
      <c r="BTP4" s="88"/>
      <c r="BTQ4" s="88"/>
      <c r="BTR4" s="88"/>
      <c r="BTS4" s="88"/>
      <c r="BTT4" s="88"/>
      <c r="BTU4" s="88"/>
      <c r="BTV4" s="88"/>
      <c r="BTW4" s="88"/>
      <c r="BTX4" s="88"/>
      <c r="BTY4" s="88"/>
      <c r="BTZ4" s="88"/>
      <c r="BUA4" s="88"/>
      <c r="BUB4" s="88"/>
      <c r="BUC4" s="88"/>
      <c r="BUD4" s="88"/>
      <c r="BUE4" s="88"/>
      <c r="BUF4" s="88"/>
      <c r="BUG4" s="88"/>
      <c r="BUH4" s="88"/>
      <c r="BUI4" s="88"/>
      <c r="BUJ4" s="88"/>
      <c r="BUK4" s="88"/>
      <c r="BUL4" s="88"/>
      <c r="BUM4" s="88"/>
      <c r="BUN4" s="88"/>
      <c r="BUO4" s="88"/>
      <c r="BUP4" s="88"/>
      <c r="BUQ4" s="88"/>
      <c r="BUR4" s="88"/>
      <c r="BUS4" s="88"/>
      <c r="BUT4" s="88"/>
      <c r="BUU4" s="88"/>
      <c r="BUV4" s="88"/>
      <c r="BUW4" s="88"/>
      <c r="BUX4" s="88"/>
      <c r="BUY4" s="88"/>
      <c r="BUZ4" s="88"/>
      <c r="BVA4" s="88"/>
      <c r="BVB4" s="88"/>
      <c r="BVC4" s="88"/>
      <c r="BVD4" s="88"/>
      <c r="BVE4" s="88"/>
      <c r="BVF4" s="88"/>
      <c r="BVG4" s="88"/>
      <c r="BVH4" s="88"/>
      <c r="BVI4" s="88"/>
      <c r="BVJ4" s="88"/>
      <c r="BVK4" s="88"/>
      <c r="BVL4" s="88"/>
      <c r="BVM4" s="88"/>
      <c r="BVN4" s="88"/>
      <c r="BVO4" s="88"/>
      <c r="BVP4" s="88"/>
      <c r="BVQ4" s="88"/>
      <c r="BVR4" s="88"/>
      <c r="BVS4" s="88"/>
      <c r="BVT4" s="88"/>
      <c r="BVU4" s="88"/>
      <c r="BVV4" s="88"/>
      <c r="BVW4" s="88"/>
      <c r="BVX4" s="88"/>
      <c r="BVY4" s="88"/>
      <c r="BVZ4" s="88"/>
      <c r="BWA4" s="88"/>
      <c r="BWB4" s="88"/>
      <c r="BWC4" s="88"/>
      <c r="BWD4" s="88"/>
      <c r="BWE4" s="88"/>
      <c r="BWF4" s="88"/>
      <c r="BWG4" s="88"/>
      <c r="BWH4" s="88"/>
      <c r="BWI4" s="88"/>
      <c r="BWJ4" s="88"/>
      <c r="BWK4" s="88"/>
      <c r="BWL4" s="88"/>
      <c r="BWM4" s="88"/>
      <c r="BWN4" s="88"/>
      <c r="BWO4" s="88"/>
      <c r="BWP4" s="88"/>
      <c r="BWQ4" s="88"/>
      <c r="BWR4" s="88"/>
      <c r="BWS4" s="88"/>
      <c r="BWT4" s="88"/>
      <c r="BWU4" s="88"/>
      <c r="BWV4" s="88"/>
      <c r="BWW4" s="88"/>
      <c r="BWX4" s="88"/>
      <c r="BWY4" s="88"/>
      <c r="BWZ4" s="88"/>
      <c r="BXA4" s="88"/>
      <c r="BXB4" s="88"/>
      <c r="BXC4" s="88"/>
      <c r="BXD4" s="88"/>
      <c r="BXE4" s="88"/>
      <c r="BXF4" s="88"/>
      <c r="BXG4" s="88"/>
      <c r="BXH4" s="88"/>
      <c r="BXI4" s="88"/>
      <c r="BXJ4" s="88"/>
      <c r="BXK4" s="88"/>
      <c r="BXL4" s="88"/>
      <c r="BXM4" s="88"/>
      <c r="BXN4" s="88"/>
      <c r="BXO4" s="88"/>
      <c r="BXP4" s="88"/>
      <c r="BXQ4" s="88"/>
      <c r="BXR4" s="88"/>
      <c r="BXS4" s="88"/>
      <c r="BXT4" s="88"/>
      <c r="BXU4" s="88"/>
      <c r="BXV4" s="88"/>
      <c r="BXW4" s="88"/>
      <c r="BXX4" s="88"/>
      <c r="BXY4" s="88"/>
      <c r="BXZ4" s="88"/>
      <c r="BYA4" s="88"/>
      <c r="BYB4" s="88"/>
      <c r="BYC4" s="88"/>
      <c r="BYD4" s="88"/>
      <c r="BYE4" s="88"/>
      <c r="BYF4" s="88"/>
      <c r="BYG4" s="88"/>
      <c r="BYH4" s="88"/>
      <c r="BYI4" s="88"/>
      <c r="BYJ4" s="88"/>
      <c r="BYK4" s="88"/>
      <c r="BYL4" s="88"/>
      <c r="BYM4" s="88"/>
      <c r="BYN4" s="88"/>
      <c r="BYO4" s="88"/>
      <c r="BYP4" s="88"/>
      <c r="BYQ4" s="88"/>
      <c r="BYR4" s="88"/>
      <c r="BYS4" s="88"/>
      <c r="BYT4" s="88"/>
      <c r="BYU4" s="88"/>
      <c r="BYV4" s="88"/>
      <c r="BYW4" s="88"/>
      <c r="BYX4" s="88"/>
      <c r="BYY4" s="88"/>
      <c r="BYZ4" s="88"/>
      <c r="BZA4" s="88"/>
      <c r="BZB4" s="88"/>
      <c r="BZC4" s="88"/>
      <c r="BZD4" s="88"/>
      <c r="BZE4" s="88"/>
      <c r="BZF4" s="88"/>
      <c r="BZG4" s="88"/>
      <c r="BZH4" s="88"/>
      <c r="BZI4" s="88"/>
      <c r="BZJ4" s="88"/>
      <c r="BZK4" s="88"/>
      <c r="BZL4" s="88"/>
      <c r="BZM4" s="88"/>
      <c r="BZN4" s="88"/>
      <c r="BZO4" s="88"/>
      <c r="BZP4" s="88"/>
      <c r="BZQ4" s="88"/>
      <c r="BZR4" s="88"/>
      <c r="BZS4" s="88"/>
      <c r="BZT4" s="88"/>
      <c r="BZU4" s="88"/>
      <c r="BZV4" s="88"/>
      <c r="BZW4" s="88"/>
      <c r="BZX4" s="88"/>
      <c r="BZY4" s="88"/>
      <c r="BZZ4" s="88"/>
      <c r="CAA4" s="88"/>
      <c r="CAB4" s="88"/>
      <c r="CAC4" s="88"/>
      <c r="CAD4" s="88"/>
      <c r="CAE4" s="88"/>
      <c r="CAF4" s="88"/>
      <c r="CAG4" s="88"/>
      <c r="CAH4" s="88"/>
      <c r="CAI4" s="88"/>
      <c r="CAJ4" s="88"/>
      <c r="CAK4" s="88"/>
      <c r="CAL4" s="88"/>
      <c r="CAM4" s="88"/>
      <c r="CAN4" s="88"/>
      <c r="CAO4" s="88"/>
      <c r="CAP4" s="88"/>
      <c r="CAQ4" s="88"/>
      <c r="CAR4" s="88"/>
      <c r="CAS4" s="88"/>
      <c r="CAT4" s="88"/>
      <c r="CAU4" s="88"/>
      <c r="CAV4" s="88"/>
      <c r="CAW4" s="88"/>
      <c r="CAX4" s="88"/>
      <c r="CAY4" s="88"/>
      <c r="CAZ4" s="88"/>
      <c r="CBA4" s="88"/>
      <c r="CBB4" s="88"/>
      <c r="CBC4" s="88"/>
      <c r="CBD4" s="88"/>
      <c r="CBE4" s="88"/>
      <c r="CBF4" s="88"/>
      <c r="CBG4" s="88"/>
      <c r="CBH4" s="88"/>
      <c r="CBI4" s="88"/>
      <c r="CBJ4" s="88"/>
      <c r="CBK4" s="88"/>
      <c r="CBL4" s="88"/>
      <c r="CBM4" s="88"/>
      <c r="CBN4" s="88"/>
      <c r="CBO4" s="88"/>
      <c r="CBP4" s="88"/>
      <c r="CBQ4" s="88"/>
      <c r="CBR4" s="88"/>
      <c r="CBS4" s="88"/>
      <c r="CBT4" s="88"/>
      <c r="CBU4" s="88"/>
      <c r="CBV4" s="88"/>
      <c r="CBW4" s="88"/>
      <c r="CBX4" s="88"/>
      <c r="CBY4" s="88"/>
      <c r="CBZ4" s="90"/>
    </row>
    <row r="5" spans="1:2106" ht="30" customHeight="1" x14ac:dyDescent="0.25">
      <c r="B5" s="96"/>
      <c r="C5" s="12" t="s">
        <v>1</v>
      </c>
      <c r="D5" s="142"/>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88"/>
      <c r="BLW5" s="88"/>
      <c r="BLX5" s="88"/>
      <c r="BLY5" s="88"/>
      <c r="BLZ5" s="88"/>
      <c r="BMA5" s="88"/>
      <c r="BMB5" s="88"/>
      <c r="BMC5" s="88"/>
      <c r="BMD5" s="88"/>
      <c r="BME5" s="88"/>
      <c r="BMF5" s="88"/>
      <c r="BMG5" s="88"/>
      <c r="BMH5" s="88"/>
      <c r="BMI5" s="88"/>
      <c r="BMJ5" s="88"/>
      <c r="BMK5" s="88"/>
      <c r="BML5" s="88"/>
      <c r="BMM5" s="88"/>
      <c r="BMN5" s="88"/>
      <c r="BMO5" s="88"/>
      <c r="BMP5" s="88"/>
      <c r="BMQ5" s="88"/>
      <c r="BMR5" s="88"/>
      <c r="BMS5" s="88"/>
      <c r="BMT5" s="88"/>
      <c r="BMU5" s="88"/>
      <c r="BMV5" s="88"/>
      <c r="BMW5" s="88"/>
      <c r="BMX5" s="88"/>
      <c r="BMY5" s="88"/>
      <c r="BMZ5" s="88"/>
      <c r="BNA5" s="88"/>
      <c r="BNB5" s="88"/>
      <c r="BNC5" s="88"/>
      <c r="BND5" s="88"/>
      <c r="BNE5" s="88"/>
      <c r="BNF5" s="88"/>
      <c r="BNG5" s="88"/>
      <c r="BNH5" s="88"/>
      <c r="BNI5" s="88"/>
      <c r="BNJ5" s="88"/>
      <c r="BNK5" s="88"/>
      <c r="BNL5" s="88"/>
      <c r="BNM5" s="88"/>
      <c r="BNN5" s="88"/>
      <c r="BNO5" s="88"/>
      <c r="BNP5" s="88"/>
      <c r="BNQ5" s="88"/>
      <c r="BNR5" s="88"/>
      <c r="BNS5" s="88"/>
      <c r="BNT5" s="88"/>
      <c r="BNU5" s="88"/>
      <c r="BNV5" s="88"/>
      <c r="BNW5" s="88"/>
      <c r="BNX5" s="88"/>
      <c r="BNY5" s="88"/>
      <c r="BNZ5" s="88"/>
      <c r="BOA5" s="88"/>
      <c r="BOB5" s="88"/>
      <c r="BOC5" s="88"/>
      <c r="BOD5" s="88"/>
      <c r="BOE5" s="88"/>
      <c r="BOF5" s="88"/>
      <c r="BOG5" s="88"/>
      <c r="BOH5" s="88"/>
      <c r="BOI5" s="88"/>
      <c r="BOJ5" s="88"/>
      <c r="BOK5" s="88"/>
      <c r="BOL5" s="88"/>
      <c r="BOM5" s="88"/>
      <c r="BON5" s="88"/>
      <c r="BOO5" s="88"/>
      <c r="BOP5" s="88"/>
      <c r="BOQ5" s="88"/>
      <c r="BOR5" s="88"/>
      <c r="BOS5" s="88"/>
      <c r="BOT5" s="88"/>
      <c r="BOU5" s="88"/>
      <c r="BOV5" s="88"/>
      <c r="BOW5" s="88"/>
      <c r="BOX5" s="88"/>
      <c r="BOY5" s="88"/>
      <c r="BOZ5" s="88"/>
      <c r="BPA5" s="88"/>
      <c r="BPB5" s="88"/>
      <c r="BPC5" s="88"/>
      <c r="BPD5" s="88"/>
      <c r="BPE5" s="88"/>
      <c r="BPF5" s="88"/>
      <c r="BPG5" s="88"/>
      <c r="BPH5" s="88"/>
      <c r="BPI5" s="88"/>
      <c r="BPJ5" s="88"/>
      <c r="BPK5" s="88"/>
      <c r="BPL5" s="88"/>
      <c r="BPM5" s="88"/>
      <c r="BPN5" s="88"/>
      <c r="BPO5" s="88"/>
      <c r="BPP5" s="88"/>
      <c r="BPQ5" s="88"/>
      <c r="BPR5" s="88"/>
      <c r="BPS5" s="88"/>
      <c r="BPT5" s="88"/>
      <c r="BPU5" s="88"/>
      <c r="BPV5" s="88"/>
      <c r="BPW5" s="88"/>
      <c r="BPX5" s="88"/>
      <c r="BPY5" s="88"/>
      <c r="BPZ5" s="88"/>
      <c r="BQA5" s="88"/>
      <c r="BQB5" s="88"/>
      <c r="BQC5" s="88"/>
      <c r="BQD5" s="88"/>
      <c r="BQE5" s="88"/>
      <c r="BQF5" s="88"/>
      <c r="BQG5" s="88"/>
      <c r="BQH5" s="88"/>
      <c r="BQI5" s="88"/>
      <c r="BQJ5" s="88"/>
      <c r="BQK5" s="88"/>
      <c r="BQL5" s="88"/>
      <c r="BQM5" s="88"/>
      <c r="BQN5" s="88"/>
      <c r="BQO5" s="88"/>
      <c r="BQP5" s="88"/>
      <c r="BQQ5" s="88"/>
      <c r="BQR5" s="88"/>
      <c r="BQS5" s="88"/>
      <c r="BQT5" s="88"/>
      <c r="BQU5" s="88"/>
      <c r="BQV5" s="88"/>
      <c r="BQW5" s="88"/>
      <c r="BQX5" s="88"/>
      <c r="BQY5" s="88"/>
      <c r="BQZ5" s="88"/>
      <c r="BRA5" s="88"/>
      <c r="BRB5" s="88"/>
      <c r="BRC5" s="88"/>
      <c r="BRD5" s="88"/>
      <c r="BRE5" s="88"/>
      <c r="BRF5" s="88"/>
      <c r="BRG5" s="88"/>
      <c r="BRH5" s="88"/>
      <c r="BRI5" s="88"/>
      <c r="BRJ5" s="88"/>
      <c r="BRK5" s="88"/>
      <c r="BRL5" s="88"/>
      <c r="BRM5" s="88"/>
      <c r="BRN5" s="88"/>
      <c r="BRO5" s="88"/>
      <c r="BRP5" s="88"/>
      <c r="BRQ5" s="88"/>
      <c r="BRR5" s="88"/>
      <c r="BRS5" s="88"/>
      <c r="BRT5" s="88"/>
      <c r="BRU5" s="88"/>
      <c r="BRV5" s="88"/>
      <c r="BRW5" s="88"/>
      <c r="BRX5" s="88"/>
      <c r="BRY5" s="88"/>
      <c r="BRZ5" s="88"/>
      <c r="BSA5" s="88"/>
      <c r="BSB5" s="88"/>
      <c r="BSC5" s="88"/>
      <c r="BSD5" s="88"/>
      <c r="BSE5" s="88"/>
      <c r="BSF5" s="88"/>
      <c r="BSG5" s="88"/>
      <c r="BSH5" s="88"/>
      <c r="BSI5" s="88"/>
      <c r="BSJ5" s="88"/>
      <c r="BSK5" s="88"/>
      <c r="BSL5" s="88"/>
      <c r="BSM5" s="88"/>
      <c r="BSN5" s="88"/>
      <c r="BSO5" s="88"/>
      <c r="BSP5" s="88"/>
      <c r="BSQ5" s="88"/>
      <c r="BSR5" s="88"/>
      <c r="BSS5" s="88"/>
      <c r="BST5" s="88"/>
      <c r="BSU5" s="88"/>
      <c r="BSV5" s="88"/>
      <c r="BSW5" s="88"/>
      <c r="BSX5" s="88"/>
      <c r="BSY5" s="88"/>
      <c r="BSZ5" s="88"/>
      <c r="BTA5" s="88"/>
      <c r="BTB5" s="88"/>
      <c r="BTC5" s="88"/>
      <c r="BTD5" s="88"/>
      <c r="BTE5" s="88"/>
      <c r="BTF5" s="88"/>
      <c r="BTG5" s="88"/>
      <c r="BTH5" s="88"/>
      <c r="BTI5" s="88"/>
      <c r="BTJ5" s="88"/>
      <c r="BTK5" s="88"/>
      <c r="BTL5" s="88"/>
      <c r="BTM5" s="88"/>
      <c r="BTN5" s="88"/>
      <c r="BTO5" s="88"/>
      <c r="BTP5" s="88"/>
      <c r="BTQ5" s="88"/>
      <c r="BTR5" s="88"/>
      <c r="BTS5" s="88"/>
      <c r="BTT5" s="88"/>
      <c r="BTU5" s="88"/>
      <c r="BTV5" s="88"/>
      <c r="BTW5" s="88"/>
      <c r="BTX5" s="88"/>
      <c r="BTY5" s="88"/>
      <c r="BTZ5" s="88"/>
      <c r="BUA5" s="88"/>
      <c r="BUB5" s="88"/>
      <c r="BUC5" s="88"/>
      <c r="BUD5" s="88"/>
      <c r="BUE5" s="88"/>
      <c r="BUF5" s="88"/>
      <c r="BUG5" s="88"/>
      <c r="BUH5" s="88"/>
      <c r="BUI5" s="88"/>
      <c r="BUJ5" s="88"/>
      <c r="BUK5" s="88"/>
      <c r="BUL5" s="88"/>
      <c r="BUM5" s="88"/>
      <c r="BUN5" s="88"/>
      <c r="BUO5" s="88"/>
      <c r="BUP5" s="88"/>
      <c r="BUQ5" s="88"/>
      <c r="BUR5" s="88"/>
      <c r="BUS5" s="88"/>
      <c r="BUT5" s="88"/>
      <c r="BUU5" s="88"/>
      <c r="BUV5" s="88"/>
      <c r="BUW5" s="88"/>
      <c r="BUX5" s="88"/>
      <c r="BUY5" s="88"/>
      <c r="BUZ5" s="88"/>
      <c r="BVA5" s="88"/>
      <c r="BVB5" s="88"/>
      <c r="BVC5" s="88"/>
      <c r="BVD5" s="88"/>
      <c r="BVE5" s="88"/>
      <c r="BVF5" s="88"/>
      <c r="BVG5" s="88"/>
      <c r="BVH5" s="88"/>
      <c r="BVI5" s="88"/>
      <c r="BVJ5" s="88"/>
      <c r="BVK5" s="88"/>
      <c r="BVL5" s="88"/>
      <c r="BVM5" s="88"/>
      <c r="BVN5" s="88"/>
      <c r="BVO5" s="88"/>
      <c r="BVP5" s="88"/>
      <c r="BVQ5" s="88"/>
      <c r="BVR5" s="88"/>
      <c r="BVS5" s="88"/>
      <c r="BVT5" s="88"/>
      <c r="BVU5" s="88"/>
      <c r="BVV5" s="88"/>
      <c r="BVW5" s="88"/>
      <c r="BVX5" s="88"/>
      <c r="BVY5" s="88"/>
      <c r="BVZ5" s="88"/>
      <c r="BWA5" s="88"/>
      <c r="BWB5" s="88"/>
      <c r="BWC5" s="88"/>
      <c r="BWD5" s="88"/>
      <c r="BWE5" s="88"/>
      <c r="BWF5" s="88"/>
      <c r="BWG5" s="88"/>
      <c r="BWH5" s="88"/>
      <c r="BWI5" s="88"/>
      <c r="BWJ5" s="88"/>
      <c r="BWK5" s="88"/>
      <c r="BWL5" s="88"/>
      <c r="BWM5" s="88"/>
      <c r="BWN5" s="88"/>
      <c r="BWO5" s="88"/>
      <c r="BWP5" s="88"/>
      <c r="BWQ5" s="88"/>
      <c r="BWR5" s="88"/>
      <c r="BWS5" s="88"/>
      <c r="BWT5" s="88"/>
      <c r="BWU5" s="88"/>
      <c r="BWV5" s="88"/>
      <c r="BWW5" s="88"/>
      <c r="BWX5" s="88"/>
      <c r="BWY5" s="88"/>
      <c r="BWZ5" s="88"/>
      <c r="BXA5" s="88"/>
      <c r="BXB5" s="88"/>
      <c r="BXC5" s="88"/>
      <c r="BXD5" s="88"/>
      <c r="BXE5" s="88"/>
      <c r="BXF5" s="88"/>
      <c r="BXG5" s="88"/>
      <c r="BXH5" s="88"/>
      <c r="BXI5" s="88"/>
      <c r="BXJ5" s="88"/>
      <c r="BXK5" s="88"/>
      <c r="BXL5" s="88"/>
      <c r="BXM5" s="88"/>
      <c r="BXN5" s="88"/>
      <c r="BXO5" s="88"/>
      <c r="BXP5" s="88"/>
      <c r="BXQ5" s="88"/>
      <c r="BXR5" s="88"/>
      <c r="BXS5" s="88"/>
      <c r="BXT5" s="88"/>
      <c r="BXU5" s="88"/>
      <c r="BXV5" s="88"/>
      <c r="BXW5" s="88"/>
      <c r="BXX5" s="88"/>
      <c r="BXY5" s="88"/>
      <c r="BXZ5" s="88"/>
      <c r="BYA5" s="88"/>
      <c r="BYB5" s="88"/>
      <c r="BYC5" s="88"/>
      <c r="BYD5" s="88"/>
      <c r="BYE5" s="88"/>
      <c r="BYF5" s="88"/>
      <c r="BYG5" s="88"/>
      <c r="BYH5" s="88"/>
      <c r="BYI5" s="88"/>
      <c r="BYJ5" s="88"/>
      <c r="BYK5" s="88"/>
      <c r="BYL5" s="88"/>
      <c r="BYM5" s="88"/>
      <c r="BYN5" s="88"/>
      <c r="BYO5" s="88"/>
      <c r="BYP5" s="88"/>
      <c r="BYQ5" s="88"/>
      <c r="BYR5" s="88"/>
      <c r="BYS5" s="88"/>
      <c r="BYT5" s="88"/>
      <c r="BYU5" s="88"/>
      <c r="BYV5" s="88"/>
      <c r="BYW5" s="88"/>
      <c r="BYX5" s="88"/>
      <c r="BYY5" s="88"/>
      <c r="BYZ5" s="88"/>
      <c r="BZA5" s="88"/>
      <c r="BZB5" s="88"/>
      <c r="BZC5" s="88"/>
      <c r="BZD5" s="88"/>
      <c r="BZE5" s="88"/>
      <c r="BZF5" s="88"/>
      <c r="BZG5" s="88"/>
      <c r="BZH5" s="88"/>
      <c r="BZI5" s="88"/>
      <c r="BZJ5" s="88"/>
      <c r="BZK5" s="88"/>
      <c r="BZL5" s="88"/>
      <c r="BZM5" s="88"/>
      <c r="BZN5" s="88"/>
      <c r="BZO5" s="88"/>
      <c r="BZP5" s="88"/>
      <c r="BZQ5" s="88"/>
      <c r="BZR5" s="88"/>
      <c r="BZS5" s="88"/>
      <c r="BZT5" s="88"/>
      <c r="BZU5" s="88"/>
      <c r="BZV5" s="88"/>
      <c r="BZW5" s="88"/>
      <c r="BZX5" s="88"/>
      <c r="BZY5" s="88"/>
      <c r="BZZ5" s="88"/>
      <c r="CAA5" s="88"/>
      <c r="CAB5" s="88"/>
      <c r="CAC5" s="88"/>
      <c r="CAD5" s="88"/>
      <c r="CAE5" s="88"/>
      <c r="CAF5" s="88"/>
      <c r="CAG5" s="88"/>
      <c r="CAH5" s="88"/>
      <c r="CAI5" s="88"/>
      <c r="CAJ5" s="88"/>
      <c r="CAK5" s="88"/>
      <c r="CAL5" s="88"/>
      <c r="CAM5" s="88"/>
      <c r="CAN5" s="88"/>
      <c r="CAO5" s="88"/>
      <c r="CAP5" s="88"/>
      <c r="CAQ5" s="88"/>
      <c r="CAR5" s="88"/>
      <c r="CAS5" s="88"/>
      <c r="CAT5" s="88"/>
      <c r="CAU5" s="88"/>
      <c r="CAV5" s="88"/>
      <c r="CAW5" s="88"/>
      <c r="CAX5" s="88"/>
      <c r="CAY5" s="88"/>
      <c r="CAZ5" s="88"/>
      <c r="CBA5" s="88"/>
      <c r="CBB5" s="88"/>
      <c r="CBC5" s="88"/>
      <c r="CBD5" s="88"/>
      <c r="CBE5" s="88"/>
      <c r="CBF5" s="88"/>
      <c r="CBG5" s="88"/>
      <c r="CBH5" s="88"/>
      <c r="CBI5" s="88"/>
      <c r="CBJ5" s="88"/>
      <c r="CBK5" s="88"/>
      <c r="CBL5" s="88"/>
      <c r="CBM5" s="88"/>
      <c r="CBN5" s="88"/>
      <c r="CBO5" s="88"/>
      <c r="CBP5" s="88"/>
      <c r="CBQ5" s="88"/>
      <c r="CBR5" s="88"/>
      <c r="CBS5" s="88"/>
      <c r="CBT5" s="88"/>
      <c r="CBU5" s="88"/>
      <c r="CBV5" s="88"/>
      <c r="CBW5" s="88"/>
      <c r="CBX5" s="88"/>
      <c r="CBY5" s="88"/>
      <c r="CBZ5" s="90"/>
    </row>
    <row r="6" spans="1:2106" ht="30" customHeight="1" thickBot="1" x14ac:dyDescent="0.3">
      <c r="B6" s="96"/>
      <c r="C6" s="17" t="s">
        <v>2</v>
      </c>
      <c r="D6" s="143"/>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88"/>
      <c r="BLW6" s="88"/>
      <c r="BLX6" s="88"/>
      <c r="BLY6" s="88"/>
      <c r="BLZ6" s="88"/>
      <c r="BMA6" s="88"/>
      <c r="BMB6" s="88"/>
      <c r="BMC6" s="88"/>
      <c r="BMD6" s="88"/>
      <c r="BME6" s="88"/>
      <c r="BMF6" s="88"/>
      <c r="BMG6" s="88"/>
      <c r="BMH6" s="88"/>
      <c r="BMI6" s="88"/>
      <c r="BMJ6" s="88"/>
      <c r="BMK6" s="88"/>
      <c r="BML6" s="88"/>
      <c r="BMM6" s="88"/>
      <c r="BMN6" s="88"/>
      <c r="BMO6" s="88"/>
      <c r="BMP6" s="88"/>
      <c r="BMQ6" s="88"/>
      <c r="BMR6" s="88"/>
      <c r="BMS6" s="88"/>
      <c r="BMT6" s="88"/>
      <c r="BMU6" s="88"/>
      <c r="BMV6" s="88"/>
      <c r="BMW6" s="88"/>
      <c r="BMX6" s="88"/>
      <c r="BMY6" s="88"/>
      <c r="BMZ6" s="88"/>
      <c r="BNA6" s="88"/>
      <c r="BNB6" s="88"/>
      <c r="BNC6" s="88"/>
      <c r="BND6" s="88"/>
      <c r="BNE6" s="88"/>
      <c r="BNF6" s="88"/>
      <c r="BNG6" s="88"/>
      <c r="BNH6" s="88"/>
      <c r="BNI6" s="88"/>
      <c r="BNJ6" s="88"/>
      <c r="BNK6" s="88"/>
      <c r="BNL6" s="88"/>
      <c r="BNM6" s="88"/>
      <c r="BNN6" s="88"/>
      <c r="BNO6" s="88"/>
      <c r="BNP6" s="88"/>
      <c r="BNQ6" s="88"/>
      <c r="BNR6" s="88"/>
      <c r="BNS6" s="88"/>
      <c r="BNT6" s="88"/>
      <c r="BNU6" s="88"/>
      <c r="BNV6" s="88"/>
      <c r="BNW6" s="88"/>
      <c r="BNX6" s="88"/>
      <c r="BNY6" s="88"/>
      <c r="BNZ6" s="88"/>
      <c r="BOA6" s="88"/>
      <c r="BOB6" s="88"/>
      <c r="BOC6" s="88"/>
      <c r="BOD6" s="88"/>
      <c r="BOE6" s="88"/>
      <c r="BOF6" s="88"/>
      <c r="BOG6" s="88"/>
      <c r="BOH6" s="88"/>
      <c r="BOI6" s="88"/>
      <c r="BOJ6" s="88"/>
      <c r="BOK6" s="88"/>
      <c r="BOL6" s="88"/>
      <c r="BOM6" s="88"/>
      <c r="BON6" s="88"/>
      <c r="BOO6" s="88"/>
      <c r="BOP6" s="88"/>
      <c r="BOQ6" s="88"/>
      <c r="BOR6" s="88"/>
      <c r="BOS6" s="88"/>
      <c r="BOT6" s="88"/>
      <c r="BOU6" s="88"/>
      <c r="BOV6" s="88"/>
      <c r="BOW6" s="88"/>
      <c r="BOX6" s="88"/>
      <c r="BOY6" s="88"/>
      <c r="BOZ6" s="88"/>
      <c r="BPA6" s="88"/>
      <c r="BPB6" s="88"/>
      <c r="BPC6" s="88"/>
      <c r="BPD6" s="88"/>
      <c r="BPE6" s="88"/>
      <c r="BPF6" s="88"/>
      <c r="BPG6" s="88"/>
      <c r="BPH6" s="88"/>
      <c r="BPI6" s="88"/>
      <c r="BPJ6" s="88"/>
      <c r="BPK6" s="88"/>
      <c r="BPL6" s="88"/>
      <c r="BPM6" s="88"/>
      <c r="BPN6" s="88"/>
      <c r="BPO6" s="88"/>
      <c r="BPP6" s="88"/>
      <c r="BPQ6" s="88"/>
      <c r="BPR6" s="88"/>
      <c r="BPS6" s="88"/>
      <c r="BPT6" s="88"/>
      <c r="BPU6" s="88"/>
      <c r="BPV6" s="88"/>
      <c r="BPW6" s="88"/>
      <c r="BPX6" s="88"/>
      <c r="BPY6" s="88"/>
      <c r="BPZ6" s="88"/>
      <c r="BQA6" s="88"/>
      <c r="BQB6" s="88"/>
      <c r="BQC6" s="88"/>
      <c r="BQD6" s="88"/>
      <c r="BQE6" s="88"/>
      <c r="BQF6" s="88"/>
      <c r="BQG6" s="88"/>
      <c r="BQH6" s="88"/>
      <c r="BQI6" s="88"/>
      <c r="BQJ6" s="88"/>
      <c r="BQK6" s="88"/>
      <c r="BQL6" s="88"/>
      <c r="BQM6" s="88"/>
      <c r="BQN6" s="88"/>
      <c r="BQO6" s="88"/>
      <c r="BQP6" s="88"/>
      <c r="BQQ6" s="88"/>
      <c r="BQR6" s="88"/>
      <c r="BQS6" s="88"/>
      <c r="BQT6" s="88"/>
      <c r="BQU6" s="88"/>
      <c r="BQV6" s="88"/>
      <c r="BQW6" s="88"/>
      <c r="BQX6" s="88"/>
      <c r="BQY6" s="88"/>
      <c r="BQZ6" s="88"/>
      <c r="BRA6" s="88"/>
      <c r="BRB6" s="88"/>
      <c r="BRC6" s="88"/>
      <c r="BRD6" s="88"/>
      <c r="BRE6" s="88"/>
      <c r="BRF6" s="88"/>
      <c r="BRG6" s="88"/>
      <c r="BRH6" s="88"/>
      <c r="BRI6" s="88"/>
      <c r="BRJ6" s="88"/>
      <c r="BRK6" s="88"/>
      <c r="BRL6" s="88"/>
      <c r="BRM6" s="88"/>
      <c r="BRN6" s="88"/>
      <c r="BRO6" s="88"/>
      <c r="BRP6" s="88"/>
      <c r="BRQ6" s="88"/>
      <c r="BRR6" s="88"/>
      <c r="BRS6" s="88"/>
      <c r="BRT6" s="88"/>
      <c r="BRU6" s="88"/>
      <c r="BRV6" s="88"/>
      <c r="BRW6" s="88"/>
      <c r="BRX6" s="88"/>
      <c r="BRY6" s="88"/>
      <c r="BRZ6" s="88"/>
      <c r="BSA6" s="88"/>
      <c r="BSB6" s="88"/>
      <c r="BSC6" s="88"/>
      <c r="BSD6" s="88"/>
      <c r="BSE6" s="88"/>
      <c r="BSF6" s="88"/>
      <c r="BSG6" s="88"/>
      <c r="BSH6" s="88"/>
      <c r="BSI6" s="88"/>
      <c r="BSJ6" s="88"/>
      <c r="BSK6" s="88"/>
      <c r="BSL6" s="88"/>
      <c r="BSM6" s="88"/>
      <c r="BSN6" s="88"/>
      <c r="BSO6" s="88"/>
      <c r="BSP6" s="88"/>
      <c r="BSQ6" s="88"/>
      <c r="BSR6" s="88"/>
      <c r="BSS6" s="88"/>
      <c r="BST6" s="88"/>
      <c r="BSU6" s="88"/>
      <c r="BSV6" s="88"/>
      <c r="BSW6" s="88"/>
      <c r="BSX6" s="88"/>
      <c r="BSY6" s="88"/>
      <c r="BSZ6" s="88"/>
      <c r="BTA6" s="88"/>
      <c r="BTB6" s="88"/>
      <c r="BTC6" s="88"/>
      <c r="BTD6" s="88"/>
      <c r="BTE6" s="88"/>
      <c r="BTF6" s="88"/>
      <c r="BTG6" s="88"/>
      <c r="BTH6" s="88"/>
      <c r="BTI6" s="88"/>
      <c r="BTJ6" s="88"/>
      <c r="BTK6" s="88"/>
      <c r="BTL6" s="88"/>
      <c r="BTM6" s="88"/>
      <c r="BTN6" s="88"/>
      <c r="BTO6" s="88"/>
      <c r="BTP6" s="88"/>
      <c r="BTQ6" s="88"/>
      <c r="BTR6" s="88"/>
      <c r="BTS6" s="88"/>
      <c r="BTT6" s="88"/>
      <c r="BTU6" s="88"/>
      <c r="BTV6" s="88"/>
      <c r="BTW6" s="88"/>
      <c r="BTX6" s="88"/>
      <c r="BTY6" s="88"/>
      <c r="BTZ6" s="88"/>
      <c r="BUA6" s="88"/>
      <c r="BUB6" s="88"/>
      <c r="BUC6" s="88"/>
      <c r="BUD6" s="88"/>
      <c r="BUE6" s="88"/>
      <c r="BUF6" s="88"/>
      <c r="BUG6" s="88"/>
      <c r="BUH6" s="88"/>
      <c r="BUI6" s="88"/>
      <c r="BUJ6" s="88"/>
      <c r="BUK6" s="88"/>
      <c r="BUL6" s="88"/>
      <c r="BUM6" s="88"/>
      <c r="BUN6" s="88"/>
      <c r="BUO6" s="88"/>
      <c r="BUP6" s="88"/>
      <c r="BUQ6" s="88"/>
      <c r="BUR6" s="88"/>
      <c r="BUS6" s="88"/>
      <c r="BUT6" s="88"/>
      <c r="BUU6" s="88"/>
      <c r="BUV6" s="88"/>
      <c r="BUW6" s="88"/>
      <c r="BUX6" s="88"/>
      <c r="BUY6" s="88"/>
      <c r="BUZ6" s="88"/>
      <c r="BVA6" s="88"/>
      <c r="BVB6" s="88"/>
      <c r="BVC6" s="88"/>
      <c r="BVD6" s="88"/>
      <c r="BVE6" s="88"/>
      <c r="BVF6" s="88"/>
      <c r="BVG6" s="88"/>
      <c r="BVH6" s="88"/>
      <c r="BVI6" s="88"/>
      <c r="BVJ6" s="88"/>
      <c r="BVK6" s="88"/>
      <c r="BVL6" s="88"/>
      <c r="BVM6" s="88"/>
      <c r="BVN6" s="88"/>
      <c r="BVO6" s="88"/>
      <c r="BVP6" s="88"/>
      <c r="BVQ6" s="88"/>
      <c r="BVR6" s="88"/>
      <c r="BVS6" s="88"/>
      <c r="BVT6" s="88"/>
      <c r="BVU6" s="88"/>
      <c r="BVV6" s="88"/>
      <c r="BVW6" s="88"/>
      <c r="BVX6" s="88"/>
      <c r="BVY6" s="88"/>
      <c r="BVZ6" s="88"/>
      <c r="BWA6" s="88"/>
      <c r="BWB6" s="88"/>
      <c r="BWC6" s="88"/>
      <c r="BWD6" s="88"/>
      <c r="BWE6" s="88"/>
      <c r="BWF6" s="88"/>
      <c r="BWG6" s="88"/>
      <c r="BWH6" s="88"/>
      <c r="BWI6" s="88"/>
      <c r="BWJ6" s="88"/>
      <c r="BWK6" s="88"/>
      <c r="BWL6" s="88"/>
      <c r="BWM6" s="88"/>
      <c r="BWN6" s="88"/>
      <c r="BWO6" s="88"/>
      <c r="BWP6" s="88"/>
      <c r="BWQ6" s="88"/>
      <c r="BWR6" s="88"/>
      <c r="BWS6" s="88"/>
      <c r="BWT6" s="88"/>
      <c r="BWU6" s="88"/>
      <c r="BWV6" s="88"/>
      <c r="BWW6" s="88"/>
      <c r="BWX6" s="88"/>
      <c r="BWY6" s="88"/>
      <c r="BWZ6" s="88"/>
      <c r="BXA6" s="88"/>
      <c r="BXB6" s="88"/>
      <c r="BXC6" s="88"/>
      <c r="BXD6" s="88"/>
      <c r="BXE6" s="88"/>
      <c r="BXF6" s="88"/>
      <c r="BXG6" s="88"/>
      <c r="BXH6" s="88"/>
      <c r="BXI6" s="88"/>
      <c r="BXJ6" s="88"/>
      <c r="BXK6" s="88"/>
      <c r="BXL6" s="88"/>
      <c r="BXM6" s="88"/>
      <c r="BXN6" s="88"/>
      <c r="BXO6" s="88"/>
      <c r="BXP6" s="88"/>
      <c r="BXQ6" s="88"/>
      <c r="BXR6" s="88"/>
      <c r="BXS6" s="88"/>
      <c r="BXT6" s="88"/>
      <c r="BXU6" s="88"/>
      <c r="BXV6" s="88"/>
      <c r="BXW6" s="88"/>
      <c r="BXX6" s="88"/>
      <c r="BXY6" s="88"/>
      <c r="BXZ6" s="88"/>
      <c r="BYA6" s="88"/>
      <c r="BYB6" s="88"/>
      <c r="BYC6" s="88"/>
      <c r="BYD6" s="88"/>
      <c r="BYE6" s="88"/>
      <c r="BYF6" s="88"/>
      <c r="BYG6" s="88"/>
      <c r="BYH6" s="88"/>
      <c r="BYI6" s="88"/>
      <c r="BYJ6" s="88"/>
      <c r="BYK6" s="88"/>
      <c r="BYL6" s="88"/>
      <c r="BYM6" s="88"/>
      <c r="BYN6" s="88"/>
      <c r="BYO6" s="88"/>
      <c r="BYP6" s="88"/>
      <c r="BYQ6" s="88"/>
      <c r="BYR6" s="88"/>
      <c r="BYS6" s="88"/>
      <c r="BYT6" s="88"/>
      <c r="BYU6" s="88"/>
      <c r="BYV6" s="88"/>
      <c r="BYW6" s="88"/>
      <c r="BYX6" s="88"/>
      <c r="BYY6" s="88"/>
      <c r="BYZ6" s="88"/>
      <c r="BZA6" s="88"/>
      <c r="BZB6" s="88"/>
      <c r="BZC6" s="88"/>
      <c r="BZD6" s="88"/>
      <c r="BZE6" s="88"/>
      <c r="BZF6" s="88"/>
      <c r="BZG6" s="88"/>
      <c r="BZH6" s="88"/>
      <c r="BZI6" s="88"/>
      <c r="BZJ6" s="88"/>
      <c r="BZK6" s="88"/>
      <c r="BZL6" s="88"/>
      <c r="BZM6" s="88"/>
      <c r="BZN6" s="88"/>
      <c r="BZO6" s="88"/>
      <c r="BZP6" s="88"/>
      <c r="BZQ6" s="88"/>
      <c r="BZR6" s="88"/>
      <c r="BZS6" s="88"/>
      <c r="BZT6" s="88"/>
      <c r="BZU6" s="88"/>
      <c r="BZV6" s="88"/>
      <c r="BZW6" s="88"/>
      <c r="BZX6" s="88"/>
      <c r="BZY6" s="88"/>
      <c r="BZZ6" s="88"/>
      <c r="CAA6" s="88"/>
      <c r="CAB6" s="88"/>
      <c r="CAC6" s="88"/>
      <c r="CAD6" s="88"/>
      <c r="CAE6" s="88"/>
      <c r="CAF6" s="88"/>
      <c r="CAG6" s="88"/>
      <c r="CAH6" s="88"/>
      <c r="CAI6" s="88"/>
      <c r="CAJ6" s="88"/>
      <c r="CAK6" s="88"/>
      <c r="CAL6" s="88"/>
      <c r="CAM6" s="88"/>
      <c r="CAN6" s="88"/>
      <c r="CAO6" s="88"/>
      <c r="CAP6" s="88"/>
      <c r="CAQ6" s="88"/>
      <c r="CAR6" s="88"/>
      <c r="CAS6" s="88"/>
      <c r="CAT6" s="88"/>
      <c r="CAU6" s="88"/>
      <c r="CAV6" s="88"/>
      <c r="CAW6" s="88"/>
      <c r="CAX6" s="88"/>
      <c r="CAY6" s="88"/>
      <c r="CAZ6" s="88"/>
      <c r="CBA6" s="88"/>
      <c r="CBB6" s="88"/>
      <c r="CBC6" s="88"/>
      <c r="CBD6" s="88"/>
      <c r="CBE6" s="88"/>
      <c r="CBF6" s="88"/>
      <c r="CBG6" s="88"/>
      <c r="CBH6" s="88"/>
      <c r="CBI6" s="88"/>
      <c r="CBJ6" s="88"/>
      <c r="CBK6" s="88"/>
      <c r="CBL6" s="88"/>
      <c r="CBM6" s="88"/>
      <c r="CBN6" s="88"/>
      <c r="CBO6" s="88"/>
      <c r="CBP6" s="88"/>
      <c r="CBQ6" s="88"/>
      <c r="CBR6" s="88"/>
      <c r="CBS6" s="88"/>
      <c r="CBT6" s="88"/>
      <c r="CBU6" s="88"/>
      <c r="CBV6" s="88"/>
      <c r="CBW6" s="88"/>
      <c r="CBX6" s="88"/>
      <c r="CBY6" s="88"/>
      <c r="CBZ6" s="90"/>
    </row>
    <row r="7" spans="1:2106" ht="20.100000000000001" customHeight="1" thickBot="1" x14ac:dyDescent="0.3">
      <c r="B7" s="96"/>
      <c r="C7" s="169"/>
      <c r="D7" s="169"/>
      <c r="E7" s="169"/>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88"/>
      <c r="BLW7" s="88"/>
      <c r="BLX7" s="88"/>
      <c r="BLY7" s="88"/>
      <c r="BLZ7" s="88"/>
      <c r="BMA7" s="88"/>
      <c r="BMB7" s="88"/>
      <c r="BMC7" s="88"/>
      <c r="BMD7" s="88"/>
      <c r="BME7" s="88"/>
      <c r="BMF7" s="88"/>
      <c r="BMG7" s="88"/>
      <c r="BMH7" s="88"/>
      <c r="BMI7" s="88"/>
      <c r="BMJ7" s="88"/>
      <c r="BMK7" s="88"/>
      <c r="BML7" s="88"/>
      <c r="BMM7" s="88"/>
      <c r="BMN7" s="88"/>
      <c r="BMO7" s="88"/>
      <c r="BMP7" s="88"/>
      <c r="BMQ7" s="88"/>
      <c r="BMR7" s="88"/>
      <c r="BMS7" s="88"/>
      <c r="BMT7" s="88"/>
      <c r="BMU7" s="88"/>
      <c r="BMV7" s="88"/>
      <c r="BMW7" s="88"/>
      <c r="BMX7" s="88"/>
      <c r="BMY7" s="88"/>
      <c r="BMZ7" s="88"/>
      <c r="BNA7" s="88"/>
      <c r="BNB7" s="88"/>
      <c r="BNC7" s="88"/>
      <c r="BND7" s="88"/>
      <c r="BNE7" s="88"/>
      <c r="BNF7" s="88"/>
      <c r="BNG7" s="88"/>
      <c r="BNH7" s="88"/>
      <c r="BNI7" s="88"/>
      <c r="BNJ7" s="88"/>
      <c r="BNK7" s="88"/>
      <c r="BNL7" s="88"/>
      <c r="BNM7" s="88"/>
      <c r="BNN7" s="88"/>
      <c r="BNO7" s="88"/>
      <c r="BNP7" s="88"/>
      <c r="BNQ7" s="88"/>
      <c r="BNR7" s="88"/>
      <c r="BNS7" s="88"/>
      <c r="BNT7" s="88"/>
      <c r="BNU7" s="88"/>
      <c r="BNV7" s="88"/>
      <c r="BNW7" s="88"/>
      <c r="BNX7" s="88"/>
      <c r="BNY7" s="88"/>
      <c r="BNZ7" s="88"/>
      <c r="BOA7" s="88"/>
      <c r="BOB7" s="88"/>
      <c r="BOC7" s="88"/>
      <c r="BOD7" s="88"/>
      <c r="BOE7" s="88"/>
      <c r="BOF7" s="88"/>
      <c r="BOG7" s="88"/>
      <c r="BOH7" s="88"/>
      <c r="BOI7" s="88"/>
      <c r="BOJ7" s="88"/>
      <c r="BOK7" s="88"/>
      <c r="BOL7" s="88"/>
      <c r="BOM7" s="88"/>
      <c r="BON7" s="88"/>
      <c r="BOO7" s="88"/>
      <c r="BOP7" s="88"/>
      <c r="BOQ7" s="88"/>
      <c r="BOR7" s="88"/>
      <c r="BOS7" s="88"/>
      <c r="BOT7" s="88"/>
      <c r="BOU7" s="88"/>
      <c r="BOV7" s="88"/>
      <c r="BOW7" s="88"/>
      <c r="BOX7" s="88"/>
      <c r="BOY7" s="88"/>
      <c r="BOZ7" s="88"/>
      <c r="BPA7" s="88"/>
      <c r="BPB7" s="88"/>
      <c r="BPC7" s="88"/>
      <c r="BPD7" s="88"/>
      <c r="BPE7" s="88"/>
      <c r="BPF7" s="88"/>
      <c r="BPG7" s="88"/>
      <c r="BPH7" s="88"/>
      <c r="BPI7" s="88"/>
      <c r="BPJ7" s="88"/>
      <c r="BPK7" s="88"/>
      <c r="BPL7" s="88"/>
      <c r="BPM7" s="88"/>
      <c r="BPN7" s="88"/>
      <c r="BPO7" s="88"/>
      <c r="BPP7" s="88"/>
      <c r="BPQ7" s="88"/>
      <c r="BPR7" s="88"/>
      <c r="BPS7" s="88"/>
      <c r="BPT7" s="88"/>
      <c r="BPU7" s="88"/>
      <c r="BPV7" s="88"/>
      <c r="BPW7" s="88"/>
      <c r="BPX7" s="88"/>
      <c r="BPY7" s="88"/>
      <c r="BPZ7" s="88"/>
      <c r="BQA7" s="88"/>
      <c r="BQB7" s="88"/>
      <c r="BQC7" s="88"/>
      <c r="BQD7" s="88"/>
      <c r="BQE7" s="88"/>
      <c r="BQF7" s="88"/>
      <c r="BQG7" s="88"/>
      <c r="BQH7" s="88"/>
      <c r="BQI7" s="88"/>
      <c r="BQJ7" s="88"/>
      <c r="BQK7" s="88"/>
      <c r="BQL7" s="88"/>
      <c r="BQM7" s="88"/>
      <c r="BQN7" s="88"/>
      <c r="BQO7" s="88"/>
      <c r="BQP7" s="88"/>
      <c r="BQQ7" s="88"/>
      <c r="BQR7" s="88"/>
      <c r="BQS7" s="88"/>
      <c r="BQT7" s="88"/>
      <c r="BQU7" s="88"/>
      <c r="BQV7" s="88"/>
      <c r="BQW7" s="88"/>
      <c r="BQX7" s="88"/>
      <c r="BQY7" s="88"/>
      <c r="BQZ7" s="88"/>
      <c r="BRA7" s="88"/>
      <c r="BRB7" s="88"/>
      <c r="BRC7" s="88"/>
      <c r="BRD7" s="88"/>
      <c r="BRE7" s="88"/>
      <c r="BRF7" s="88"/>
      <c r="BRG7" s="88"/>
      <c r="BRH7" s="88"/>
      <c r="BRI7" s="88"/>
      <c r="BRJ7" s="88"/>
      <c r="BRK7" s="88"/>
      <c r="BRL7" s="88"/>
      <c r="BRM7" s="88"/>
      <c r="BRN7" s="88"/>
      <c r="BRO7" s="88"/>
      <c r="BRP7" s="88"/>
      <c r="BRQ7" s="88"/>
      <c r="BRR7" s="88"/>
      <c r="BRS7" s="88"/>
      <c r="BRT7" s="88"/>
      <c r="BRU7" s="88"/>
      <c r="BRV7" s="88"/>
      <c r="BRW7" s="88"/>
      <c r="BRX7" s="88"/>
      <c r="BRY7" s="88"/>
      <c r="BRZ7" s="88"/>
      <c r="BSA7" s="88"/>
      <c r="BSB7" s="88"/>
      <c r="BSC7" s="88"/>
      <c r="BSD7" s="88"/>
      <c r="BSE7" s="88"/>
      <c r="BSF7" s="88"/>
      <c r="BSG7" s="88"/>
      <c r="BSH7" s="88"/>
      <c r="BSI7" s="88"/>
      <c r="BSJ7" s="88"/>
      <c r="BSK7" s="88"/>
      <c r="BSL7" s="88"/>
      <c r="BSM7" s="88"/>
      <c r="BSN7" s="88"/>
      <c r="BSO7" s="88"/>
      <c r="BSP7" s="88"/>
      <c r="BSQ7" s="88"/>
      <c r="BSR7" s="88"/>
      <c r="BSS7" s="88"/>
      <c r="BST7" s="88"/>
      <c r="BSU7" s="88"/>
      <c r="BSV7" s="88"/>
      <c r="BSW7" s="88"/>
      <c r="BSX7" s="88"/>
      <c r="BSY7" s="88"/>
      <c r="BSZ7" s="88"/>
      <c r="BTA7" s="88"/>
      <c r="BTB7" s="88"/>
      <c r="BTC7" s="88"/>
      <c r="BTD7" s="88"/>
      <c r="BTE7" s="88"/>
      <c r="BTF7" s="88"/>
      <c r="BTG7" s="88"/>
      <c r="BTH7" s="88"/>
      <c r="BTI7" s="88"/>
      <c r="BTJ7" s="88"/>
      <c r="BTK7" s="88"/>
      <c r="BTL7" s="88"/>
      <c r="BTM7" s="88"/>
      <c r="BTN7" s="88"/>
      <c r="BTO7" s="88"/>
      <c r="BTP7" s="88"/>
      <c r="BTQ7" s="88"/>
      <c r="BTR7" s="88"/>
      <c r="BTS7" s="88"/>
      <c r="BTT7" s="88"/>
      <c r="BTU7" s="88"/>
      <c r="BTV7" s="88"/>
      <c r="BTW7" s="88"/>
      <c r="BTX7" s="88"/>
      <c r="BTY7" s="88"/>
      <c r="BTZ7" s="88"/>
      <c r="BUA7" s="88"/>
      <c r="BUB7" s="88"/>
      <c r="BUC7" s="88"/>
      <c r="BUD7" s="88"/>
      <c r="BUE7" s="88"/>
      <c r="BUF7" s="88"/>
      <c r="BUG7" s="88"/>
      <c r="BUH7" s="88"/>
      <c r="BUI7" s="88"/>
      <c r="BUJ7" s="88"/>
      <c r="BUK7" s="88"/>
      <c r="BUL7" s="88"/>
      <c r="BUM7" s="88"/>
      <c r="BUN7" s="88"/>
      <c r="BUO7" s="88"/>
      <c r="BUP7" s="88"/>
      <c r="BUQ7" s="88"/>
      <c r="BUR7" s="88"/>
      <c r="BUS7" s="88"/>
      <c r="BUT7" s="88"/>
      <c r="BUU7" s="88"/>
      <c r="BUV7" s="88"/>
      <c r="BUW7" s="88"/>
      <c r="BUX7" s="88"/>
      <c r="BUY7" s="88"/>
      <c r="BUZ7" s="88"/>
      <c r="BVA7" s="88"/>
      <c r="BVB7" s="88"/>
      <c r="BVC7" s="88"/>
      <c r="BVD7" s="88"/>
      <c r="BVE7" s="88"/>
      <c r="BVF7" s="88"/>
      <c r="BVG7" s="88"/>
      <c r="BVH7" s="88"/>
      <c r="BVI7" s="88"/>
      <c r="BVJ7" s="88"/>
      <c r="BVK7" s="88"/>
      <c r="BVL7" s="88"/>
      <c r="BVM7" s="88"/>
      <c r="BVN7" s="88"/>
      <c r="BVO7" s="88"/>
      <c r="BVP7" s="88"/>
      <c r="BVQ7" s="88"/>
      <c r="BVR7" s="88"/>
      <c r="BVS7" s="88"/>
      <c r="BVT7" s="88"/>
      <c r="BVU7" s="88"/>
      <c r="BVV7" s="88"/>
      <c r="BVW7" s="88"/>
      <c r="BVX7" s="88"/>
      <c r="BVY7" s="88"/>
      <c r="BVZ7" s="88"/>
      <c r="BWA7" s="88"/>
      <c r="BWB7" s="88"/>
      <c r="BWC7" s="88"/>
      <c r="BWD7" s="88"/>
      <c r="BWE7" s="88"/>
      <c r="BWF7" s="88"/>
      <c r="BWG7" s="88"/>
      <c r="BWH7" s="88"/>
      <c r="BWI7" s="88"/>
      <c r="BWJ7" s="88"/>
      <c r="BWK7" s="88"/>
      <c r="BWL7" s="88"/>
      <c r="BWM7" s="88"/>
      <c r="BWN7" s="88"/>
      <c r="BWO7" s="88"/>
      <c r="BWP7" s="88"/>
      <c r="BWQ7" s="88"/>
      <c r="BWR7" s="88"/>
      <c r="BWS7" s="88"/>
      <c r="BWT7" s="88"/>
      <c r="BWU7" s="88"/>
      <c r="BWV7" s="88"/>
      <c r="BWW7" s="88"/>
      <c r="BWX7" s="88"/>
      <c r="BWY7" s="88"/>
      <c r="BWZ7" s="88"/>
      <c r="BXA7" s="88"/>
      <c r="BXB7" s="88"/>
      <c r="BXC7" s="88"/>
      <c r="BXD7" s="88"/>
      <c r="BXE7" s="88"/>
      <c r="BXF7" s="88"/>
      <c r="BXG7" s="88"/>
      <c r="BXH7" s="88"/>
      <c r="BXI7" s="88"/>
      <c r="BXJ7" s="88"/>
      <c r="BXK7" s="88"/>
      <c r="BXL7" s="88"/>
      <c r="BXM7" s="88"/>
      <c r="BXN7" s="88"/>
      <c r="BXO7" s="88"/>
      <c r="BXP7" s="88"/>
      <c r="BXQ7" s="88"/>
      <c r="BXR7" s="88"/>
      <c r="BXS7" s="88"/>
      <c r="BXT7" s="88"/>
      <c r="BXU7" s="88"/>
      <c r="BXV7" s="88"/>
      <c r="BXW7" s="88"/>
      <c r="BXX7" s="88"/>
      <c r="BXY7" s="88"/>
      <c r="BXZ7" s="88"/>
      <c r="BYA7" s="88"/>
      <c r="BYB7" s="88"/>
      <c r="BYC7" s="88"/>
      <c r="BYD7" s="88"/>
      <c r="BYE7" s="88"/>
      <c r="BYF7" s="88"/>
      <c r="BYG7" s="88"/>
      <c r="BYH7" s="88"/>
      <c r="BYI7" s="88"/>
      <c r="BYJ7" s="88"/>
      <c r="BYK7" s="88"/>
      <c r="BYL7" s="88"/>
      <c r="BYM7" s="88"/>
      <c r="BYN7" s="88"/>
      <c r="BYO7" s="88"/>
      <c r="BYP7" s="88"/>
      <c r="BYQ7" s="88"/>
      <c r="BYR7" s="88"/>
      <c r="BYS7" s="88"/>
      <c r="BYT7" s="88"/>
      <c r="BYU7" s="88"/>
      <c r="BYV7" s="88"/>
      <c r="BYW7" s="88"/>
      <c r="BYX7" s="88"/>
      <c r="BYY7" s="88"/>
      <c r="BYZ7" s="88"/>
      <c r="BZA7" s="88"/>
      <c r="BZB7" s="88"/>
      <c r="BZC7" s="88"/>
      <c r="BZD7" s="88"/>
      <c r="BZE7" s="88"/>
      <c r="BZF7" s="88"/>
      <c r="BZG7" s="88"/>
      <c r="BZH7" s="88"/>
      <c r="BZI7" s="88"/>
      <c r="BZJ7" s="88"/>
      <c r="BZK7" s="88"/>
      <c r="BZL7" s="88"/>
      <c r="BZM7" s="88"/>
      <c r="BZN7" s="88"/>
      <c r="BZO7" s="88"/>
      <c r="BZP7" s="88"/>
      <c r="BZQ7" s="88"/>
      <c r="BZR7" s="88"/>
      <c r="BZS7" s="88"/>
      <c r="BZT7" s="88"/>
      <c r="BZU7" s="88"/>
      <c r="BZV7" s="88"/>
      <c r="BZW7" s="88"/>
      <c r="BZX7" s="88"/>
      <c r="BZY7" s="88"/>
      <c r="BZZ7" s="88"/>
      <c r="CAA7" s="88"/>
      <c r="CAB7" s="88"/>
      <c r="CAC7" s="88"/>
      <c r="CAD7" s="88"/>
      <c r="CAE7" s="88"/>
      <c r="CAF7" s="88"/>
      <c r="CAG7" s="88"/>
      <c r="CAH7" s="88"/>
      <c r="CAI7" s="88"/>
      <c r="CAJ7" s="88"/>
      <c r="CAK7" s="88"/>
      <c r="CAL7" s="88"/>
      <c r="CAM7" s="88"/>
      <c r="CAN7" s="88"/>
      <c r="CAO7" s="88"/>
      <c r="CAP7" s="88"/>
      <c r="CAQ7" s="88"/>
      <c r="CAR7" s="88"/>
      <c r="CAS7" s="88"/>
      <c r="CAT7" s="88"/>
      <c r="CAU7" s="88"/>
      <c r="CAV7" s="88"/>
      <c r="CAW7" s="88"/>
      <c r="CAX7" s="88"/>
      <c r="CAY7" s="88"/>
      <c r="CAZ7" s="88"/>
      <c r="CBA7" s="88"/>
      <c r="CBB7" s="88"/>
      <c r="CBC7" s="88"/>
      <c r="CBD7" s="88"/>
      <c r="CBE7" s="88"/>
      <c r="CBF7" s="88"/>
      <c r="CBG7" s="88"/>
      <c r="CBH7" s="88"/>
      <c r="CBI7" s="88"/>
      <c r="CBJ7" s="88"/>
      <c r="CBK7" s="88"/>
      <c r="CBL7" s="88"/>
      <c r="CBM7" s="88"/>
      <c r="CBN7" s="88"/>
      <c r="CBO7" s="88"/>
      <c r="CBP7" s="88"/>
      <c r="CBQ7" s="88"/>
      <c r="CBR7" s="88"/>
      <c r="CBS7" s="88"/>
      <c r="CBT7" s="88"/>
      <c r="CBU7" s="88"/>
      <c r="CBV7" s="88"/>
      <c r="CBW7" s="88"/>
      <c r="CBX7" s="88"/>
      <c r="CBY7" s="88"/>
      <c r="CBZ7" s="90"/>
    </row>
    <row r="8" spans="1:2106" ht="30" customHeight="1" x14ac:dyDescent="0.25">
      <c r="B8" s="96"/>
      <c r="C8" s="7" t="s">
        <v>3</v>
      </c>
      <c r="D8" s="141"/>
      <c r="E8" s="8" t="s">
        <v>104</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88"/>
      <c r="BLW8" s="88"/>
      <c r="BLX8" s="88"/>
      <c r="BLY8" s="88"/>
      <c r="BLZ8" s="88"/>
      <c r="BMA8" s="88"/>
      <c r="BMB8" s="88"/>
      <c r="BMC8" s="88"/>
      <c r="BMD8" s="88"/>
      <c r="BME8" s="88"/>
      <c r="BMF8" s="88"/>
      <c r="BMG8" s="88"/>
      <c r="BMH8" s="88"/>
      <c r="BMI8" s="88"/>
      <c r="BMJ8" s="88"/>
      <c r="BMK8" s="88"/>
      <c r="BML8" s="88"/>
      <c r="BMM8" s="88"/>
      <c r="BMN8" s="88"/>
      <c r="BMO8" s="88"/>
      <c r="BMP8" s="88"/>
      <c r="BMQ8" s="88"/>
      <c r="BMR8" s="88"/>
      <c r="BMS8" s="88"/>
      <c r="BMT8" s="88"/>
      <c r="BMU8" s="88"/>
      <c r="BMV8" s="88"/>
      <c r="BMW8" s="88"/>
      <c r="BMX8" s="88"/>
      <c r="BMY8" s="88"/>
      <c r="BMZ8" s="88"/>
      <c r="BNA8" s="88"/>
      <c r="BNB8" s="88"/>
      <c r="BNC8" s="88"/>
      <c r="BND8" s="88"/>
      <c r="BNE8" s="88"/>
      <c r="BNF8" s="88"/>
      <c r="BNG8" s="88"/>
      <c r="BNH8" s="88"/>
      <c r="BNI8" s="88"/>
      <c r="BNJ8" s="88"/>
      <c r="BNK8" s="88"/>
      <c r="BNL8" s="88"/>
      <c r="BNM8" s="88"/>
      <c r="BNN8" s="88"/>
      <c r="BNO8" s="88"/>
      <c r="BNP8" s="88"/>
      <c r="BNQ8" s="88"/>
      <c r="BNR8" s="88"/>
      <c r="BNS8" s="88"/>
      <c r="BNT8" s="88"/>
      <c r="BNU8" s="88"/>
      <c r="BNV8" s="88"/>
      <c r="BNW8" s="88"/>
      <c r="BNX8" s="88"/>
      <c r="BNY8" s="88"/>
      <c r="BNZ8" s="88"/>
      <c r="BOA8" s="88"/>
      <c r="BOB8" s="88"/>
      <c r="BOC8" s="88"/>
      <c r="BOD8" s="88"/>
      <c r="BOE8" s="88"/>
      <c r="BOF8" s="88"/>
      <c r="BOG8" s="88"/>
      <c r="BOH8" s="88"/>
      <c r="BOI8" s="88"/>
      <c r="BOJ8" s="88"/>
      <c r="BOK8" s="88"/>
      <c r="BOL8" s="88"/>
      <c r="BOM8" s="88"/>
      <c r="BON8" s="88"/>
      <c r="BOO8" s="88"/>
      <c r="BOP8" s="88"/>
      <c r="BOQ8" s="88"/>
      <c r="BOR8" s="88"/>
      <c r="BOS8" s="88"/>
      <c r="BOT8" s="88"/>
      <c r="BOU8" s="88"/>
      <c r="BOV8" s="88"/>
      <c r="BOW8" s="88"/>
      <c r="BOX8" s="88"/>
      <c r="BOY8" s="88"/>
      <c r="BOZ8" s="88"/>
      <c r="BPA8" s="88"/>
      <c r="BPB8" s="88"/>
      <c r="BPC8" s="88"/>
      <c r="BPD8" s="88"/>
      <c r="BPE8" s="88"/>
      <c r="BPF8" s="88"/>
      <c r="BPG8" s="88"/>
      <c r="BPH8" s="88"/>
      <c r="BPI8" s="88"/>
      <c r="BPJ8" s="88"/>
      <c r="BPK8" s="88"/>
      <c r="BPL8" s="88"/>
      <c r="BPM8" s="88"/>
      <c r="BPN8" s="88"/>
      <c r="BPO8" s="88"/>
      <c r="BPP8" s="88"/>
      <c r="BPQ8" s="88"/>
      <c r="BPR8" s="88"/>
      <c r="BPS8" s="88"/>
      <c r="BPT8" s="88"/>
      <c r="BPU8" s="88"/>
      <c r="BPV8" s="88"/>
      <c r="BPW8" s="88"/>
      <c r="BPX8" s="88"/>
      <c r="BPY8" s="88"/>
      <c r="BPZ8" s="88"/>
      <c r="BQA8" s="88"/>
      <c r="BQB8" s="88"/>
      <c r="BQC8" s="88"/>
      <c r="BQD8" s="88"/>
      <c r="BQE8" s="88"/>
      <c r="BQF8" s="88"/>
      <c r="BQG8" s="88"/>
      <c r="BQH8" s="88"/>
      <c r="BQI8" s="88"/>
      <c r="BQJ8" s="88"/>
      <c r="BQK8" s="88"/>
      <c r="BQL8" s="88"/>
      <c r="BQM8" s="88"/>
      <c r="BQN8" s="88"/>
      <c r="BQO8" s="88"/>
      <c r="BQP8" s="88"/>
      <c r="BQQ8" s="88"/>
      <c r="BQR8" s="88"/>
      <c r="BQS8" s="88"/>
      <c r="BQT8" s="88"/>
      <c r="BQU8" s="88"/>
      <c r="BQV8" s="88"/>
      <c r="BQW8" s="88"/>
      <c r="BQX8" s="88"/>
      <c r="BQY8" s="88"/>
      <c r="BQZ8" s="88"/>
      <c r="BRA8" s="88"/>
      <c r="BRB8" s="88"/>
      <c r="BRC8" s="88"/>
      <c r="BRD8" s="88"/>
      <c r="BRE8" s="88"/>
      <c r="BRF8" s="88"/>
      <c r="BRG8" s="88"/>
      <c r="BRH8" s="88"/>
      <c r="BRI8" s="88"/>
      <c r="BRJ8" s="88"/>
      <c r="BRK8" s="88"/>
      <c r="BRL8" s="88"/>
      <c r="BRM8" s="88"/>
      <c r="BRN8" s="88"/>
      <c r="BRO8" s="88"/>
      <c r="BRP8" s="88"/>
      <c r="BRQ8" s="88"/>
      <c r="BRR8" s="88"/>
      <c r="BRS8" s="88"/>
      <c r="BRT8" s="88"/>
      <c r="BRU8" s="88"/>
      <c r="BRV8" s="88"/>
      <c r="BRW8" s="88"/>
      <c r="BRX8" s="88"/>
      <c r="BRY8" s="88"/>
      <c r="BRZ8" s="88"/>
      <c r="BSA8" s="88"/>
      <c r="BSB8" s="88"/>
      <c r="BSC8" s="88"/>
      <c r="BSD8" s="88"/>
      <c r="BSE8" s="88"/>
      <c r="BSF8" s="88"/>
      <c r="BSG8" s="88"/>
      <c r="BSH8" s="88"/>
      <c r="BSI8" s="88"/>
      <c r="BSJ8" s="88"/>
      <c r="BSK8" s="88"/>
      <c r="BSL8" s="88"/>
      <c r="BSM8" s="88"/>
      <c r="BSN8" s="88"/>
      <c r="BSO8" s="88"/>
      <c r="BSP8" s="88"/>
      <c r="BSQ8" s="88"/>
      <c r="BSR8" s="88"/>
      <c r="BSS8" s="88"/>
      <c r="BST8" s="88"/>
      <c r="BSU8" s="88"/>
      <c r="BSV8" s="88"/>
      <c r="BSW8" s="88"/>
      <c r="BSX8" s="88"/>
      <c r="BSY8" s="88"/>
      <c r="BSZ8" s="88"/>
      <c r="BTA8" s="88"/>
      <c r="BTB8" s="88"/>
      <c r="BTC8" s="88"/>
      <c r="BTD8" s="88"/>
      <c r="BTE8" s="88"/>
      <c r="BTF8" s="88"/>
      <c r="BTG8" s="88"/>
      <c r="BTH8" s="88"/>
      <c r="BTI8" s="88"/>
      <c r="BTJ8" s="88"/>
      <c r="BTK8" s="88"/>
      <c r="BTL8" s="88"/>
      <c r="BTM8" s="88"/>
      <c r="BTN8" s="88"/>
      <c r="BTO8" s="88"/>
      <c r="BTP8" s="88"/>
      <c r="BTQ8" s="88"/>
      <c r="BTR8" s="88"/>
      <c r="BTS8" s="88"/>
      <c r="BTT8" s="88"/>
      <c r="BTU8" s="88"/>
      <c r="BTV8" s="88"/>
      <c r="BTW8" s="88"/>
      <c r="BTX8" s="88"/>
      <c r="BTY8" s="88"/>
      <c r="BTZ8" s="88"/>
      <c r="BUA8" s="88"/>
      <c r="BUB8" s="88"/>
      <c r="BUC8" s="88"/>
      <c r="BUD8" s="88"/>
      <c r="BUE8" s="88"/>
      <c r="BUF8" s="88"/>
      <c r="BUG8" s="88"/>
      <c r="BUH8" s="88"/>
      <c r="BUI8" s="88"/>
      <c r="BUJ8" s="88"/>
      <c r="BUK8" s="88"/>
      <c r="BUL8" s="88"/>
      <c r="BUM8" s="88"/>
      <c r="BUN8" s="88"/>
      <c r="BUO8" s="88"/>
      <c r="BUP8" s="88"/>
      <c r="BUQ8" s="88"/>
      <c r="BUR8" s="88"/>
      <c r="BUS8" s="88"/>
      <c r="BUT8" s="88"/>
      <c r="BUU8" s="88"/>
      <c r="BUV8" s="88"/>
      <c r="BUW8" s="88"/>
      <c r="BUX8" s="88"/>
      <c r="BUY8" s="88"/>
      <c r="BUZ8" s="88"/>
      <c r="BVA8" s="88"/>
      <c r="BVB8" s="88"/>
      <c r="BVC8" s="88"/>
      <c r="BVD8" s="88"/>
      <c r="BVE8" s="88"/>
      <c r="BVF8" s="88"/>
      <c r="BVG8" s="88"/>
      <c r="BVH8" s="88"/>
      <c r="BVI8" s="88"/>
      <c r="BVJ8" s="88"/>
      <c r="BVK8" s="88"/>
      <c r="BVL8" s="88"/>
      <c r="BVM8" s="88"/>
      <c r="BVN8" s="88"/>
      <c r="BVO8" s="88"/>
      <c r="BVP8" s="88"/>
      <c r="BVQ8" s="88"/>
      <c r="BVR8" s="88"/>
      <c r="BVS8" s="88"/>
      <c r="BVT8" s="88"/>
      <c r="BVU8" s="88"/>
      <c r="BVV8" s="88"/>
      <c r="BVW8" s="88"/>
      <c r="BVX8" s="88"/>
      <c r="BVY8" s="88"/>
      <c r="BVZ8" s="88"/>
      <c r="BWA8" s="88"/>
      <c r="BWB8" s="88"/>
      <c r="BWC8" s="88"/>
      <c r="BWD8" s="88"/>
      <c r="BWE8" s="88"/>
      <c r="BWF8" s="88"/>
      <c r="BWG8" s="88"/>
      <c r="BWH8" s="88"/>
      <c r="BWI8" s="88"/>
      <c r="BWJ8" s="88"/>
      <c r="BWK8" s="88"/>
      <c r="BWL8" s="88"/>
      <c r="BWM8" s="88"/>
      <c r="BWN8" s="88"/>
      <c r="BWO8" s="88"/>
      <c r="BWP8" s="88"/>
      <c r="BWQ8" s="88"/>
      <c r="BWR8" s="88"/>
      <c r="BWS8" s="88"/>
      <c r="BWT8" s="88"/>
      <c r="BWU8" s="88"/>
      <c r="BWV8" s="88"/>
      <c r="BWW8" s="88"/>
      <c r="BWX8" s="88"/>
      <c r="BWY8" s="88"/>
      <c r="BWZ8" s="88"/>
      <c r="BXA8" s="88"/>
      <c r="BXB8" s="88"/>
      <c r="BXC8" s="88"/>
      <c r="BXD8" s="88"/>
      <c r="BXE8" s="88"/>
      <c r="BXF8" s="88"/>
      <c r="BXG8" s="88"/>
      <c r="BXH8" s="88"/>
      <c r="BXI8" s="88"/>
      <c r="BXJ8" s="88"/>
      <c r="BXK8" s="88"/>
      <c r="BXL8" s="88"/>
      <c r="BXM8" s="88"/>
      <c r="BXN8" s="88"/>
      <c r="BXO8" s="88"/>
      <c r="BXP8" s="88"/>
      <c r="BXQ8" s="88"/>
      <c r="BXR8" s="88"/>
      <c r="BXS8" s="88"/>
      <c r="BXT8" s="88"/>
      <c r="BXU8" s="88"/>
      <c r="BXV8" s="88"/>
      <c r="BXW8" s="88"/>
      <c r="BXX8" s="88"/>
      <c r="BXY8" s="88"/>
      <c r="BXZ8" s="88"/>
      <c r="BYA8" s="88"/>
      <c r="BYB8" s="88"/>
      <c r="BYC8" s="88"/>
      <c r="BYD8" s="88"/>
      <c r="BYE8" s="88"/>
      <c r="BYF8" s="88"/>
      <c r="BYG8" s="88"/>
      <c r="BYH8" s="88"/>
      <c r="BYI8" s="88"/>
      <c r="BYJ8" s="88"/>
      <c r="BYK8" s="88"/>
      <c r="BYL8" s="88"/>
      <c r="BYM8" s="88"/>
      <c r="BYN8" s="88"/>
      <c r="BYO8" s="88"/>
      <c r="BYP8" s="88"/>
      <c r="BYQ8" s="88"/>
      <c r="BYR8" s="88"/>
      <c r="BYS8" s="88"/>
      <c r="BYT8" s="88"/>
      <c r="BYU8" s="88"/>
      <c r="BYV8" s="88"/>
      <c r="BYW8" s="88"/>
      <c r="BYX8" s="88"/>
      <c r="BYY8" s="88"/>
      <c r="BYZ8" s="88"/>
      <c r="BZA8" s="88"/>
      <c r="BZB8" s="88"/>
      <c r="BZC8" s="88"/>
      <c r="BZD8" s="88"/>
      <c r="BZE8" s="88"/>
      <c r="BZF8" s="88"/>
      <c r="BZG8" s="88"/>
      <c r="BZH8" s="88"/>
      <c r="BZI8" s="88"/>
      <c r="BZJ8" s="88"/>
      <c r="BZK8" s="88"/>
      <c r="BZL8" s="88"/>
      <c r="BZM8" s="88"/>
      <c r="BZN8" s="88"/>
      <c r="BZO8" s="88"/>
      <c r="BZP8" s="88"/>
      <c r="BZQ8" s="88"/>
      <c r="BZR8" s="88"/>
      <c r="BZS8" s="88"/>
      <c r="BZT8" s="88"/>
      <c r="BZU8" s="88"/>
      <c r="BZV8" s="88"/>
      <c r="BZW8" s="88"/>
      <c r="BZX8" s="88"/>
      <c r="BZY8" s="88"/>
      <c r="BZZ8" s="88"/>
      <c r="CAA8" s="88"/>
      <c r="CAB8" s="88"/>
      <c r="CAC8" s="88"/>
      <c r="CAD8" s="88"/>
      <c r="CAE8" s="88"/>
      <c r="CAF8" s="88"/>
      <c r="CAG8" s="88"/>
      <c r="CAH8" s="88"/>
      <c r="CAI8" s="88"/>
      <c r="CAJ8" s="88"/>
      <c r="CAK8" s="88"/>
      <c r="CAL8" s="88"/>
      <c r="CAM8" s="88"/>
      <c r="CAN8" s="88"/>
      <c r="CAO8" s="88"/>
      <c r="CAP8" s="88"/>
      <c r="CAQ8" s="88"/>
      <c r="CAR8" s="88"/>
      <c r="CAS8" s="88"/>
      <c r="CAT8" s="88"/>
      <c r="CAU8" s="88"/>
      <c r="CAV8" s="88"/>
      <c r="CAW8" s="88"/>
      <c r="CAX8" s="88"/>
      <c r="CAY8" s="88"/>
      <c r="CAZ8" s="88"/>
      <c r="CBA8" s="88"/>
      <c r="CBB8" s="88"/>
      <c r="CBC8" s="88"/>
      <c r="CBD8" s="88"/>
      <c r="CBE8" s="88"/>
      <c r="CBF8" s="88"/>
      <c r="CBG8" s="88"/>
      <c r="CBH8" s="88"/>
      <c r="CBI8" s="88"/>
      <c r="CBJ8" s="88"/>
      <c r="CBK8" s="88"/>
      <c r="CBL8" s="88"/>
      <c r="CBM8" s="88"/>
      <c r="CBN8" s="88"/>
      <c r="CBO8" s="88"/>
      <c r="CBP8" s="88"/>
      <c r="CBQ8" s="88"/>
      <c r="CBR8" s="88"/>
      <c r="CBS8" s="88"/>
      <c r="CBT8" s="88"/>
      <c r="CBU8" s="88"/>
      <c r="CBV8" s="88"/>
      <c r="CBW8" s="88"/>
      <c r="CBX8" s="88"/>
      <c r="CBY8" s="88"/>
      <c r="CBZ8" s="90"/>
    </row>
    <row r="9" spans="1:2106" ht="30" customHeight="1" x14ac:dyDescent="0.25">
      <c r="B9" s="96"/>
      <c r="C9" s="12" t="s">
        <v>20</v>
      </c>
      <c r="D9" s="142"/>
      <c r="E9" s="13" t="s">
        <v>24</v>
      </c>
      <c r="F9" s="14"/>
      <c r="G9" s="173" t="str">
        <f>E96</f>
        <v>0h</v>
      </c>
      <c r="H9" s="173"/>
      <c r="I9" s="173"/>
      <c r="J9" s="173"/>
      <c r="K9" s="173"/>
      <c r="L9" s="173"/>
      <c r="M9" s="173"/>
      <c r="N9" s="173"/>
      <c r="O9" s="173"/>
      <c r="P9" s="173"/>
      <c r="Q9" s="173"/>
      <c r="R9" s="173"/>
      <c r="S9" s="173"/>
      <c r="T9" s="173"/>
      <c r="U9" s="173"/>
      <c r="V9" s="119"/>
      <c r="W9" s="182" t="s">
        <v>25</v>
      </c>
      <c r="X9" s="182"/>
      <c r="Y9" s="182"/>
      <c r="Z9" s="182"/>
      <c r="AA9" s="182"/>
      <c r="AB9" s="182"/>
      <c r="AC9" s="182"/>
      <c r="AD9" s="182"/>
      <c r="AE9" s="182"/>
      <c r="AF9" s="182"/>
      <c r="AG9" s="182"/>
      <c r="AH9" s="173" t="str">
        <f>E98</f>
        <v>0h</v>
      </c>
      <c r="AI9" s="173"/>
      <c r="AJ9" s="173"/>
      <c r="AK9" s="173"/>
      <c r="AL9" s="173"/>
      <c r="AM9" s="173"/>
      <c r="AN9" s="173"/>
      <c r="AO9" s="173"/>
      <c r="AP9" s="173"/>
      <c r="AQ9" s="173"/>
      <c r="AR9" s="173"/>
      <c r="AS9" s="173"/>
      <c r="AT9" s="173"/>
      <c r="AU9" s="173"/>
      <c r="AV9" s="173"/>
      <c r="AW9" s="173"/>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88"/>
      <c r="BLW9" s="88"/>
      <c r="BLX9" s="88"/>
      <c r="BLY9" s="88"/>
      <c r="BLZ9" s="88"/>
      <c r="BMA9" s="88"/>
      <c r="BMB9" s="88"/>
      <c r="BMC9" s="88"/>
      <c r="BMD9" s="88"/>
      <c r="BME9" s="88"/>
      <c r="BMF9" s="88"/>
      <c r="BMG9" s="88"/>
      <c r="BMH9" s="88"/>
      <c r="BMI9" s="88"/>
      <c r="BMJ9" s="88"/>
      <c r="BMK9" s="88"/>
      <c r="BML9" s="88"/>
      <c r="BMM9" s="88"/>
      <c r="BMN9" s="88"/>
      <c r="BMO9" s="88"/>
      <c r="BMP9" s="88"/>
      <c r="BMQ9" s="88"/>
      <c r="BMR9" s="88"/>
      <c r="BMS9" s="88"/>
      <c r="BMT9" s="88"/>
      <c r="BMU9" s="88"/>
      <c r="BMV9" s="88"/>
      <c r="BMW9" s="88"/>
      <c r="BMX9" s="88"/>
      <c r="BMY9" s="88"/>
      <c r="BMZ9" s="88"/>
      <c r="BNA9" s="88"/>
      <c r="BNB9" s="88"/>
      <c r="BNC9" s="88"/>
      <c r="BND9" s="88"/>
      <c r="BNE9" s="88"/>
      <c r="BNF9" s="88"/>
      <c r="BNG9" s="88"/>
      <c r="BNH9" s="88"/>
      <c r="BNI9" s="88"/>
      <c r="BNJ9" s="88"/>
      <c r="BNK9" s="88"/>
      <c r="BNL9" s="88"/>
      <c r="BNM9" s="88"/>
      <c r="BNN9" s="88"/>
      <c r="BNO9" s="88"/>
      <c r="BNP9" s="88"/>
      <c r="BNQ9" s="88"/>
      <c r="BNR9" s="88"/>
      <c r="BNS9" s="88"/>
      <c r="BNT9" s="88"/>
      <c r="BNU9" s="88"/>
      <c r="BNV9" s="88"/>
      <c r="BNW9" s="88"/>
      <c r="BNX9" s="88"/>
      <c r="BNY9" s="88"/>
      <c r="BNZ9" s="88"/>
      <c r="BOA9" s="88"/>
      <c r="BOB9" s="88"/>
      <c r="BOC9" s="88"/>
      <c r="BOD9" s="88"/>
      <c r="BOE9" s="88"/>
      <c r="BOF9" s="88"/>
      <c r="BOG9" s="88"/>
      <c r="BOH9" s="88"/>
      <c r="BOI9" s="88"/>
      <c r="BOJ9" s="88"/>
      <c r="BOK9" s="88"/>
      <c r="BOL9" s="88"/>
      <c r="BOM9" s="88"/>
      <c r="BON9" s="88"/>
      <c r="BOO9" s="88"/>
      <c r="BOP9" s="88"/>
      <c r="BOQ9" s="88"/>
      <c r="BOR9" s="88"/>
      <c r="BOS9" s="88"/>
      <c r="BOT9" s="88"/>
      <c r="BOU9" s="88"/>
      <c r="BOV9" s="88"/>
      <c r="BOW9" s="88"/>
      <c r="BOX9" s="88"/>
      <c r="BOY9" s="88"/>
      <c r="BOZ9" s="88"/>
      <c r="BPA9" s="88"/>
      <c r="BPB9" s="88"/>
      <c r="BPC9" s="88"/>
      <c r="BPD9" s="88"/>
      <c r="BPE9" s="88"/>
      <c r="BPF9" s="88"/>
      <c r="BPG9" s="88"/>
      <c r="BPH9" s="88"/>
      <c r="BPI9" s="88"/>
      <c r="BPJ9" s="88"/>
      <c r="BPK9" s="88"/>
      <c r="BPL9" s="88"/>
      <c r="BPM9" s="88"/>
      <c r="BPN9" s="88"/>
      <c r="BPO9" s="88"/>
      <c r="BPP9" s="88"/>
      <c r="BPQ9" s="88"/>
      <c r="BPR9" s="88"/>
      <c r="BPS9" s="88"/>
      <c r="BPT9" s="88"/>
      <c r="BPU9" s="88"/>
      <c r="BPV9" s="88"/>
      <c r="BPW9" s="88"/>
      <c r="BPX9" s="88"/>
      <c r="BPY9" s="88"/>
      <c r="BPZ9" s="88"/>
      <c r="BQA9" s="88"/>
      <c r="BQB9" s="88"/>
      <c r="BQC9" s="88"/>
      <c r="BQD9" s="88"/>
      <c r="BQE9" s="88"/>
      <c r="BQF9" s="88"/>
      <c r="BQG9" s="88"/>
      <c r="BQH9" s="88"/>
      <c r="BQI9" s="88"/>
      <c r="BQJ9" s="88"/>
      <c r="BQK9" s="88"/>
      <c r="BQL9" s="88"/>
      <c r="BQM9" s="88"/>
      <c r="BQN9" s="88"/>
      <c r="BQO9" s="88"/>
      <c r="BQP9" s="88"/>
      <c r="BQQ9" s="88"/>
      <c r="BQR9" s="88"/>
      <c r="BQS9" s="88"/>
      <c r="BQT9" s="88"/>
      <c r="BQU9" s="88"/>
      <c r="BQV9" s="88"/>
      <c r="BQW9" s="88"/>
      <c r="BQX9" s="88"/>
      <c r="BQY9" s="88"/>
      <c r="BQZ9" s="88"/>
      <c r="BRA9" s="88"/>
      <c r="BRB9" s="88"/>
      <c r="BRC9" s="88"/>
      <c r="BRD9" s="88"/>
      <c r="BRE9" s="88"/>
      <c r="BRF9" s="88"/>
      <c r="BRG9" s="88"/>
      <c r="BRH9" s="88"/>
      <c r="BRI9" s="88"/>
      <c r="BRJ9" s="88"/>
      <c r="BRK9" s="88"/>
      <c r="BRL9" s="88"/>
      <c r="BRM9" s="88"/>
      <c r="BRN9" s="88"/>
      <c r="BRO9" s="88"/>
      <c r="BRP9" s="88"/>
      <c r="BRQ9" s="88"/>
      <c r="BRR9" s="88"/>
      <c r="BRS9" s="88"/>
      <c r="BRT9" s="88"/>
      <c r="BRU9" s="88"/>
      <c r="BRV9" s="88"/>
      <c r="BRW9" s="88"/>
      <c r="BRX9" s="88"/>
      <c r="BRY9" s="88"/>
      <c r="BRZ9" s="88"/>
      <c r="BSA9" s="88"/>
      <c r="BSB9" s="88"/>
      <c r="BSC9" s="88"/>
      <c r="BSD9" s="88"/>
      <c r="BSE9" s="88"/>
      <c r="BSF9" s="88"/>
      <c r="BSG9" s="88"/>
      <c r="BSH9" s="88"/>
      <c r="BSI9" s="88"/>
      <c r="BSJ9" s="88"/>
      <c r="BSK9" s="88"/>
      <c r="BSL9" s="88"/>
      <c r="BSM9" s="88"/>
      <c r="BSN9" s="88"/>
      <c r="BSO9" s="88"/>
      <c r="BSP9" s="88"/>
      <c r="BSQ9" s="88"/>
      <c r="BSR9" s="88"/>
      <c r="BSS9" s="88"/>
      <c r="BST9" s="88"/>
      <c r="BSU9" s="88"/>
      <c r="BSV9" s="88"/>
      <c r="BSW9" s="88"/>
      <c r="BSX9" s="88"/>
      <c r="BSY9" s="88"/>
      <c r="BSZ9" s="88"/>
      <c r="BTA9" s="88"/>
      <c r="BTB9" s="88"/>
      <c r="BTC9" s="88"/>
      <c r="BTD9" s="88"/>
      <c r="BTE9" s="88"/>
      <c r="BTF9" s="88"/>
      <c r="BTG9" s="88"/>
      <c r="BTH9" s="88"/>
      <c r="BTI9" s="88"/>
      <c r="BTJ9" s="88"/>
      <c r="BTK9" s="88"/>
      <c r="BTL9" s="88"/>
      <c r="BTM9" s="88"/>
      <c r="BTN9" s="88"/>
      <c r="BTO9" s="88"/>
      <c r="BTP9" s="88"/>
      <c r="BTQ9" s="88"/>
      <c r="BTR9" s="88"/>
      <c r="BTS9" s="88"/>
      <c r="BTT9" s="88"/>
      <c r="BTU9" s="88"/>
      <c r="BTV9" s="88"/>
      <c r="BTW9" s="88"/>
      <c r="BTX9" s="88"/>
      <c r="BTY9" s="88"/>
      <c r="BTZ9" s="88"/>
      <c r="BUA9" s="88"/>
      <c r="BUB9" s="88"/>
      <c r="BUC9" s="88"/>
      <c r="BUD9" s="88"/>
      <c r="BUE9" s="88"/>
      <c r="BUF9" s="88"/>
      <c r="BUG9" s="88"/>
      <c r="BUH9" s="88"/>
      <c r="BUI9" s="88"/>
      <c r="BUJ9" s="88"/>
      <c r="BUK9" s="88"/>
      <c r="BUL9" s="88"/>
      <c r="BUM9" s="88"/>
      <c r="BUN9" s="88"/>
      <c r="BUO9" s="88"/>
      <c r="BUP9" s="88"/>
      <c r="BUQ9" s="88"/>
      <c r="BUR9" s="88"/>
      <c r="BUS9" s="88"/>
      <c r="BUT9" s="88"/>
      <c r="BUU9" s="88"/>
      <c r="BUV9" s="88"/>
      <c r="BUW9" s="88"/>
      <c r="BUX9" s="88"/>
      <c r="BUY9" s="88"/>
      <c r="BUZ9" s="88"/>
      <c r="BVA9" s="88"/>
      <c r="BVB9" s="88"/>
      <c r="BVC9" s="88"/>
      <c r="BVD9" s="88"/>
      <c r="BVE9" s="88"/>
      <c r="BVF9" s="88"/>
      <c r="BVG9" s="88"/>
      <c r="BVH9" s="88"/>
      <c r="BVI9" s="88"/>
      <c r="BVJ9" s="88"/>
      <c r="BVK9" s="88"/>
      <c r="BVL9" s="88"/>
      <c r="BVM9" s="88"/>
      <c r="BVN9" s="88"/>
      <c r="BVO9" s="88"/>
      <c r="BVP9" s="88"/>
      <c r="BVQ9" s="88"/>
      <c r="BVR9" s="88"/>
      <c r="BVS9" s="88"/>
      <c r="BVT9" s="88"/>
      <c r="BVU9" s="88"/>
      <c r="BVV9" s="88"/>
      <c r="BVW9" s="88"/>
      <c r="BVX9" s="88"/>
      <c r="BVY9" s="88"/>
      <c r="BVZ9" s="88"/>
      <c r="BWA9" s="88"/>
      <c r="BWB9" s="88"/>
      <c r="BWC9" s="88"/>
      <c r="BWD9" s="88"/>
      <c r="BWE9" s="88"/>
      <c r="BWF9" s="88"/>
      <c r="BWG9" s="88"/>
      <c r="BWH9" s="88"/>
      <c r="BWI9" s="88"/>
      <c r="BWJ9" s="88"/>
      <c r="BWK9" s="88"/>
      <c r="BWL9" s="88"/>
      <c r="BWM9" s="88"/>
      <c r="BWN9" s="88"/>
      <c r="BWO9" s="88"/>
      <c r="BWP9" s="88"/>
      <c r="BWQ9" s="88"/>
      <c r="BWR9" s="88"/>
      <c r="BWS9" s="88"/>
      <c r="BWT9" s="88"/>
      <c r="BWU9" s="88"/>
      <c r="BWV9" s="88"/>
      <c r="BWW9" s="88"/>
      <c r="BWX9" s="88"/>
      <c r="BWY9" s="88"/>
      <c r="BWZ9" s="88"/>
      <c r="BXA9" s="88"/>
      <c r="BXB9" s="88"/>
      <c r="BXC9" s="88"/>
      <c r="BXD9" s="88"/>
      <c r="BXE9" s="88"/>
      <c r="BXF9" s="88"/>
      <c r="BXG9" s="88"/>
      <c r="BXH9" s="88"/>
      <c r="BXI9" s="88"/>
      <c r="BXJ9" s="88"/>
      <c r="BXK9" s="88"/>
      <c r="BXL9" s="88"/>
      <c r="BXM9" s="88"/>
      <c r="BXN9" s="88"/>
      <c r="BXO9" s="88"/>
      <c r="BXP9" s="88"/>
      <c r="BXQ9" s="88"/>
      <c r="BXR9" s="88"/>
      <c r="BXS9" s="88"/>
      <c r="BXT9" s="88"/>
      <c r="BXU9" s="88"/>
      <c r="BXV9" s="88"/>
      <c r="BXW9" s="88"/>
      <c r="BXX9" s="88"/>
      <c r="BXY9" s="88"/>
      <c r="BXZ9" s="88"/>
      <c r="BYA9" s="88"/>
      <c r="BYB9" s="88"/>
      <c r="BYC9" s="88"/>
      <c r="BYD9" s="88"/>
      <c r="BYE9" s="88"/>
      <c r="BYF9" s="88"/>
      <c r="BYG9" s="88"/>
      <c r="BYH9" s="88"/>
      <c r="BYI9" s="88"/>
      <c r="BYJ9" s="88"/>
      <c r="BYK9" s="88"/>
      <c r="BYL9" s="88"/>
      <c r="BYM9" s="88"/>
      <c r="BYN9" s="88"/>
      <c r="BYO9" s="88"/>
      <c r="BYP9" s="88"/>
      <c r="BYQ9" s="88"/>
      <c r="BYR9" s="88"/>
      <c r="BYS9" s="88"/>
      <c r="BYT9" s="88"/>
      <c r="BYU9" s="88"/>
      <c r="BYV9" s="88"/>
      <c r="BYW9" s="88"/>
      <c r="BYX9" s="88"/>
      <c r="BYY9" s="88"/>
      <c r="BYZ9" s="88"/>
      <c r="BZA9" s="88"/>
      <c r="BZB9" s="88"/>
      <c r="BZC9" s="88"/>
      <c r="BZD9" s="88"/>
      <c r="BZE9" s="88"/>
      <c r="BZF9" s="88"/>
      <c r="BZG9" s="88"/>
      <c r="BZH9" s="88"/>
      <c r="BZI9" s="88"/>
      <c r="BZJ9" s="88"/>
      <c r="BZK9" s="88"/>
      <c r="BZL9" s="88"/>
      <c r="BZM9" s="88"/>
      <c r="BZN9" s="88"/>
      <c r="BZO9" s="88"/>
      <c r="BZP9" s="88"/>
      <c r="BZQ9" s="88"/>
      <c r="BZR9" s="88"/>
      <c r="BZS9" s="88"/>
      <c r="BZT9" s="88"/>
      <c r="BZU9" s="88"/>
      <c r="BZV9" s="88"/>
      <c r="BZW9" s="88"/>
      <c r="BZX9" s="88"/>
      <c r="BZY9" s="88"/>
      <c r="BZZ9" s="88"/>
      <c r="CAA9" s="88"/>
      <c r="CAB9" s="88"/>
      <c r="CAC9" s="88"/>
      <c r="CAD9" s="88"/>
      <c r="CAE9" s="88"/>
      <c r="CAF9" s="88"/>
      <c r="CAG9" s="88"/>
      <c r="CAH9" s="88"/>
      <c r="CAI9" s="88"/>
      <c r="CAJ9" s="88"/>
      <c r="CAK9" s="88"/>
      <c r="CAL9" s="88"/>
      <c r="CAM9" s="88"/>
      <c r="CAN9" s="88"/>
      <c r="CAO9" s="88"/>
      <c r="CAP9" s="88"/>
      <c r="CAQ9" s="88"/>
      <c r="CAR9" s="88"/>
      <c r="CAS9" s="88"/>
      <c r="CAT9" s="88"/>
      <c r="CAU9" s="88"/>
      <c r="CAV9" s="88"/>
      <c r="CAW9" s="88"/>
      <c r="CAX9" s="88"/>
      <c r="CAY9" s="88"/>
      <c r="CAZ9" s="88"/>
      <c r="CBA9" s="88"/>
      <c r="CBB9" s="88"/>
      <c r="CBC9" s="88"/>
      <c r="CBD9" s="88"/>
      <c r="CBE9" s="88"/>
      <c r="CBF9" s="88"/>
      <c r="CBG9" s="88"/>
      <c r="CBH9" s="88"/>
      <c r="CBI9" s="88"/>
      <c r="CBJ9" s="88"/>
      <c r="CBK9" s="88"/>
      <c r="CBL9" s="88"/>
      <c r="CBM9" s="88"/>
      <c r="CBN9" s="88"/>
      <c r="CBO9" s="88"/>
      <c r="CBP9" s="88"/>
      <c r="CBQ9" s="88"/>
      <c r="CBR9" s="88"/>
      <c r="CBS9" s="88"/>
      <c r="CBT9" s="88"/>
      <c r="CBU9" s="88"/>
      <c r="CBV9" s="88"/>
      <c r="CBW9" s="88"/>
      <c r="CBX9" s="88"/>
      <c r="CBY9" s="88"/>
      <c r="CBZ9" s="90"/>
    </row>
    <row r="10" spans="1:21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92"/>
      <c r="CR10" s="183"/>
      <c r="CS10" s="183"/>
      <c r="CT10" s="183"/>
      <c r="CU10" s="183"/>
      <c r="CV10" s="183"/>
      <c r="CW10" s="183"/>
      <c r="CX10" s="183"/>
      <c r="CY10" s="183"/>
      <c r="CZ10" s="183"/>
      <c r="DA10" s="183"/>
      <c r="DB10" s="183"/>
      <c r="DC10" s="183"/>
      <c r="DD10" s="183"/>
      <c r="DE10" s="183"/>
      <c r="DF10" s="183"/>
      <c r="DG10" s="183"/>
      <c r="DH10" s="183"/>
      <c r="DI10" s="183"/>
      <c r="DJ10" s="183"/>
      <c r="DK10" s="183"/>
      <c r="DL10" s="183"/>
      <c r="DM10" s="183"/>
      <c r="DN10" s="183"/>
      <c r="DO10" s="183"/>
      <c r="DP10" s="183"/>
      <c r="DQ10" s="183"/>
      <c r="DR10" s="183"/>
      <c r="DS10" s="183"/>
      <c r="DT10" s="183"/>
      <c r="DU10" s="183"/>
      <c r="DV10" s="183"/>
      <c r="DW10" s="183"/>
      <c r="DX10" s="183"/>
      <c r="DY10" s="183"/>
      <c r="DZ10" s="183"/>
      <c r="EA10" s="183"/>
      <c r="EB10" s="183"/>
      <c r="EC10" s="183"/>
      <c r="ED10" s="183"/>
      <c r="EE10" s="183"/>
      <c r="EF10" s="183"/>
      <c r="EG10" s="183"/>
      <c r="EH10" s="183"/>
      <c r="EI10" s="183"/>
      <c r="EJ10" s="183"/>
      <c r="EK10" s="183"/>
      <c r="EL10" s="183"/>
      <c r="EM10" s="183"/>
      <c r="EN10" s="183"/>
      <c r="EO10" s="183"/>
      <c r="EP10" s="183"/>
      <c r="EQ10" s="183"/>
      <c r="ER10" s="183"/>
      <c r="ES10" s="183"/>
      <c r="ET10" s="183"/>
      <c r="EU10" s="183"/>
      <c r="EV10" s="183"/>
      <c r="EW10" s="183"/>
      <c r="EX10" s="183"/>
      <c r="EY10" s="183"/>
      <c r="EZ10" s="183"/>
      <c r="FA10" s="183"/>
      <c r="FB10" s="183"/>
      <c r="FC10" s="183"/>
      <c r="FD10" s="183"/>
      <c r="FE10" s="183"/>
      <c r="FF10" s="183"/>
      <c r="FG10" s="183"/>
      <c r="FH10" s="183"/>
      <c r="FI10" s="183"/>
      <c r="FJ10" s="183"/>
      <c r="FK10" s="183"/>
      <c r="FL10" s="183"/>
      <c r="FM10" s="183"/>
      <c r="FN10" s="183"/>
      <c r="FO10" s="183"/>
      <c r="FP10" s="183"/>
      <c r="FQ10" s="183"/>
      <c r="FR10" s="183"/>
      <c r="FS10" s="183"/>
      <c r="FT10" s="183"/>
      <c r="FU10" s="183"/>
      <c r="FV10" s="183"/>
      <c r="FW10" s="183"/>
      <c r="FX10" s="183"/>
      <c r="FY10" s="183"/>
      <c r="FZ10" s="183"/>
      <c r="GA10" s="183"/>
      <c r="GB10" s="183"/>
      <c r="GC10" s="183"/>
      <c r="GD10" s="183"/>
      <c r="GE10" s="183"/>
      <c r="GF10" s="183"/>
      <c r="GG10" s="183"/>
      <c r="GH10" s="183"/>
      <c r="GI10" s="183"/>
      <c r="GJ10" s="183"/>
      <c r="GK10" s="183"/>
      <c r="GL10" s="183"/>
      <c r="GM10" s="183"/>
      <c r="GN10" s="183"/>
      <c r="GO10" s="183"/>
      <c r="GP10" s="183"/>
      <c r="GQ10" s="183"/>
      <c r="GR10" s="183"/>
      <c r="GS10" s="183"/>
      <c r="GT10" s="183"/>
      <c r="GU10" s="183"/>
      <c r="GV10" s="183"/>
      <c r="GW10" s="183"/>
      <c r="GX10" s="183"/>
      <c r="GY10" s="183"/>
      <c r="GZ10" s="183"/>
      <c r="HA10" s="183"/>
      <c r="HB10" s="183"/>
      <c r="HC10" s="183"/>
      <c r="HD10" s="183"/>
      <c r="HE10" s="183"/>
      <c r="HF10" s="183"/>
      <c r="HG10" s="183"/>
      <c r="HH10" s="183"/>
      <c r="HI10" s="183"/>
      <c r="HJ10" s="183"/>
      <c r="HK10" s="183"/>
      <c r="HL10" s="183"/>
      <c r="HM10" s="183"/>
      <c r="HN10" s="183"/>
      <c r="HO10" s="183"/>
      <c r="HP10" s="183"/>
      <c r="HQ10" s="183"/>
      <c r="HR10" s="183"/>
      <c r="HS10" s="183"/>
      <c r="HT10" s="183"/>
      <c r="HU10" s="183"/>
      <c r="HV10" s="183"/>
      <c r="HW10" s="183"/>
      <c r="HX10" s="183"/>
      <c r="HY10" s="183"/>
      <c r="HZ10" s="183"/>
      <c r="IA10" s="183"/>
      <c r="IB10" s="183"/>
      <c r="IC10" s="183"/>
      <c r="ID10" s="183"/>
      <c r="IE10" s="183"/>
      <c r="IF10" s="183"/>
      <c r="IG10" s="183"/>
      <c r="IH10" s="183"/>
      <c r="II10" s="183"/>
      <c r="IJ10" s="183"/>
      <c r="IK10" s="183"/>
      <c r="IL10" s="183"/>
      <c r="IM10" s="183"/>
      <c r="IN10" s="183"/>
      <c r="IO10" s="183"/>
      <c r="IP10" s="183"/>
      <c r="IQ10" s="183"/>
      <c r="IR10" s="183"/>
      <c r="IS10" s="183"/>
      <c r="IT10" s="183"/>
      <c r="IU10" s="183"/>
      <c r="IV10" s="183"/>
      <c r="IW10" s="183"/>
      <c r="IX10" s="183"/>
      <c r="IY10" s="183"/>
      <c r="IZ10" s="183"/>
      <c r="JA10" s="183"/>
      <c r="JB10" s="183"/>
      <c r="JC10" s="183"/>
      <c r="JD10" s="183"/>
      <c r="JE10" s="183"/>
      <c r="JF10" s="183"/>
      <c r="JG10" s="183"/>
      <c r="JH10" s="183"/>
      <c r="JI10" s="183"/>
      <c r="JJ10" s="183"/>
      <c r="JK10" s="183"/>
      <c r="JL10" s="183"/>
      <c r="JM10" s="183"/>
      <c r="JN10" s="183"/>
      <c r="JO10" s="183"/>
      <c r="JP10" s="183"/>
      <c r="JQ10" s="183"/>
      <c r="JR10" s="183"/>
      <c r="JS10" s="183"/>
      <c r="JT10" s="183"/>
      <c r="JU10" s="183"/>
      <c r="JV10" s="183"/>
      <c r="JW10" s="183"/>
      <c r="JX10" s="183"/>
      <c r="JY10" s="183"/>
      <c r="JZ10" s="183"/>
      <c r="KA10" s="183"/>
      <c r="KB10" s="183"/>
      <c r="KC10" s="183"/>
      <c r="KD10" s="183"/>
      <c r="KE10" s="183"/>
      <c r="KF10" s="183"/>
      <c r="KG10" s="183"/>
      <c r="KH10" s="183"/>
      <c r="KI10" s="183"/>
      <c r="KJ10" s="183"/>
      <c r="KK10" s="183"/>
      <c r="KL10" s="183"/>
      <c r="KM10" s="183"/>
      <c r="KN10" s="183"/>
      <c r="KO10" s="183"/>
      <c r="KP10" s="183"/>
      <c r="KQ10" s="183"/>
      <c r="KR10" s="183"/>
      <c r="KS10" s="183"/>
      <c r="KT10" s="183"/>
      <c r="KU10" s="183"/>
      <c r="KV10" s="183"/>
      <c r="KW10" s="183"/>
      <c r="KX10" s="183"/>
      <c r="KY10" s="183"/>
      <c r="KZ10" s="183"/>
      <c r="LA10" s="183"/>
      <c r="LB10" s="183"/>
      <c r="LC10" s="183"/>
      <c r="LD10" s="183"/>
      <c r="LE10" s="183"/>
      <c r="LF10" s="183"/>
      <c r="LG10" s="183"/>
      <c r="LH10" s="183"/>
      <c r="LI10" s="183"/>
      <c r="LJ10" s="183"/>
      <c r="LK10" s="183"/>
      <c r="LL10" s="183"/>
      <c r="LM10" s="183"/>
      <c r="LN10" s="183"/>
      <c r="LO10" s="183"/>
      <c r="LP10" s="183"/>
      <c r="LQ10" s="183"/>
      <c r="LR10" s="183"/>
      <c r="LS10" s="183"/>
      <c r="LT10" s="183"/>
      <c r="LU10" s="183"/>
      <c r="LV10" s="183"/>
      <c r="LW10" s="183"/>
      <c r="LX10" s="183"/>
      <c r="LY10" s="183"/>
      <c r="LZ10" s="183"/>
      <c r="MA10" s="183"/>
      <c r="MB10" s="183"/>
      <c r="MC10" s="183"/>
      <c r="MD10" s="183"/>
      <c r="ME10" s="183"/>
      <c r="MF10" s="183"/>
      <c r="MG10" s="183"/>
      <c r="MH10" s="183"/>
      <c r="MI10" s="183"/>
      <c r="MJ10" s="183"/>
      <c r="MK10" s="183"/>
      <c r="ML10" s="183"/>
      <c r="MM10" s="183"/>
      <c r="MN10" s="183"/>
      <c r="MO10" s="183"/>
      <c r="MP10" s="183"/>
      <c r="MQ10" s="183"/>
      <c r="MR10" s="183"/>
      <c r="MS10" s="183"/>
      <c r="MT10" s="183"/>
      <c r="MU10" s="183"/>
      <c r="MV10" s="183"/>
      <c r="MW10" s="183"/>
      <c r="MX10" s="183"/>
      <c r="MY10" s="183"/>
      <c r="MZ10" s="183"/>
      <c r="NA10" s="183"/>
      <c r="NB10" s="183"/>
      <c r="NC10" s="183"/>
      <c r="ND10" s="183"/>
      <c r="NE10" s="183"/>
      <c r="NF10" s="183"/>
      <c r="NG10" s="183"/>
      <c r="NH10" s="183"/>
      <c r="NI10" s="183"/>
      <c r="NJ10" s="183"/>
      <c r="NK10" s="183"/>
      <c r="NL10" s="183"/>
      <c r="NM10" s="183"/>
      <c r="NN10" s="183"/>
      <c r="NO10" s="183"/>
      <c r="NP10" s="183"/>
      <c r="NQ10" s="183"/>
      <c r="NR10" s="183"/>
      <c r="NS10" s="183"/>
      <c r="NT10" s="183"/>
      <c r="NU10" s="183"/>
      <c r="NV10" s="183"/>
      <c r="NW10" s="183"/>
      <c r="NX10" s="183"/>
      <c r="NY10" s="183"/>
      <c r="NZ10" s="183"/>
      <c r="OA10" s="183"/>
      <c r="OB10" s="183"/>
      <c r="OC10" s="183"/>
      <c r="OD10" s="183"/>
      <c r="OE10" s="183"/>
      <c r="OF10" s="183"/>
      <c r="OG10" s="183"/>
      <c r="OH10" s="183"/>
      <c r="OI10" s="183"/>
      <c r="OJ10" s="183"/>
      <c r="OK10" s="183"/>
      <c r="OL10" s="183"/>
      <c r="OM10" s="183"/>
      <c r="ON10" s="183"/>
      <c r="OO10" s="183"/>
      <c r="OP10" s="183"/>
      <c r="OQ10" s="183"/>
      <c r="OR10" s="183"/>
      <c r="OS10" s="183"/>
      <c r="OT10" s="183"/>
      <c r="OU10" s="183"/>
      <c r="OV10" s="183"/>
      <c r="OW10" s="183"/>
      <c r="OX10" s="183"/>
      <c r="OY10" s="183"/>
      <c r="OZ10" s="183"/>
      <c r="PA10" s="183"/>
      <c r="PB10" s="183"/>
      <c r="PC10" s="183"/>
      <c r="PD10" s="183"/>
      <c r="PE10" s="183"/>
      <c r="PF10" s="183"/>
      <c r="PG10" s="183"/>
      <c r="PH10" s="183"/>
      <c r="PI10" s="183"/>
      <c r="PJ10" s="183"/>
      <c r="PK10" s="183"/>
      <c r="PL10" s="183"/>
      <c r="PM10" s="183"/>
      <c r="PN10" s="183"/>
      <c r="PO10" s="183"/>
      <c r="PP10" s="183"/>
      <c r="PQ10" s="183"/>
      <c r="PR10" s="183"/>
      <c r="PS10" s="183"/>
      <c r="PT10" s="183"/>
      <c r="PU10" s="183"/>
      <c r="PV10" s="183"/>
      <c r="PW10" s="183"/>
      <c r="PX10" s="183"/>
      <c r="PY10" s="183"/>
      <c r="PZ10" s="183"/>
      <c r="QA10" s="183"/>
      <c r="QB10" s="183"/>
      <c r="QC10" s="183"/>
      <c r="QD10" s="183"/>
      <c r="QE10" s="183"/>
      <c r="QF10" s="183"/>
      <c r="QG10" s="183"/>
      <c r="QH10" s="183"/>
      <c r="QI10" s="183"/>
      <c r="QJ10" s="183"/>
      <c r="QK10" s="183"/>
      <c r="QL10" s="183"/>
      <c r="QM10" s="183"/>
      <c r="QN10" s="183"/>
      <c r="QO10" s="183"/>
      <c r="QP10" s="183"/>
      <c r="QQ10" s="183"/>
      <c r="QR10" s="183"/>
      <c r="QS10" s="183"/>
      <c r="QT10" s="183"/>
      <c r="QU10" s="183"/>
      <c r="QV10" s="183"/>
      <c r="QW10" s="183"/>
      <c r="QX10" s="183"/>
      <c r="QY10" s="183"/>
      <c r="QZ10" s="183"/>
      <c r="RA10" s="183"/>
      <c r="RB10" s="183"/>
      <c r="RC10" s="183"/>
      <c r="RD10" s="183"/>
      <c r="RE10" s="183"/>
      <c r="RF10" s="183"/>
      <c r="RG10" s="183"/>
      <c r="RH10" s="183"/>
      <c r="RI10" s="183"/>
      <c r="RJ10" s="183"/>
      <c r="RK10" s="183"/>
      <c r="RL10" s="183"/>
      <c r="RM10" s="183"/>
      <c r="RN10" s="183"/>
      <c r="RO10" s="183"/>
      <c r="RP10" s="183"/>
      <c r="RQ10" s="183"/>
      <c r="RR10" s="183"/>
      <c r="RS10" s="183"/>
      <c r="RT10" s="183"/>
      <c r="RU10" s="183"/>
      <c r="RV10" s="183"/>
      <c r="RW10" s="183"/>
      <c r="RX10" s="183"/>
      <c r="RY10" s="183"/>
      <c r="RZ10" s="183"/>
      <c r="SA10" s="183"/>
      <c r="SB10" s="183"/>
      <c r="SC10" s="183"/>
      <c r="SD10" s="183"/>
      <c r="SE10" s="183"/>
      <c r="SF10" s="183"/>
      <c r="SG10" s="183"/>
      <c r="SH10" s="183"/>
      <c r="SI10" s="183"/>
      <c r="SJ10" s="183"/>
      <c r="SK10" s="183"/>
      <c r="SL10" s="183"/>
      <c r="SM10" s="183"/>
      <c r="SN10" s="183"/>
      <c r="SO10" s="183"/>
      <c r="SP10" s="183"/>
      <c r="SQ10" s="183"/>
      <c r="SR10" s="183"/>
      <c r="SS10" s="183"/>
      <c r="ST10" s="183"/>
      <c r="SU10" s="183"/>
      <c r="SV10" s="183"/>
      <c r="SW10" s="183"/>
      <c r="SX10" s="183"/>
      <c r="SY10" s="183"/>
      <c r="SZ10" s="183"/>
      <c r="TA10" s="183"/>
      <c r="TB10" s="183"/>
      <c r="TC10" s="183"/>
      <c r="TD10" s="183"/>
      <c r="TE10" s="183"/>
      <c r="TF10" s="183"/>
      <c r="TG10" s="183"/>
      <c r="TH10" s="183"/>
      <c r="TI10" s="183"/>
      <c r="TJ10" s="183"/>
      <c r="TK10" s="183"/>
      <c r="TL10" s="183"/>
      <c r="TM10" s="183"/>
      <c r="TN10" s="183"/>
      <c r="TO10" s="183"/>
      <c r="TP10" s="183"/>
      <c r="TQ10" s="183"/>
      <c r="TR10" s="183"/>
      <c r="TS10" s="183"/>
      <c r="TT10" s="183"/>
      <c r="TU10" s="183"/>
      <c r="TV10" s="183"/>
      <c r="TW10" s="183"/>
      <c r="TX10" s="183"/>
      <c r="TY10" s="183"/>
      <c r="TZ10" s="183"/>
      <c r="UA10" s="183"/>
      <c r="UB10" s="183"/>
      <c r="UC10" s="183"/>
      <c r="UD10" s="183"/>
      <c r="UE10" s="183"/>
      <c r="UF10" s="183"/>
      <c r="UG10" s="183"/>
      <c r="UH10" s="183"/>
      <c r="UI10" s="183"/>
      <c r="UJ10" s="183"/>
      <c r="UK10" s="183"/>
      <c r="UL10" s="183"/>
      <c r="UM10" s="183"/>
      <c r="UN10" s="183"/>
      <c r="UO10" s="183"/>
      <c r="UP10" s="183"/>
      <c r="UQ10" s="183"/>
      <c r="UR10" s="183"/>
      <c r="US10" s="183"/>
      <c r="UT10" s="183"/>
      <c r="UU10" s="183"/>
      <c r="UV10" s="183"/>
      <c r="UW10" s="183"/>
      <c r="UX10" s="183"/>
      <c r="UY10" s="183"/>
      <c r="UZ10" s="183"/>
      <c r="VA10" s="183"/>
      <c r="VB10" s="183"/>
      <c r="VC10" s="183"/>
      <c r="VD10" s="183"/>
      <c r="VE10" s="183"/>
      <c r="VF10" s="183"/>
      <c r="VG10" s="183"/>
      <c r="VH10" s="183"/>
      <c r="VI10" s="183"/>
      <c r="VJ10" s="183"/>
      <c r="VK10" s="183"/>
      <c r="VL10" s="183"/>
      <c r="VM10" s="183"/>
      <c r="VN10" s="183"/>
      <c r="VO10" s="183"/>
      <c r="VP10" s="183"/>
      <c r="VQ10" s="183"/>
      <c r="VR10" s="183"/>
      <c r="VS10" s="183"/>
      <c r="VT10" s="183"/>
      <c r="VU10" s="183"/>
      <c r="VV10" s="183"/>
      <c r="VW10" s="183"/>
      <c r="VX10" s="183"/>
      <c r="VY10" s="183"/>
      <c r="VZ10" s="183"/>
      <c r="WA10" s="183"/>
      <c r="WB10" s="183"/>
      <c r="WC10" s="183"/>
      <c r="WD10" s="183"/>
      <c r="WE10" s="183"/>
      <c r="WF10" s="183"/>
      <c r="WG10" s="183"/>
      <c r="WH10" s="183"/>
      <c r="WI10" s="183"/>
      <c r="WJ10" s="183"/>
      <c r="WK10" s="183"/>
      <c r="WL10" s="183"/>
      <c r="WM10" s="183"/>
      <c r="WN10" s="183"/>
      <c r="WO10" s="183"/>
      <c r="WP10" s="183"/>
      <c r="WQ10" s="183"/>
      <c r="WR10" s="183"/>
      <c r="WS10" s="183"/>
      <c r="WT10" s="183"/>
      <c r="WU10" s="183"/>
      <c r="WV10" s="183"/>
      <c r="WW10" s="183"/>
      <c r="WX10" s="183"/>
      <c r="WY10" s="183"/>
      <c r="WZ10" s="183"/>
      <c r="XA10" s="183"/>
      <c r="XB10" s="183"/>
      <c r="XC10" s="183"/>
      <c r="XD10" s="183"/>
      <c r="XE10" s="183"/>
      <c r="XF10" s="183"/>
      <c r="XG10" s="183"/>
      <c r="XH10" s="183"/>
      <c r="XI10" s="183"/>
      <c r="XJ10" s="183"/>
      <c r="XK10" s="183"/>
      <c r="XL10" s="183"/>
      <c r="XM10" s="183"/>
      <c r="XN10" s="183"/>
      <c r="XO10" s="183"/>
      <c r="XP10" s="183"/>
      <c r="XQ10" s="183"/>
      <c r="XR10" s="183"/>
      <c r="XS10" s="183"/>
      <c r="XT10" s="183"/>
      <c r="XU10" s="183"/>
      <c r="XV10" s="183"/>
      <c r="XW10" s="183"/>
      <c r="XX10" s="183"/>
      <c r="XY10" s="183"/>
      <c r="XZ10" s="183"/>
      <c r="YA10" s="183"/>
      <c r="YB10" s="183"/>
      <c r="YC10" s="183"/>
      <c r="YD10" s="183"/>
      <c r="YE10" s="183"/>
      <c r="YF10" s="183"/>
      <c r="YG10" s="183"/>
      <c r="YH10" s="183"/>
      <c r="YI10" s="183"/>
      <c r="YJ10" s="183"/>
      <c r="YK10" s="183"/>
      <c r="YL10" s="183"/>
      <c r="YM10" s="183"/>
      <c r="YN10" s="183"/>
      <c r="YO10" s="183"/>
      <c r="YP10" s="183"/>
      <c r="YQ10" s="183"/>
      <c r="YR10" s="183"/>
      <c r="YS10" s="183"/>
      <c r="YT10" s="183"/>
      <c r="YU10" s="183"/>
      <c r="YV10" s="183"/>
      <c r="YW10" s="183"/>
      <c r="YX10" s="183"/>
      <c r="YY10" s="183"/>
      <c r="YZ10" s="183"/>
      <c r="ZA10" s="183"/>
      <c r="ZB10" s="183"/>
      <c r="ZC10" s="183"/>
      <c r="ZD10" s="183"/>
      <c r="ZE10" s="183"/>
      <c r="ZF10" s="183"/>
      <c r="ZG10" s="183"/>
      <c r="ZH10" s="183"/>
      <c r="ZI10" s="183"/>
      <c r="ZJ10" s="183"/>
      <c r="ZK10" s="183"/>
      <c r="ZL10" s="183"/>
      <c r="ZM10" s="183"/>
      <c r="ZN10" s="183"/>
      <c r="ZO10" s="183"/>
      <c r="ZP10" s="183"/>
      <c r="ZQ10" s="183"/>
      <c r="ZR10" s="183"/>
      <c r="ZS10" s="183"/>
      <c r="ZT10" s="183"/>
      <c r="ZU10" s="183"/>
      <c r="ZV10" s="183"/>
      <c r="ZW10" s="183"/>
      <c r="ZX10" s="183"/>
      <c r="ZY10" s="183"/>
      <c r="ZZ10" s="183"/>
      <c r="AAA10" s="183"/>
      <c r="AAB10" s="183"/>
      <c r="AAC10" s="183"/>
      <c r="AAD10" s="183"/>
      <c r="AAE10" s="183"/>
      <c r="AAF10" s="183"/>
      <c r="AAG10" s="183"/>
      <c r="AAH10" s="183"/>
      <c r="AAI10" s="183"/>
      <c r="AAJ10" s="183"/>
      <c r="AAK10" s="183"/>
      <c r="AAL10" s="183"/>
      <c r="AAM10" s="183"/>
      <c r="AAN10" s="183"/>
      <c r="AAO10" s="183"/>
      <c r="AAP10" s="183"/>
      <c r="AAQ10" s="183"/>
      <c r="AAR10" s="183"/>
      <c r="AAS10" s="183"/>
      <c r="AAT10" s="183"/>
      <c r="AAU10" s="183"/>
      <c r="AAV10" s="183"/>
      <c r="AAW10" s="183"/>
      <c r="AAX10" s="183"/>
      <c r="AAY10" s="183"/>
      <c r="AAZ10" s="183"/>
      <c r="ABA10" s="183"/>
      <c r="ABB10" s="183"/>
      <c r="ABC10" s="183"/>
      <c r="ABD10" s="183"/>
      <c r="ABE10" s="183"/>
      <c r="ABF10" s="183"/>
      <c r="ABG10" s="183"/>
      <c r="ABH10" s="183"/>
      <c r="ABI10" s="183"/>
      <c r="ABJ10" s="183"/>
      <c r="ABK10" s="183"/>
      <c r="ABL10" s="183"/>
      <c r="ABM10" s="183"/>
      <c r="ABN10" s="183"/>
      <c r="ABO10" s="183"/>
      <c r="ABP10" s="183"/>
      <c r="ABQ10" s="183"/>
      <c r="ABR10" s="183"/>
      <c r="ABS10" s="183"/>
      <c r="ABT10" s="183"/>
      <c r="ABU10" s="183"/>
      <c r="ABV10" s="183"/>
      <c r="ABW10" s="183"/>
      <c r="ABX10" s="183"/>
      <c r="ABY10" s="183"/>
      <c r="ABZ10" s="183"/>
      <c r="ACA10" s="183"/>
      <c r="ACB10" s="183"/>
      <c r="ACC10" s="183"/>
      <c r="ACD10" s="183"/>
      <c r="ACE10" s="183"/>
      <c r="ACF10" s="183"/>
      <c r="ACG10" s="183"/>
      <c r="ACH10" s="183"/>
      <c r="ACI10" s="183"/>
      <c r="ACJ10" s="183"/>
      <c r="ACK10" s="183"/>
      <c r="ACL10" s="183"/>
      <c r="ACM10" s="183"/>
      <c r="ACN10" s="183"/>
      <c r="ACO10" s="183"/>
      <c r="ACP10" s="183"/>
      <c r="ACQ10" s="183"/>
      <c r="ACR10" s="183"/>
      <c r="ACS10" s="183"/>
      <c r="ACT10" s="183"/>
      <c r="ACU10" s="183"/>
      <c r="ACV10" s="183"/>
      <c r="ACW10" s="183"/>
      <c r="ACX10" s="183"/>
      <c r="ACY10" s="183"/>
      <c r="ACZ10" s="183"/>
      <c r="ADA10" s="183"/>
      <c r="ADB10" s="183"/>
      <c r="ADC10" s="183"/>
      <c r="ADD10" s="183"/>
      <c r="ADE10" s="183"/>
      <c r="ADF10" s="183"/>
      <c r="ADG10" s="183"/>
      <c r="ADH10" s="183"/>
      <c r="ADI10" s="183"/>
      <c r="ADJ10" s="183"/>
      <c r="ADK10" s="183"/>
      <c r="ADL10" s="183"/>
      <c r="ADM10" s="183"/>
      <c r="ADN10" s="183"/>
      <c r="ADO10" s="183"/>
      <c r="ADP10" s="183"/>
      <c r="ADQ10" s="183"/>
      <c r="ADR10" s="183"/>
      <c r="ADS10" s="183"/>
      <c r="ADT10" s="183"/>
      <c r="ADU10" s="183"/>
      <c r="ADV10" s="183"/>
      <c r="ADW10" s="183"/>
      <c r="ADX10" s="183"/>
      <c r="ADY10" s="183"/>
      <c r="ADZ10" s="183"/>
      <c r="AEA10" s="183"/>
      <c r="AEB10" s="183"/>
      <c r="AEC10" s="183"/>
      <c r="AED10" s="183"/>
      <c r="AEE10" s="183"/>
      <c r="AEF10" s="183"/>
      <c r="AEG10" s="183"/>
      <c r="AEH10" s="183"/>
      <c r="AEI10" s="183"/>
      <c r="AEJ10" s="183"/>
      <c r="AEK10" s="183"/>
      <c r="AEL10" s="183"/>
      <c r="AEM10" s="183"/>
      <c r="AEN10" s="183"/>
      <c r="AEO10" s="183"/>
      <c r="AEP10" s="183"/>
      <c r="AEQ10" s="183"/>
      <c r="AER10" s="183"/>
      <c r="AES10" s="183"/>
      <c r="AET10" s="183"/>
      <c r="AEU10" s="183"/>
      <c r="AEV10" s="183"/>
      <c r="AEW10" s="183"/>
      <c r="AEX10" s="183"/>
      <c r="AEY10" s="183"/>
      <c r="AEZ10" s="183"/>
      <c r="AFA10" s="183"/>
      <c r="AFB10" s="183"/>
      <c r="AFC10" s="183"/>
      <c r="AFD10" s="183"/>
      <c r="AFE10" s="183"/>
      <c r="AFF10" s="183"/>
      <c r="AFG10" s="183"/>
      <c r="AFH10" s="183"/>
      <c r="AFI10" s="183"/>
      <c r="AFJ10" s="183"/>
      <c r="AFK10" s="183"/>
      <c r="AFL10" s="183"/>
      <c r="AFM10" s="183"/>
      <c r="AFN10" s="183"/>
      <c r="AFO10" s="183"/>
      <c r="AFP10" s="183"/>
      <c r="AFQ10" s="183"/>
      <c r="AFR10" s="183"/>
      <c r="AFS10" s="183"/>
      <c r="AFT10" s="183"/>
      <c r="AFU10" s="183"/>
      <c r="AFV10" s="183"/>
      <c r="AFW10" s="183"/>
      <c r="AFX10" s="183"/>
      <c r="AFY10" s="183"/>
      <c r="AFZ10" s="183"/>
      <c r="AGA10" s="183"/>
      <c r="AGB10" s="183"/>
      <c r="AGC10" s="183"/>
      <c r="AGD10" s="183"/>
      <c r="AGE10" s="183"/>
      <c r="AGF10" s="183"/>
      <c r="AGG10" s="183"/>
      <c r="AGH10" s="183"/>
      <c r="AGI10" s="183"/>
      <c r="AGJ10" s="183"/>
      <c r="AGK10" s="183"/>
      <c r="AGL10" s="183"/>
      <c r="AGM10" s="183"/>
      <c r="AGN10" s="183"/>
      <c r="AGO10" s="183"/>
      <c r="AGP10" s="183"/>
      <c r="AGQ10" s="183"/>
      <c r="AGR10" s="183"/>
      <c r="AGS10" s="183"/>
      <c r="AGT10" s="183"/>
      <c r="AGU10" s="183"/>
      <c r="AGV10" s="183"/>
      <c r="AGW10" s="183"/>
      <c r="AGX10" s="183"/>
      <c r="AGY10" s="183"/>
      <c r="AGZ10" s="183"/>
      <c r="AHA10" s="183"/>
      <c r="AHB10" s="183"/>
      <c r="AHC10" s="183"/>
      <c r="AHD10" s="183"/>
      <c r="AHE10" s="183"/>
      <c r="AHF10" s="183"/>
      <c r="AHG10" s="183"/>
      <c r="AHH10" s="183"/>
      <c r="AHI10" s="183"/>
      <c r="AHJ10" s="183"/>
      <c r="AHK10" s="183"/>
      <c r="AHL10" s="183"/>
      <c r="AHM10" s="183"/>
      <c r="AHN10" s="183"/>
      <c r="AHO10" s="183"/>
      <c r="AHP10" s="183"/>
      <c r="AHQ10" s="183"/>
      <c r="AHR10" s="183"/>
      <c r="AHS10" s="183"/>
      <c r="AHT10" s="183"/>
      <c r="AHU10" s="183"/>
      <c r="AHV10" s="183"/>
      <c r="AHW10" s="183"/>
      <c r="AHX10" s="183"/>
      <c r="AHY10" s="183"/>
      <c r="AHZ10" s="183"/>
      <c r="AIA10" s="183"/>
      <c r="AIB10" s="183"/>
      <c r="AIC10" s="183"/>
      <c r="AID10" s="183"/>
      <c r="AIE10" s="183"/>
      <c r="AIF10" s="183"/>
      <c r="AIG10" s="183"/>
      <c r="AIH10" s="183"/>
      <c r="AII10" s="183"/>
      <c r="AIJ10" s="183"/>
      <c r="AIK10" s="183"/>
      <c r="AIL10" s="183"/>
      <c r="AIM10" s="183"/>
      <c r="AIN10" s="183"/>
      <c r="AIO10" s="183"/>
      <c r="AIP10" s="183"/>
      <c r="AIQ10" s="183"/>
      <c r="AIR10" s="183"/>
      <c r="AIS10" s="183"/>
      <c r="AIT10" s="183"/>
      <c r="AIU10" s="183"/>
      <c r="AIV10" s="183"/>
      <c r="AIW10" s="183"/>
      <c r="AIX10" s="183"/>
      <c r="AIY10" s="183"/>
      <c r="AIZ10" s="183"/>
      <c r="AJA10" s="183"/>
      <c r="AJB10" s="183"/>
      <c r="AJC10" s="183"/>
      <c r="AJD10" s="183"/>
      <c r="AJE10" s="183"/>
      <c r="AJF10" s="183"/>
      <c r="AJG10" s="183"/>
      <c r="AJH10" s="183"/>
      <c r="AJI10" s="183"/>
      <c r="AJJ10" s="183"/>
      <c r="AJK10" s="183"/>
      <c r="AJL10" s="183"/>
      <c r="AJM10" s="183"/>
      <c r="AJN10" s="183"/>
      <c r="AJO10" s="183"/>
      <c r="AJP10" s="183"/>
      <c r="AJQ10" s="183"/>
      <c r="AJR10" s="183"/>
      <c r="AJS10" s="183"/>
      <c r="AJT10" s="183"/>
      <c r="AJU10" s="183"/>
      <c r="AJV10" s="183"/>
      <c r="AJW10" s="183"/>
      <c r="AJX10" s="183"/>
      <c r="AJY10" s="183"/>
      <c r="AJZ10" s="183"/>
      <c r="AKA10" s="183"/>
      <c r="AKB10" s="183"/>
      <c r="AKC10" s="183"/>
      <c r="AKD10" s="183"/>
      <c r="AKE10" s="183"/>
      <c r="AKF10" s="183"/>
      <c r="AKG10" s="183"/>
      <c r="AKH10" s="183"/>
      <c r="AKI10" s="183"/>
      <c r="AKJ10" s="183"/>
      <c r="AKK10" s="183"/>
      <c r="AKL10" s="183"/>
      <c r="AKM10" s="183"/>
      <c r="AKN10" s="183"/>
      <c r="AKO10" s="183"/>
      <c r="AKP10" s="183"/>
      <c r="AKQ10" s="183"/>
      <c r="AKR10" s="183"/>
      <c r="AKS10" s="183"/>
      <c r="AKT10" s="183"/>
      <c r="AKU10" s="183"/>
      <c r="AKV10" s="183"/>
      <c r="AKW10" s="183"/>
      <c r="AKX10" s="183"/>
      <c r="AKY10" s="183"/>
      <c r="AKZ10" s="183"/>
      <c r="ALA10" s="183"/>
      <c r="ALB10" s="183"/>
      <c r="ALC10" s="183"/>
      <c r="ALD10" s="183"/>
      <c r="ALE10" s="183"/>
      <c r="ALF10" s="183"/>
      <c r="ALG10" s="183"/>
      <c r="ALH10" s="183"/>
      <c r="ALI10" s="183"/>
      <c r="ALJ10" s="183"/>
      <c r="ALK10" s="183"/>
      <c r="ALL10" s="183"/>
      <c r="ALM10" s="183"/>
      <c r="ALN10" s="183"/>
      <c r="ALO10" s="183"/>
      <c r="ALP10" s="183"/>
      <c r="ALQ10" s="183"/>
      <c r="ALR10" s="183"/>
      <c r="ALS10" s="183"/>
      <c r="ALT10" s="183"/>
      <c r="ALU10" s="183"/>
      <c r="ALV10" s="183"/>
      <c r="ALW10" s="183"/>
      <c r="ALX10" s="183"/>
      <c r="ALY10" s="183"/>
      <c r="ALZ10" s="183"/>
      <c r="AMA10" s="183"/>
      <c r="AMB10" s="183"/>
      <c r="AMC10" s="183"/>
      <c r="AMD10" s="183"/>
      <c r="AME10" s="183"/>
      <c r="AMF10" s="183"/>
      <c r="AMG10" s="183"/>
      <c r="AMH10" s="183"/>
      <c r="AMI10" s="183"/>
      <c r="AMJ10" s="183"/>
      <c r="AMK10" s="183"/>
      <c r="AML10" s="183"/>
      <c r="AMM10" s="183"/>
      <c r="AMN10" s="183"/>
      <c r="AMO10" s="183"/>
      <c r="AMP10" s="183"/>
      <c r="AMQ10" s="183"/>
      <c r="AMR10" s="183"/>
      <c r="AMS10" s="183"/>
      <c r="AMT10" s="183"/>
      <c r="AMU10" s="183"/>
      <c r="AMV10" s="183"/>
      <c r="AMW10" s="183"/>
      <c r="AMX10" s="183"/>
      <c r="AMY10" s="183"/>
      <c r="AMZ10" s="183"/>
      <c r="ANA10" s="183"/>
      <c r="ANB10" s="183"/>
      <c r="ANC10" s="183"/>
      <c r="AND10" s="183"/>
      <c r="ANE10" s="183"/>
      <c r="ANF10" s="183"/>
      <c r="ANG10" s="183"/>
      <c r="ANH10" s="183"/>
      <c r="ANI10" s="183"/>
      <c r="ANJ10" s="183"/>
      <c r="ANK10" s="183"/>
      <c r="ANL10" s="183"/>
      <c r="ANM10" s="183"/>
      <c r="ANN10" s="183"/>
      <c r="ANO10" s="183"/>
      <c r="ANP10" s="183"/>
      <c r="ANQ10" s="183"/>
      <c r="ANR10" s="183"/>
      <c r="ANS10" s="183"/>
      <c r="ANT10" s="183"/>
      <c r="ANU10" s="183"/>
      <c r="ANV10" s="183"/>
      <c r="ANW10" s="183"/>
      <c r="ANX10" s="183"/>
      <c r="ANY10" s="183"/>
      <c r="ANZ10" s="183"/>
      <c r="AOA10" s="183"/>
      <c r="AOB10" s="183"/>
      <c r="AOC10" s="183"/>
      <c r="AOD10" s="183"/>
      <c r="AOE10" s="183"/>
      <c r="AOF10" s="183"/>
      <c r="AOG10" s="183"/>
      <c r="AOH10" s="183"/>
      <c r="AOI10" s="183"/>
      <c r="AOJ10" s="183"/>
      <c r="AOK10" s="183"/>
      <c r="AOL10" s="183"/>
      <c r="AOM10" s="183"/>
      <c r="AON10" s="183"/>
      <c r="AOO10" s="183"/>
      <c r="AOP10" s="183"/>
      <c r="AOQ10" s="183"/>
      <c r="AOR10" s="183"/>
      <c r="AOS10" s="183"/>
      <c r="AOT10" s="183"/>
      <c r="AOU10" s="183"/>
      <c r="AOV10" s="183"/>
      <c r="AOW10" s="183"/>
      <c r="AOX10" s="183"/>
      <c r="AOY10" s="183"/>
      <c r="AOZ10" s="183"/>
      <c r="APA10" s="183"/>
      <c r="APB10" s="183"/>
      <c r="APC10" s="183"/>
      <c r="APD10" s="183"/>
      <c r="APE10" s="183"/>
      <c r="APF10" s="183"/>
      <c r="APG10" s="183"/>
      <c r="APH10" s="183"/>
      <c r="API10" s="183"/>
      <c r="APJ10" s="183"/>
      <c r="APK10" s="183"/>
      <c r="APL10" s="183"/>
      <c r="APM10" s="183"/>
      <c r="APN10" s="183"/>
      <c r="APO10" s="183"/>
      <c r="APP10" s="183"/>
      <c r="APQ10" s="183"/>
      <c r="APR10" s="183"/>
      <c r="APS10" s="183"/>
      <c r="APT10" s="183"/>
      <c r="APU10" s="183"/>
      <c r="APV10" s="183"/>
      <c r="APW10" s="183"/>
      <c r="APX10" s="183"/>
      <c r="APY10" s="183"/>
      <c r="APZ10" s="183"/>
      <c r="AQA10" s="183"/>
      <c r="AQB10" s="183"/>
      <c r="AQC10" s="183"/>
      <c r="AQD10" s="183"/>
      <c r="AQE10" s="183"/>
      <c r="AQF10" s="183"/>
      <c r="AQG10" s="183"/>
      <c r="AQH10" s="183"/>
      <c r="AQI10" s="183"/>
      <c r="AQJ10" s="183"/>
      <c r="AQK10" s="183"/>
      <c r="AQL10" s="183"/>
      <c r="AQM10" s="183"/>
      <c r="AQN10" s="183"/>
      <c r="AQO10" s="183"/>
      <c r="AQP10" s="183"/>
      <c r="AQQ10" s="183"/>
      <c r="AQR10" s="183"/>
      <c r="AQS10" s="183"/>
      <c r="AQT10" s="183"/>
      <c r="AQU10" s="183"/>
      <c r="AQV10" s="183"/>
      <c r="AQW10" s="183"/>
      <c r="AQX10" s="183"/>
      <c r="AQY10" s="183"/>
      <c r="AQZ10" s="183"/>
      <c r="ARA10" s="183"/>
      <c r="ARB10" s="183"/>
      <c r="ARC10" s="183"/>
      <c r="ARD10" s="183"/>
      <c r="ARE10" s="183"/>
      <c r="ARF10" s="183"/>
      <c r="ARG10" s="183"/>
      <c r="ARH10" s="183"/>
      <c r="ARI10" s="183"/>
      <c r="ARJ10" s="183"/>
      <c r="ARK10" s="183"/>
      <c r="ARL10" s="183"/>
      <c r="ARM10" s="183"/>
      <c r="ARN10" s="183"/>
      <c r="ARO10" s="183"/>
      <c r="ARP10" s="183"/>
      <c r="ARQ10" s="183"/>
      <c r="ARR10" s="183"/>
      <c r="ARS10" s="183"/>
      <c r="ART10" s="183"/>
      <c r="ARU10" s="183"/>
      <c r="ARV10" s="183"/>
      <c r="ARW10" s="183"/>
      <c r="ARX10" s="183"/>
      <c r="ARY10" s="183"/>
      <c r="ARZ10" s="183"/>
      <c r="ASA10" s="183"/>
      <c r="ASB10" s="183"/>
      <c r="ASC10" s="183"/>
      <c r="ASD10" s="183"/>
      <c r="ASE10" s="183"/>
      <c r="ASF10" s="183"/>
      <c r="ASG10" s="183"/>
      <c r="ASH10" s="183"/>
      <c r="ASI10" s="183"/>
      <c r="ASJ10" s="183"/>
      <c r="ASK10" s="183"/>
      <c r="ASL10" s="183"/>
      <c r="ASM10" s="183"/>
      <c r="ASN10" s="183"/>
      <c r="ASO10" s="183"/>
      <c r="ASP10" s="183"/>
      <c r="ASQ10" s="183"/>
      <c r="ASR10" s="183"/>
      <c r="ASS10" s="183"/>
      <c r="AST10" s="183"/>
      <c r="ASU10" s="183"/>
      <c r="ASV10" s="183"/>
      <c r="ASW10" s="183"/>
      <c r="ASX10" s="183"/>
      <c r="ASY10" s="183"/>
      <c r="ASZ10" s="183"/>
      <c r="ATA10" s="183"/>
      <c r="ATB10" s="183"/>
      <c r="ATC10" s="183"/>
      <c r="ATD10" s="183"/>
      <c r="ATE10" s="183"/>
      <c r="ATF10" s="183"/>
      <c r="ATG10" s="183"/>
      <c r="ATH10" s="183"/>
      <c r="ATI10" s="183"/>
      <c r="ATJ10" s="183"/>
      <c r="ATK10" s="183"/>
      <c r="ATL10" s="183"/>
      <c r="ATM10" s="183"/>
      <c r="ATN10" s="183"/>
      <c r="ATO10" s="183"/>
      <c r="ATP10" s="183"/>
      <c r="ATQ10" s="183"/>
      <c r="ATR10" s="183"/>
      <c r="ATS10" s="183"/>
      <c r="ATT10" s="183"/>
      <c r="ATU10" s="183"/>
      <c r="ATV10" s="183"/>
      <c r="ATW10" s="183"/>
      <c r="ATX10" s="183"/>
      <c r="ATY10" s="183"/>
      <c r="ATZ10" s="183"/>
      <c r="AUA10" s="183"/>
      <c r="AUB10" s="183"/>
      <c r="AUC10" s="183"/>
      <c r="AUD10" s="183"/>
      <c r="AUE10" s="183"/>
      <c r="AUF10" s="183"/>
      <c r="AUG10" s="183"/>
      <c r="AUH10" s="183"/>
      <c r="AUI10" s="183"/>
      <c r="AUJ10" s="183"/>
      <c r="AUK10" s="183"/>
      <c r="AUL10" s="183"/>
      <c r="AUM10" s="183"/>
      <c r="AUN10" s="183"/>
      <c r="AUO10" s="183"/>
      <c r="AUP10" s="183"/>
      <c r="AUQ10" s="183"/>
      <c r="AUR10" s="183"/>
      <c r="AUS10" s="183"/>
      <c r="AUT10" s="183"/>
      <c r="AUU10" s="183"/>
      <c r="AUV10" s="183"/>
      <c r="AUW10" s="183"/>
      <c r="AUX10" s="183"/>
      <c r="AUY10" s="183"/>
      <c r="AUZ10" s="183"/>
      <c r="AVA10" s="183"/>
      <c r="AVB10" s="183"/>
      <c r="AVC10" s="183"/>
      <c r="AVD10" s="183"/>
      <c r="AVE10" s="183"/>
      <c r="AVF10" s="183"/>
      <c r="AVG10" s="183"/>
      <c r="AVH10" s="183"/>
      <c r="AVI10" s="183"/>
      <c r="AVJ10" s="183"/>
      <c r="AVK10" s="183"/>
      <c r="AVL10" s="183"/>
      <c r="AVM10" s="183"/>
      <c r="AVN10" s="183"/>
      <c r="AVO10" s="183"/>
      <c r="AVP10" s="183"/>
      <c r="AVQ10" s="183"/>
      <c r="AVR10" s="183"/>
      <c r="AVS10" s="183"/>
      <c r="AVT10" s="183"/>
      <c r="AVU10" s="183"/>
      <c r="AVV10" s="183"/>
      <c r="AVW10" s="183"/>
      <c r="AVX10" s="183"/>
      <c r="AVY10" s="183"/>
      <c r="AVZ10" s="183"/>
      <c r="AWA10" s="183"/>
      <c r="AWB10" s="183"/>
      <c r="AWC10" s="183"/>
      <c r="AWD10" s="183"/>
      <c r="AWE10" s="183"/>
      <c r="AWF10" s="183"/>
      <c r="AWG10" s="183"/>
      <c r="AWH10" s="183"/>
      <c r="AWI10" s="183"/>
      <c r="AWJ10" s="183"/>
      <c r="AWK10" s="183"/>
      <c r="AWL10" s="183"/>
      <c r="AWM10" s="183"/>
      <c r="AWN10" s="183"/>
      <c r="AWO10" s="183"/>
      <c r="AWP10" s="183"/>
      <c r="AWQ10" s="183"/>
      <c r="AWR10" s="183"/>
      <c r="AWS10" s="183"/>
      <c r="AWT10" s="183"/>
      <c r="AWU10" s="183"/>
      <c r="AWV10" s="183"/>
      <c r="AWW10" s="183"/>
      <c r="AWX10" s="183"/>
      <c r="AWY10" s="183"/>
      <c r="AWZ10" s="183"/>
      <c r="AXA10" s="183"/>
      <c r="AXB10" s="183"/>
      <c r="AXC10" s="183"/>
      <c r="AXD10" s="183"/>
      <c r="AXE10" s="183"/>
      <c r="AXF10" s="183"/>
      <c r="AXG10" s="183"/>
      <c r="AXH10" s="183"/>
      <c r="AXI10" s="183"/>
      <c r="AXJ10" s="183"/>
      <c r="AXK10" s="183"/>
      <c r="AXL10" s="183"/>
      <c r="AXM10" s="183"/>
      <c r="AXN10" s="183"/>
      <c r="AXO10" s="183"/>
      <c r="AXP10" s="183"/>
      <c r="AXQ10" s="183"/>
      <c r="AXR10" s="183"/>
      <c r="AXS10" s="183"/>
      <c r="AXT10" s="183"/>
      <c r="AXU10" s="183"/>
      <c r="AXV10" s="183"/>
      <c r="AXW10" s="183"/>
      <c r="AXX10" s="183"/>
      <c r="AXY10" s="183"/>
      <c r="AXZ10" s="183"/>
      <c r="AYA10" s="183"/>
      <c r="AYB10" s="183"/>
      <c r="AYC10" s="183"/>
      <c r="AYD10" s="183"/>
      <c r="AYE10" s="183"/>
      <c r="AYF10" s="183"/>
      <c r="AYG10" s="183"/>
      <c r="AYH10" s="183"/>
      <c r="AYI10" s="183"/>
      <c r="AYJ10" s="183"/>
      <c r="AYK10" s="183"/>
      <c r="AYL10" s="183"/>
      <c r="AYM10" s="183"/>
      <c r="AYN10" s="183"/>
      <c r="AYO10" s="183"/>
      <c r="AYP10" s="183"/>
      <c r="AYQ10" s="183"/>
      <c r="AYR10" s="183"/>
      <c r="AYS10" s="183"/>
      <c r="AYT10" s="183"/>
      <c r="AYU10" s="183"/>
      <c r="AYV10" s="183"/>
      <c r="AYW10" s="183"/>
      <c r="AYX10" s="183"/>
      <c r="AYY10" s="183"/>
      <c r="AYZ10" s="183"/>
      <c r="AZA10" s="183"/>
      <c r="AZB10" s="183"/>
      <c r="AZC10" s="183"/>
      <c r="AZD10" s="183"/>
      <c r="AZE10" s="183"/>
      <c r="AZF10" s="183"/>
      <c r="AZG10" s="183"/>
      <c r="AZH10" s="183"/>
      <c r="AZI10" s="183"/>
      <c r="AZJ10" s="183"/>
      <c r="AZK10" s="183"/>
      <c r="AZL10" s="183"/>
      <c r="AZM10" s="183"/>
      <c r="AZN10" s="183"/>
      <c r="AZO10" s="183"/>
      <c r="AZP10" s="183"/>
      <c r="AZQ10" s="183"/>
      <c r="AZR10" s="183"/>
      <c r="AZS10" s="183"/>
      <c r="AZT10" s="183"/>
      <c r="AZU10" s="183"/>
      <c r="AZV10" s="183"/>
      <c r="AZW10" s="183"/>
      <c r="AZX10" s="183"/>
      <c r="AZY10" s="183"/>
      <c r="AZZ10" s="183"/>
      <c r="BAA10" s="183"/>
      <c r="BAB10" s="183"/>
      <c r="BAC10" s="183"/>
      <c r="BAD10" s="183"/>
      <c r="BAE10" s="183"/>
      <c r="BAF10" s="183"/>
      <c r="BAG10" s="183"/>
      <c r="BAH10" s="183"/>
      <c r="BAI10" s="183"/>
      <c r="BAJ10" s="183"/>
      <c r="BAK10" s="183"/>
      <c r="BAL10" s="183"/>
      <c r="BAM10" s="183"/>
      <c r="BAN10" s="183"/>
      <c r="BAO10" s="183"/>
      <c r="BAP10" s="183"/>
      <c r="BAQ10" s="183"/>
      <c r="BAR10" s="183"/>
      <c r="BAS10" s="183"/>
      <c r="BAT10" s="183"/>
      <c r="BAU10" s="183"/>
      <c r="BAV10" s="183"/>
      <c r="BAW10" s="183"/>
      <c r="BAX10" s="183"/>
      <c r="BAY10" s="183"/>
      <c r="BAZ10" s="183"/>
      <c r="BBA10" s="183"/>
      <c r="BBB10" s="183"/>
      <c r="BBC10" s="183"/>
      <c r="BBD10" s="183"/>
      <c r="BBE10" s="183"/>
      <c r="BBF10" s="183"/>
      <c r="BBG10" s="183"/>
      <c r="BBH10" s="183"/>
      <c r="BBI10" s="183"/>
      <c r="BBJ10" s="183"/>
      <c r="BBK10" s="183"/>
      <c r="BBL10" s="183"/>
      <c r="BBM10" s="183"/>
      <c r="BBN10" s="183"/>
      <c r="BBO10" s="183"/>
      <c r="BBP10" s="183"/>
      <c r="BBQ10" s="183"/>
      <c r="BBR10" s="183"/>
      <c r="BBS10" s="183"/>
      <c r="BBT10" s="183"/>
      <c r="BBU10" s="183"/>
      <c r="BBV10" s="183"/>
      <c r="BBW10" s="183"/>
      <c r="BBX10" s="183"/>
      <c r="BBY10" s="183"/>
      <c r="BBZ10" s="183"/>
      <c r="BCA10" s="183"/>
      <c r="BCB10" s="183"/>
      <c r="BCC10" s="183"/>
      <c r="BCD10" s="183"/>
      <c r="BCE10" s="183"/>
      <c r="BCF10" s="183"/>
      <c r="BCG10" s="183"/>
      <c r="BCH10" s="183"/>
      <c r="BCI10" s="183"/>
      <c r="BCJ10" s="183"/>
      <c r="BCK10" s="183"/>
      <c r="BCL10" s="183"/>
      <c r="BCM10" s="183"/>
      <c r="BCN10" s="183"/>
      <c r="BCO10" s="183"/>
      <c r="BCP10" s="183"/>
      <c r="BCQ10" s="183"/>
      <c r="BCR10" s="183"/>
      <c r="BCS10" s="183"/>
      <c r="BCT10" s="183"/>
      <c r="BCU10" s="183"/>
      <c r="BCV10" s="183"/>
      <c r="BCW10" s="183"/>
      <c r="BCX10" s="183"/>
      <c r="BCY10" s="183"/>
      <c r="BCZ10" s="183"/>
      <c r="BDA10" s="183"/>
      <c r="BDB10" s="183"/>
      <c r="BDC10" s="183"/>
      <c r="BDD10" s="183"/>
      <c r="BDE10" s="183"/>
      <c r="BDF10" s="183"/>
      <c r="BDG10" s="183"/>
      <c r="BDH10" s="183"/>
      <c r="BDI10" s="183"/>
      <c r="BDJ10" s="183"/>
      <c r="BDK10" s="183"/>
      <c r="BDL10" s="183"/>
      <c r="BDM10" s="183"/>
      <c r="BDN10" s="183"/>
      <c r="BDO10" s="183"/>
      <c r="BDP10" s="183"/>
      <c r="BDQ10" s="183"/>
      <c r="BDR10" s="183"/>
      <c r="BDS10" s="183"/>
      <c r="BDT10" s="183"/>
      <c r="BDU10" s="183"/>
      <c r="BDV10" s="183"/>
      <c r="BDW10" s="183"/>
      <c r="BDX10" s="183"/>
      <c r="BDY10" s="183"/>
      <c r="BDZ10" s="183"/>
      <c r="BEA10" s="183"/>
      <c r="BEB10" s="183"/>
      <c r="BEC10" s="183"/>
      <c r="BED10" s="183"/>
      <c r="BEE10" s="183"/>
      <c r="BEF10" s="183"/>
      <c r="BEG10" s="183"/>
      <c r="BEH10" s="183"/>
      <c r="BEI10" s="183"/>
      <c r="BEJ10" s="183"/>
      <c r="BEK10" s="183"/>
      <c r="BEL10" s="183"/>
      <c r="BEM10" s="183"/>
      <c r="BEN10" s="183"/>
      <c r="BEO10" s="183"/>
      <c r="BEP10" s="183"/>
      <c r="BEQ10" s="183"/>
      <c r="BER10" s="183"/>
      <c r="BES10" s="183"/>
      <c r="BET10" s="183"/>
      <c r="BEU10" s="183"/>
      <c r="BEV10" s="183"/>
      <c r="BEW10" s="183"/>
      <c r="BEX10" s="183"/>
      <c r="BEY10" s="183"/>
      <c r="BEZ10" s="183"/>
      <c r="BFA10" s="183"/>
      <c r="BFB10" s="183"/>
      <c r="BFC10" s="183"/>
      <c r="BFD10" s="183"/>
      <c r="BFE10" s="183"/>
      <c r="BFF10" s="183"/>
      <c r="BFG10" s="183"/>
      <c r="BFH10" s="183"/>
      <c r="BFI10" s="183"/>
      <c r="BFJ10" s="183"/>
      <c r="BFK10" s="183"/>
      <c r="BFL10" s="183"/>
      <c r="BFM10" s="183"/>
      <c r="BFN10" s="183"/>
      <c r="BFO10" s="183"/>
      <c r="BFP10" s="183"/>
      <c r="BFQ10" s="183"/>
      <c r="BFR10" s="183"/>
      <c r="BFS10" s="183"/>
      <c r="BFT10" s="183"/>
      <c r="BFU10" s="183"/>
      <c r="BFV10" s="183"/>
      <c r="BFW10" s="183"/>
      <c r="BFX10" s="183"/>
      <c r="BFY10" s="183"/>
      <c r="BFZ10" s="183"/>
      <c r="BGA10" s="183"/>
      <c r="BGB10" s="183"/>
      <c r="BGC10" s="183"/>
      <c r="BGD10" s="183"/>
      <c r="BGE10" s="183"/>
      <c r="BGF10" s="183"/>
      <c r="BGG10" s="183"/>
      <c r="BGH10" s="183"/>
      <c r="BGI10" s="183"/>
      <c r="BGJ10" s="183"/>
      <c r="BGK10" s="183"/>
      <c r="BGL10" s="183"/>
      <c r="BGM10" s="183"/>
      <c r="BGN10" s="183"/>
      <c r="BGO10" s="183"/>
      <c r="BGP10" s="183"/>
      <c r="BGQ10" s="183"/>
      <c r="BGR10" s="183"/>
      <c r="BGS10" s="183"/>
      <c r="BGT10" s="183"/>
      <c r="BGU10" s="183"/>
      <c r="BGV10" s="183"/>
      <c r="BGW10" s="183"/>
      <c r="BGX10" s="183"/>
      <c r="BGY10" s="183"/>
      <c r="BGZ10" s="183"/>
      <c r="BHA10" s="183"/>
      <c r="BHB10" s="183"/>
      <c r="BHC10" s="183"/>
      <c r="BHD10" s="183"/>
      <c r="BHE10" s="183"/>
      <c r="BHF10" s="183"/>
      <c r="BHG10" s="183"/>
      <c r="BHH10" s="183"/>
      <c r="BHI10" s="183"/>
      <c r="BHJ10" s="183"/>
      <c r="BHK10" s="183"/>
      <c r="BHL10" s="183"/>
      <c r="BHM10" s="183"/>
      <c r="BHN10" s="183"/>
      <c r="BHO10" s="183"/>
      <c r="BHP10" s="183"/>
      <c r="BHQ10" s="183"/>
      <c r="BHR10" s="183"/>
      <c r="BHS10" s="183"/>
      <c r="BHT10" s="183"/>
      <c r="BHU10" s="183"/>
      <c r="BHV10" s="183"/>
      <c r="BHW10" s="183"/>
      <c r="BHX10" s="183"/>
      <c r="BHY10" s="183"/>
      <c r="BHZ10" s="183"/>
      <c r="BIA10" s="183"/>
      <c r="BIB10" s="183"/>
      <c r="BIC10" s="183"/>
      <c r="BID10" s="183"/>
      <c r="BIE10" s="183"/>
      <c r="BIF10" s="183"/>
      <c r="BIG10" s="183"/>
      <c r="BIH10" s="183"/>
      <c r="BII10" s="183"/>
      <c r="BIJ10" s="183"/>
      <c r="BIK10" s="183"/>
      <c r="BIL10" s="183"/>
      <c r="BIM10" s="183"/>
      <c r="BIN10" s="183"/>
      <c r="BIO10" s="183"/>
      <c r="BIP10" s="183"/>
      <c r="BIQ10" s="183"/>
      <c r="BIR10" s="183"/>
      <c r="BIS10" s="183"/>
      <c r="BIT10" s="183"/>
      <c r="BIU10" s="183"/>
      <c r="BIV10" s="183"/>
      <c r="BIW10" s="183"/>
      <c r="BIX10" s="183"/>
      <c r="BIY10" s="183"/>
      <c r="BIZ10" s="183"/>
      <c r="BJA10" s="183"/>
      <c r="BJB10" s="183"/>
      <c r="BJC10" s="183"/>
      <c r="BJD10" s="183"/>
      <c r="BJE10" s="183"/>
      <c r="BJF10" s="183"/>
      <c r="BJG10" s="183"/>
      <c r="BJH10" s="183"/>
      <c r="BJI10" s="183"/>
      <c r="BJJ10" s="183"/>
      <c r="BJK10" s="183"/>
      <c r="BJL10" s="183"/>
      <c r="BJM10" s="183"/>
      <c r="BJN10" s="183"/>
      <c r="BJO10" s="183"/>
      <c r="BJP10" s="183"/>
      <c r="BJQ10" s="183"/>
      <c r="BJR10" s="183"/>
      <c r="BJS10" s="183"/>
      <c r="BJT10" s="183"/>
      <c r="BJU10" s="183"/>
      <c r="BJV10" s="183"/>
      <c r="BJW10" s="183"/>
      <c r="BJX10" s="183"/>
      <c r="BJY10" s="183"/>
      <c r="BJZ10" s="183"/>
      <c r="BKA10" s="183"/>
      <c r="BKB10" s="183"/>
      <c r="BKC10" s="183"/>
      <c r="BKD10" s="183"/>
      <c r="BKE10" s="183"/>
      <c r="BKF10" s="183"/>
      <c r="BKG10" s="183"/>
      <c r="BKH10" s="183"/>
      <c r="BKI10" s="183"/>
      <c r="BKJ10" s="183"/>
      <c r="BKK10" s="183"/>
      <c r="BKL10" s="183"/>
      <c r="BKM10" s="183"/>
      <c r="BKN10" s="183"/>
      <c r="BKO10" s="183"/>
      <c r="BKP10" s="183"/>
      <c r="BKQ10" s="183"/>
      <c r="BKR10" s="183"/>
      <c r="BKS10" s="183"/>
      <c r="BKT10" s="183"/>
      <c r="BKU10" s="183"/>
      <c r="BKV10" s="183"/>
      <c r="BKW10" s="183"/>
      <c r="BKX10" s="183"/>
      <c r="BKY10" s="183"/>
      <c r="BKZ10" s="183"/>
      <c r="BLA10" s="183"/>
      <c r="BLB10" s="183"/>
      <c r="BLC10" s="183"/>
      <c r="BLD10" s="183"/>
      <c r="BLE10" s="183"/>
      <c r="BLF10" s="183"/>
      <c r="BLG10" s="183"/>
      <c r="BLH10" s="183"/>
      <c r="BLI10" s="183"/>
      <c r="BLJ10" s="183"/>
      <c r="BLK10" s="183"/>
      <c r="BLL10" s="183"/>
      <c r="BLM10" s="183"/>
      <c r="BLN10" s="183"/>
      <c r="BLO10" s="183"/>
      <c r="BLP10" s="183"/>
      <c r="BLQ10" s="183"/>
      <c r="BLR10" s="183"/>
      <c r="BLS10" s="183"/>
      <c r="BLT10" s="183"/>
      <c r="BLU10" s="183"/>
      <c r="BLV10" s="183"/>
      <c r="BLW10" s="183"/>
      <c r="BLX10" s="183"/>
      <c r="BLY10" s="183"/>
      <c r="BLZ10" s="183"/>
      <c r="BMA10" s="183"/>
      <c r="BMB10" s="183"/>
      <c r="BMC10" s="183"/>
      <c r="BMD10" s="183"/>
      <c r="BME10" s="183"/>
      <c r="BMF10" s="183"/>
      <c r="BMG10" s="183"/>
      <c r="BMH10" s="183"/>
      <c r="BMI10" s="183"/>
      <c r="BMJ10" s="183"/>
      <c r="BMK10" s="183"/>
      <c r="BML10" s="183"/>
      <c r="BMM10" s="183"/>
      <c r="BMN10" s="183"/>
      <c r="BMO10" s="183"/>
      <c r="BMP10" s="183"/>
      <c r="BMQ10" s="183"/>
      <c r="BMR10" s="183"/>
      <c r="BMS10" s="183"/>
      <c r="BMT10" s="183"/>
      <c r="BMU10" s="183"/>
      <c r="BMV10" s="183"/>
      <c r="BMW10" s="183"/>
      <c r="BMX10" s="183"/>
      <c r="BMY10" s="183"/>
      <c r="BMZ10" s="183"/>
      <c r="BNA10" s="183"/>
      <c r="BNB10" s="183"/>
      <c r="BNC10" s="183"/>
      <c r="BND10" s="183"/>
      <c r="BNE10" s="183"/>
      <c r="BNF10" s="183"/>
      <c r="BNG10" s="183"/>
      <c r="BNH10" s="183"/>
      <c r="BNI10" s="183"/>
      <c r="BNJ10" s="183"/>
      <c r="BNK10" s="183"/>
      <c r="BNL10" s="183"/>
      <c r="BNM10" s="183"/>
      <c r="BNN10" s="183"/>
      <c r="BNO10" s="183"/>
      <c r="BNP10" s="183"/>
      <c r="BNQ10" s="183"/>
      <c r="BNR10" s="183"/>
      <c r="BNS10" s="183"/>
      <c r="BNT10" s="183"/>
      <c r="BNU10" s="183"/>
      <c r="BNV10" s="183"/>
      <c r="BNW10" s="183"/>
      <c r="BNX10" s="183"/>
      <c r="BNY10" s="183"/>
      <c r="BNZ10" s="183"/>
      <c r="BOA10" s="183"/>
      <c r="BOB10" s="183"/>
      <c r="BOC10" s="183"/>
      <c r="BOD10" s="183"/>
      <c r="BOE10" s="183"/>
      <c r="BOF10" s="183"/>
      <c r="BOG10" s="183"/>
      <c r="BOH10" s="183"/>
      <c r="BOI10" s="183"/>
      <c r="BOJ10" s="183"/>
      <c r="BOK10" s="183"/>
      <c r="BOL10" s="183"/>
      <c r="BOM10" s="183"/>
      <c r="BON10" s="183"/>
      <c r="BOO10" s="183"/>
      <c r="BOP10" s="183"/>
      <c r="BOQ10" s="183"/>
      <c r="BOR10" s="183"/>
      <c r="BOS10" s="183"/>
      <c r="BOT10" s="183"/>
      <c r="BOU10" s="183"/>
      <c r="BOV10" s="183"/>
      <c r="BOW10" s="183"/>
      <c r="BOX10" s="183"/>
      <c r="BOY10" s="183"/>
      <c r="BOZ10" s="183"/>
      <c r="BPA10" s="183"/>
      <c r="BPB10" s="183"/>
      <c r="BPC10" s="183"/>
      <c r="BPD10" s="183"/>
      <c r="BPE10" s="183"/>
      <c r="BPF10" s="183"/>
      <c r="BPG10" s="183"/>
      <c r="BPH10" s="183"/>
      <c r="BPI10" s="183"/>
      <c r="BPJ10" s="183"/>
      <c r="BPK10" s="183"/>
      <c r="BPL10" s="183"/>
      <c r="BPM10" s="183"/>
      <c r="BPN10" s="183"/>
      <c r="BPO10" s="183"/>
      <c r="BPP10" s="183"/>
      <c r="BPQ10" s="183"/>
      <c r="BPR10" s="183"/>
      <c r="BPS10" s="183"/>
      <c r="BPT10" s="183"/>
      <c r="BPU10" s="183"/>
      <c r="BPV10" s="183"/>
      <c r="BPW10" s="183"/>
      <c r="BPX10" s="183"/>
      <c r="BPY10" s="183"/>
      <c r="BPZ10" s="183"/>
      <c r="BQA10" s="183"/>
      <c r="BQB10" s="183"/>
      <c r="BQC10" s="183"/>
      <c r="BQD10" s="183"/>
      <c r="BQE10" s="183"/>
      <c r="BQF10" s="183"/>
      <c r="BQG10" s="183"/>
      <c r="BQH10" s="183"/>
      <c r="BQI10" s="183"/>
      <c r="BQJ10" s="183"/>
      <c r="BQK10" s="183"/>
      <c r="BQL10" s="183"/>
      <c r="BQM10" s="183"/>
      <c r="BQN10" s="183"/>
      <c r="BQO10" s="183"/>
      <c r="BQP10" s="183"/>
      <c r="BQQ10" s="183"/>
      <c r="BQR10" s="183"/>
      <c r="BQS10" s="183"/>
      <c r="BQT10" s="183"/>
      <c r="BQU10" s="183"/>
      <c r="BQV10" s="183"/>
      <c r="BQW10" s="183"/>
      <c r="BQX10" s="183"/>
      <c r="BQY10" s="183"/>
      <c r="BQZ10" s="183"/>
      <c r="BRA10" s="183"/>
      <c r="BRB10" s="183"/>
      <c r="BRC10" s="183"/>
      <c r="BRD10" s="183"/>
      <c r="BRE10" s="183"/>
      <c r="BRF10" s="183"/>
      <c r="BRG10" s="183"/>
      <c r="BRH10" s="183"/>
      <c r="BRI10" s="183"/>
      <c r="BRJ10" s="183"/>
      <c r="BRK10" s="183"/>
      <c r="BRL10" s="183"/>
      <c r="BRM10" s="183"/>
      <c r="BRN10" s="183"/>
      <c r="BRO10" s="183"/>
      <c r="BRP10" s="183"/>
      <c r="BRQ10" s="183"/>
      <c r="BRR10" s="183"/>
      <c r="BRS10" s="183"/>
      <c r="BRT10" s="183"/>
      <c r="BRU10" s="183"/>
      <c r="BRV10" s="183"/>
      <c r="BRW10" s="183"/>
      <c r="BRX10" s="183"/>
      <c r="BRY10" s="183"/>
      <c r="BRZ10" s="183"/>
      <c r="BSA10" s="183"/>
      <c r="BSB10" s="183"/>
      <c r="BSC10" s="183"/>
      <c r="BSD10" s="183"/>
      <c r="BSE10" s="183"/>
      <c r="BSF10" s="183"/>
      <c r="BSG10" s="183"/>
      <c r="BSH10" s="183"/>
      <c r="BSI10" s="183"/>
      <c r="BSJ10" s="183"/>
      <c r="BSK10" s="183"/>
      <c r="BSL10" s="183"/>
      <c r="BSM10" s="183"/>
      <c r="BSN10" s="183"/>
      <c r="BSO10" s="183"/>
      <c r="BSP10" s="183"/>
      <c r="BSQ10" s="183"/>
      <c r="BSR10" s="183"/>
      <c r="BSS10" s="183"/>
      <c r="BST10" s="183"/>
      <c r="BSU10" s="183"/>
      <c r="BSV10" s="183"/>
      <c r="BSW10" s="183"/>
      <c r="BSX10" s="183"/>
      <c r="BSY10" s="183"/>
      <c r="BSZ10" s="183"/>
      <c r="BTA10" s="183"/>
      <c r="BTB10" s="183"/>
      <c r="BTC10" s="183"/>
      <c r="BTD10" s="183"/>
      <c r="BTE10" s="183"/>
      <c r="BTF10" s="183"/>
      <c r="BTG10" s="183"/>
      <c r="BTH10" s="183"/>
      <c r="BTI10" s="183"/>
      <c r="BTJ10" s="183"/>
      <c r="BTK10" s="183"/>
      <c r="BTL10" s="183"/>
      <c r="BTM10" s="183"/>
      <c r="BTN10" s="183"/>
      <c r="BTO10" s="183"/>
      <c r="BTP10" s="183"/>
      <c r="BTQ10" s="183"/>
      <c r="BTR10" s="183"/>
      <c r="BTS10" s="183"/>
      <c r="BTT10" s="183"/>
      <c r="BTU10" s="183"/>
      <c r="BTV10" s="183"/>
      <c r="BTW10" s="183"/>
      <c r="BTX10" s="183"/>
      <c r="BTY10" s="183"/>
      <c r="BTZ10" s="183"/>
      <c r="BUA10" s="183"/>
      <c r="BUB10" s="183"/>
      <c r="BUC10" s="183"/>
      <c r="BUD10" s="183"/>
      <c r="BUE10" s="183"/>
      <c r="BUF10" s="183"/>
      <c r="BUG10" s="183"/>
      <c r="BUH10" s="183"/>
      <c r="BUI10" s="183"/>
      <c r="BUJ10" s="183"/>
      <c r="BUK10" s="183"/>
      <c r="BUL10" s="183"/>
      <c r="BUM10" s="183"/>
      <c r="BUN10" s="183"/>
      <c r="BUO10" s="183"/>
      <c r="BUP10" s="183"/>
      <c r="BUQ10" s="183"/>
      <c r="BUR10" s="183"/>
      <c r="BUS10" s="183"/>
      <c r="BUT10" s="183"/>
      <c r="BUU10" s="183"/>
      <c r="BUV10" s="183"/>
      <c r="BUW10" s="183"/>
      <c r="BUX10" s="183"/>
      <c r="BUY10" s="183"/>
      <c r="BUZ10" s="183"/>
      <c r="BVA10" s="183"/>
      <c r="BVB10" s="183"/>
      <c r="BVC10" s="183"/>
      <c r="BVD10" s="183"/>
      <c r="BVE10" s="183"/>
      <c r="BVF10" s="183"/>
      <c r="BVG10" s="183"/>
      <c r="BVH10" s="183"/>
      <c r="BVI10" s="183"/>
      <c r="BVJ10" s="183"/>
      <c r="BVK10" s="183"/>
      <c r="BVL10" s="183"/>
      <c r="BVM10" s="183"/>
      <c r="BVN10" s="183"/>
      <c r="BVO10" s="183"/>
      <c r="BVP10" s="183"/>
      <c r="BVQ10" s="183"/>
      <c r="BVR10" s="183"/>
      <c r="BVS10" s="183"/>
      <c r="BVT10" s="183"/>
      <c r="BVU10" s="183"/>
      <c r="BVV10" s="183"/>
      <c r="BVW10" s="183"/>
      <c r="BVX10" s="183"/>
      <c r="BVY10" s="183"/>
      <c r="BVZ10" s="183"/>
      <c r="BWA10" s="183"/>
      <c r="BWB10" s="183"/>
      <c r="BWC10" s="183"/>
      <c r="BWD10" s="183"/>
      <c r="BWE10" s="183"/>
      <c r="BWF10" s="183"/>
      <c r="BWG10" s="183"/>
      <c r="BWH10" s="183"/>
      <c r="BWI10" s="183"/>
      <c r="BWJ10" s="183"/>
      <c r="BWK10" s="183"/>
      <c r="BWL10" s="183"/>
      <c r="BWM10" s="183"/>
      <c r="BWN10" s="183"/>
      <c r="BWO10" s="183"/>
      <c r="BWP10" s="183"/>
      <c r="BWQ10" s="183"/>
      <c r="BWR10" s="183"/>
      <c r="BWS10" s="183"/>
      <c r="BWT10" s="183"/>
      <c r="BWU10" s="183"/>
      <c r="BWV10" s="183"/>
      <c r="BWW10" s="183"/>
      <c r="BWX10" s="183"/>
      <c r="BWY10" s="183"/>
      <c r="BWZ10" s="183"/>
      <c r="BXA10" s="183"/>
      <c r="BXB10" s="183"/>
      <c r="BXC10" s="183"/>
      <c r="BXD10" s="183"/>
      <c r="BXE10" s="183"/>
      <c r="BXF10" s="183"/>
      <c r="BXG10" s="183"/>
      <c r="BXH10" s="183"/>
      <c r="BXI10" s="183"/>
      <c r="BXJ10" s="183"/>
      <c r="BXK10" s="183"/>
      <c r="BXL10" s="183"/>
      <c r="BXM10" s="183"/>
      <c r="BXN10" s="183"/>
      <c r="BXO10" s="183"/>
      <c r="BXP10" s="183"/>
      <c r="BXQ10" s="183"/>
      <c r="BXR10" s="183"/>
      <c r="BXS10" s="183"/>
      <c r="BXT10" s="183"/>
      <c r="BXU10" s="183"/>
      <c r="BXV10" s="183"/>
      <c r="BXW10" s="183"/>
      <c r="BXX10" s="183"/>
      <c r="BXY10" s="183"/>
      <c r="BXZ10" s="183"/>
      <c r="BYA10" s="183"/>
      <c r="BYB10" s="183"/>
      <c r="BYC10" s="183"/>
      <c r="BYD10" s="183"/>
      <c r="BYE10" s="183"/>
      <c r="BYF10" s="183"/>
      <c r="BYG10" s="183"/>
      <c r="BYH10" s="183"/>
      <c r="BYI10" s="183"/>
      <c r="BYJ10" s="183"/>
      <c r="BYK10" s="183"/>
      <c r="BYL10" s="183"/>
      <c r="BYM10" s="183"/>
      <c r="BYN10" s="183"/>
      <c r="BYO10" s="183"/>
      <c r="BYP10" s="183"/>
      <c r="BYQ10" s="183"/>
      <c r="BYR10" s="183"/>
      <c r="BYS10" s="183"/>
      <c r="BYT10" s="183"/>
      <c r="BYU10" s="183"/>
      <c r="BYV10" s="183"/>
      <c r="BYW10" s="183"/>
      <c r="BYX10" s="183"/>
      <c r="BYY10" s="183"/>
      <c r="BYZ10" s="183"/>
      <c r="BZA10" s="183"/>
      <c r="BZB10" s="183"/>
      <c r="BZC10" s="183"/>
      <c r="BZD10" s="183"/>
      <c r="BZE10" s="183"/>
      <c r="BZF10" s="183"/>
      <c r="BZG10" s="183"/>
      <c r="BZH10" s="183"/>
      <c r="BZI10" s="183"/>
      <c r="BZJ10" s="183"/>
      <c r="BZK10" s="183"/>
      <c r="BZL10" s="183"/>
      <c r="BZM10" s="183"/>
      <c r="BZN10" s="183"/>
      <c r="BZO10" s="183"/>
      <c r="BZP10" s="183"/>
      <c r="BZQ10" s="183"/>
      <c r="BZR10" s="183"/>
      <c r="BZS10" s="183"/>
      <c r="BZT10" s="183"/>
      <c r="BZU10" s="183"/>
      <c r="BZV10" s="183"/>
      <c r="BZW10" s="183"/>
      <c r="BZX10" s="183"/>
      <c r="BZY10" s="183"/>
      <c r="BZZ10" s="183"/>
      <c r="CAA10" s="183"/>
      <c r="CAB10" s="183"/>
      <c r="CAC10" s="183"/>
      <c r="CAD10" s="183"/>
      <c r="CAE10" s="183"/>
      <c r="CAF10" s="183"/>
      <c r="CAG10" s="183"/>
      <c r="CAH10" s="183"/>
      <c r="CAI10" s="183"/>
      <c r="CAJ10" s="183"/>
      <c r="CAK10" s="183"/>
      <c r="CAL10" s="183"/>
      <c r="CAM10" s="183"/>
      <c r="CAN10" s="183"/>
      <c r="CAO10" s="183"/>
      <c r="CAP10" s="183"/>
      <c r="CAQ10" s="183"/>
      <c r="CAR10" s="183"/>
      <c r="CAS10" s="183"/>
      <c r="CAT10" s="183"/>
      <c r="CAU10" s="183"/>
      <c r="CAV10" s="183"/>
      <c r="CAW10" s="183"/>
      <c r="CAX10" s="183"/>
      <c r="CAY10" s="183"/>
      <c r="CAZ10" s="183"/>
      <c r="CBA10" s="183"/>
      <c r="CBB10" s="183"/>
      <c r="CBC10" s="183"/>
      <c r="CBD10" s="183"/>
      <c r="CBE10" s="183"/>
      <c r="CBF10" s="183"/>
      <c r="CBG10" s="183"/>
      <c r="CBH10" s="183"/>
      <c r="CBI10" s="183"/>
      <c r="CBJ10" s="183"/>
      <c r="CBK10" s="183"/>
      <c r="CBL10" s="183"/>
      <c r="CBM10" s="183"/>
      <c r="CBN10" s="183"/>
      <c r="CBO10" s="183"/>
      <c r="CBP10" s="183"/>
      <c r="CBQ10" s="183"/>
      <c r="CBR10" s="183"/>
      <c r="CBS10" s="183"/>
      <c r="CBT10" s="183"/>
      <c r="CBU10" s="183"/>
      <c r="CBV10" s="183"/>
      <c r="CBW10" s="183"/>
      <c r="CBX10" s="183"/>
      <c r="CBY10" s="183"/>
      <c r="CBZ10" s="90"/>
    </row>
    <row r="11" spans="1:2106" ht="20.100000000000001" customHeight="1" x14ac:dyDescent="0.25">
      <c r="B11" s="96"/>
      <c r="C11" s="178"/>
      <c r="D11" s="178"/>
      <c r="E11" s="178"/>
      <c r="F11" s="181" t="s">
        <v>51</v>
      </c>
      <c r="G11" s="181"/>
      <c r="H11" s="181"/>
      <c r="I11" s="181"/>
      <c r="J11" s="181"/>
      <c r="K11" s="181"/>
      <c r="L11" s="181"/>
      <c r="M11" s="181"/>
      <c r="N11" s="181"/>
      <c r="O11" s="181"/>
      <c r="P11" s="181"/>
      <c r="Q11" s="181"/>
      <c r="R11" s="181"/>
      <c r="S11" s="181"/>
      <c r="T11" s="181"/>
      <c r="U11" s="181"/>
      <c r="V11" s="181"/>
      <c r="W11" s="181"/>
      <c r="X11" s="181"/>
      <c r="Y11" s="181"/>
      <c r="Z11" s="181"/>
      <c r="AA11" s="181"/>
      <c r="AB11" s="181"/>
      <c r="AC11" s="181"/>
      <c r="AD11" s="181"/>
      <c r="AE11" s="181"/>
      <c r="AF11" s="181"/>
      <c r="AG11" s="181"/>
      <c r="AH11" s="181"/>
      <c r="AI11" s="181"/>
      <c r="AJ11" s="181"/>
      <c r="AK11" s="181"/>
      <c r="AL11" s="181"/>
      <c r="AM11" s="181"/>
      <c r="AN11" s="181"/>
      <c r="AO11" s="181"/>
      <c r="AP11" s="181"/>
      <c r="AQ11" s="181"/>
      <c r="AR11" s="181"/>
      <c r="AS11" s="181"/>
      <c r="AT11" s="181"/>
      <c r="AU11" s="181"/>
      <c r="AV11" s="181"/>
      <c r="AW11" s="181"/>
      <c r="AX11" s="181"/>
      <c r="AY11" s="181"/>
      <c r="AZ11" s="181"/>
      <c r="BA11" s="181"/>
      <c r="BB11" s="181"/>
      <c r="BC11" s="181"/>
      <c r="BD11" s="181"/>
      <c r="BE11" s="181"/>
      <c r="BF11" s="181"/>
      <c r="BG11" s="181"/>
      <c r="BH11" s="181"/>
      <c r="BI11" s="181"/>
      <c r="BJ11" s="181"/>
      <c r="BK11" s="181"/>
      <c r="BL11" s="181"/>
      <c r="BM11" s="181"/>
      <c r="BN11" s="181" t="s">
        <v>50</v>
      </c>
      <c r="BO11" s="181"/>
      <c r="BP11" s="181"/>
      <c r="BQ11" s="181"/>
      <c r="BR11" s="181"/>
      <c r="BS11" s="181"/>
      <c r="BT11" s="181"/>
      <c r="BU11" s="181"/>
      <c r="BV11" s="181"/>
      <c r="BW11" s="181"/>
      <c r="BX11" s="181"/>
      <c r="BY11" s="181"/>
      <c r="BZ11" s="181"/>
      <c r="CA11" s="181"/>
      <c r="CB11" s="181"/>
      <c r="CC11" s="181"/>
      <c r="CD11" s="181"/>
      <c r="CE11" s="181"/>
      <c r="CF11" s="181"/>
      <c r="CG11" s="181"/>
      <c r="CH11" s="181"/>
      <c r="CI11" s="181"/>
      <c r="CJ11" s="181"/>
      <c r="CK11" s="181"/>
      <c r="CL11" s="181"/>
      <c r="CM11" s="181"/>
      <c r="CN11" s="181"/>
      <c r="CO11" s="181"/>
      <c r="CP11" s="181"/>
      <c r="CQ11" s="181"/>
      <c r="CR11" s="181"/>
      <c r="CS11" s="181"/>
      <c r="CT11" s="181"/>
      <c r="CU11" s="181"/>
      <c r="CV11" s="181"/>
      <c r="CW11" s="181"/>
      <c r="CX11" s="181"/>
      <c r="CY11" s="181"/>
      <c r="CZ11" s="181"/>
      <c r="DA11" s="181"/>
      <c r="DB11" s="181"/>
      <c r="DC11" s="181"/>
      <c r="DD11" s="181"/>
      <c r="DE11" s="181"/>
      <c r="DF11" s="181"/>
      <c r="DG11" s="181"/>
      <c r="DH11" s="181"/>
      <c r="DI11" s="181"/>
      <c r="DJ11" s="181"/>
      <c r="DK11" s="181"/>
      <c r="DL11" s="181"/>
      <c r="DM11" s="181"/>
      <c r="DN11" s="181"/>
      <c r="DO11" s="181"/>
      <c r="DP11" s="181"/>
      <c r="DQ11" s="181"/>
      <c r="DR11" s="181"/>
      <c r="DS11" s="181"/>
      <c r="DT11" s="181"/>
      <c r="DU11" s="181"/>
      <c r="DV11" s="185" t="s">
        <v>50</v>
      </c>
      <c r="DW11" s="185"/>
      <c r="DX11" s="185"/>
      <c r="DY11" s="185"/>
      <c r="DZ11" s="185"/>
      <c r="EA11" s="185"/>
      <c r="EB11" s="185"/>
      <c r="EC11" s="185"/>
      <c r="ED11" s="185"/>
      <c r="EE11" s="185"/>
      <c r="EF11" s="185"/>
      <c r="EG11" s="185"/>
      <c r="EH11" s="185"/>
      <c r="EI11" s="185"/>
      <c r="EJ11" s="185"/>
      <c r="EK11" s="185"/>
      <c r="EL11" s="185"/>
      <c r="EM11" s="185"/>
      <c r="EN11" s="185"/>
      <c r="EO11" s="185"/>
      <c r="EP11" s="185"/>
      <c r="EQ11" s="185"/>
      <c r="ER11" s="185"/>
      <c r="ES11" s="185"/>
      <c r="ET11" s="185"/>
      <c r="EU11" s="185"/>
      <c r="EV11" s="185"/>
      <c r="EW11" s="185"/>
      <c r="EX11" s="185"/>
      <c r="EY11" s="185"/>
      <c r="EZ11" s="185"/>
      <c r="FA11" s="185"/>
      <c r="FB11" s="185"/>
      <c r="FC11" s="185"/>
      <c r="FD11" s="185"/>
      <c r="FE11" s="185"/>
      <c r="FF11" s="185"/>
      <c r="FG11" s="185"/>
      <c r="FH11" s="185"/>
      <c r="FI11" s="185"/>
      <c r="FJ11" s="185"/>
      <c r="FK11" s="185"/>
      <c r="FL11" s="185"/>
      <c r="FM11" s="185"/>
      <c r="FN11" s="185"/>
      <c r="FO11" s="185"/>
      <c r="FP11" s="185"/>
      <c r="FQ11" s="185"/>
      <c r="FR11" s="185"/>
      <c r="FS11" s="185"/>
      <c r="FT11" s="185"/>
      <c r="FU11" s="185"/>
      <c r="FV11" s="185"/>
      <c r="FW11" s="185"/>
      <c r="FX11" s="185"/>
      <c r="FY11" s="185"/>
      <c r="FZ11" s="185"/>
      <c r="GA11" s="185"/>
      <c r="GB11" s="185"/>
      <c r="GC11" s="185"/>
      <c r="GD11" s="185" t="s">
        <v>103</v>
      </c>
      <c r="GE11" s="185"/>
      <c r="GF11" s="185"/>
      <c r="GG11" s="185"/>
      <c r="GH11" s="185"/>
      <c r="GI11" s="185"/>
      <c r="GJ11" s="185"/>
      <c r="GK11" s="185"/>
      <c r="GL11" s="185"/>
      <c r="GM11" s="185"/>
      <c r="GN11" s="185"/>
      <c r="GO11" s="185"/>
      <c r="GP11" s="185"/>
      <c r="GQ11" s="185"/>
      <c r="GR11" s="185"/>
      <c r="GS11" s="185"/>
      <c r="GT11" s="185"/>
      <c r="GU11" s="185"/>
      <c r="GV11" s="185"/>
      <c r="GW11" s="185"/>
      <c r="GX11" s="185"/>
      <c r="GY11" s="185"/>
      <c r="GZ11" s="185"/>
      <c r="HA11" s="185"/>
      <c r="HB11" s="185"/>
      <c r="HC11" s="185"/>
      <c r="HD11" s="185"/>
      <c r="HE11" s="185"/>
      <c r="HF11" s="185"/>
      <c r="HG11" s="185"/>
      <c r="HH11" s="185"/>
      <c r="HI11" s="185"/>
      <c r="HJ11" s="185"/>
      <c r="HK11" s="185"/>
      <c r="HL11" s="185"/>
      <c r="HM11" s="185"/>
      <c r="HN11" s="185"/>
      <c r="HO11" s="185"/>
      <c r="HP11" s="185"/>
      <c r="HQ11" s="185"/>
      <c r="HR11" s="185"/>
      <c r="HS11" s="185"/>
      <c r="HT11" s="185"/>
      <c r="HU11" s="185"/>
      <c r="HV11" s="185"/>
      <c r="HW11" s="185"/>
      <c r="HX11" s="185"/>
      <c r="HY11" s="185"/>
      <c r="HZ11" s="185"/>
      <c r="IA11" s="185"/>
      <c r="IB11" s="185"/>
      <c r="IC11" s="185"/>
      <c r="ID11" s="185"/>
      <c r="IE11" s="185"/>
      <c r="IF11" s="185"/>
      <c r="IG11" s="185"/>
      <c r="IH11" s="185"/>
      <c r="II11" s="185"/>
      <c r="IJ11" s="185"/>
      <c r="IK11" s="185"/>
      <c r="IL11" s="185" t="s">
        <v>103</v>
      </c>
      <c r="IM11" s="185"/>
      <c r="IN11" s="185"/>
      <c r="IO11" s="185"/>
      <c r="IP11" s="185"/>
      <c r="IQ11" s="185"/>
      <c r="IR11" s="185"/>
      <c r="IS11" s="185"/>
      <c r="IT11" s="185"/>
      <c r="IU11" s="185"/>
      <c r="IV11" s="185"/>
      <c r="IW11" s="185"/>
      <c r="IX11" s="185"/>
      <c r="IY11" s="185"/>
      <c r="IZ11" s="185"/>
      <c r="JA11" s="185"/>
      <c r="JB11" s="185"/>
      <c r="JC11" s="185"/>
      <c r="JD11" s="185"/>
      <c r="JE11" s="185"/>
      <c r="JF11" s="185"/>
      <c r="JG11" s="185"/>
      <c r="JH11" s="185"/>
      <c r="JI11" s="185"/>
      <c r="JJ11" s="185"/>
      <c r="JK11" s="185"/>
      <c r="JL11" s="185"/>
      <c r="JM11" s="185"/>
      <c r="JN11" s="185"/>
      <c r="JO11" s="185"/>
      <c r="JP11" s="185"/>
      <c r="JQ11" s="185"/>
      <c r="JR11" s="185"/>
      <c r="JS11" s="185"/>
      <c r="JT11" s="185"/>
      <c r="JU11" s="185"/>
      <c r="JV11" s="185"/>
      <c r="JW11" s="185"/>
      <c r="JX11" s="185"/>
      <c r="JY11" s="185"/>
      <c r="JZ11" s="185"/>
      <c r="KA11" s="185"/>
      <c r="KB11" s="185"/>
      <c r="KC11" s="185"/>
      <c r="KD11" s="185"/>
      <c r="KE11" s="185"/>
      <c r="KF11" s="185"/>
      <c r="KG11" s="185"/>
      <c r="KH11" s="185"/>
      <c r="KI11" s="185"/>
      <c r="KJ11" s="185"/>
      <c r="KK11" s="185"/>
      <c r="KL11" s="185"/>
      <c r="KM11" s="185"/>
      <c r="KN11" s="185"/>
      <c r="KO11" s="185"/>
      <c r="KP11" s="185"/>
      <c r="KQ11" s="185"/>
      <c r="KR11" s="185"/>
      <c r="KS11" s="185"/>
      <c r="KT11" s="185" t="s">
        <v>101</v>
      </c>
      <c r="KU11" s="185"/>
      <c r="KV11" s="185"/>
      <c r="KW11" s="185"/>
      <c r="KX11" s="185"/>
      <c r="KY11" s="185"/>
      <c r="KZ11" s="185"/>
      <c r="LA11" s="185"/>
      <c r="LB11" s="185"/>
      <c r="LC11" s="185"/>
      <c r="LD11" s="185"/>
      <c r="LE11" s="185"/>
      <c r="LF11" s="185"/>
      <c r="LG11" s="185"/>
      <c r="LH11" s="185"/>
      <c r="LI11" s="185"/>
      <c r="LJ11" s="185"/>
      <c r="LK11" s="185"/>
      <c r="LL11" s="185"/>
      <c r="LM11" s="185"/>
      <c r="LN11" s="185"/>
      <c r="LO11" s="185"/>
      <c r="LP11" s="185"/>
      <c r="LQ11" s="185"/>
      <c r="LR11" s="185"/>
      <c r="LS11" s="185"/>
      <c r="LT11" s="185"/>
      <c r="LU11" s="185"/>
      <c r="LV11" s="185"/>
      <c r="LW11" s="185"/>
      <c r="LX11" s="185"/>
      <c r="LY11" s="185"/>
      <c r="LZ11" s="185"/>
      <c r="MA11" s="185"/>
      <c r="MB11" s="185"/>
      <c r="MC11" s="185"/>
      <c r="MD11" s="185"/>
      <c r="ME11" s="185"/>
      <c r="MF11" s="185"/>
      <c r="MG11" s="185"/>
      <c r="MH11" s="185"/>
      <c r="MI11" s="185"/>
      <c r="MJ11" s="185"/>
      <c r="MK11" s="185"/>
      <c r="ML11" s="185"/>
      <c r="MM11" s="185"/>
      <c r="MN11" s="185"/>
      <c r="MO11" s="185"/>
      <c r="MP11" s="185"/>
      <c r="MQ11" s="185"/>
      <c r="MR11" s="185"/>
      <c r="MS11" s="185"/>
      <c r="MT11" s="185"/>
      <c r="MU11" s="185"/>
      <c r="MV11" s="185"/>
      <c r="MW11" s="185"/>
      <c r="MX11" s="185"/>
      <c r="MY11" s="185"/>
      <c r="MZ11" s="185"/>
      <c r="NA11" s="185"/>
      <c r="NB11" s="185" t="s">
        <v>98</v>
      </c>
      <c r="NC11" s="185"/>
      <c r="ND11" s="185"/>
      <c r="NE11" s="185"/>
      <c r="NF11" s="185"/>
      <c r="NG11" s="185"/>
      <c r="NH11" s="185"/>
      <c r="NI11" s="185"/>
      <c r="NJ11" s="185"/>
      <c r="NK11" s="185"/>
      <c r="NL11" s="185"/>
      <c r="NM11" s="185"/>
      <c r="NN11" s="185"/>
      <c r="NO11" s="185"/>
      <c r="NP11" s="185"/>
      <c r="NQ11" s="185"/>
      <c r="NR11" s="185"/>
      <c r="NS11" s="185"/>
      <c r="NT11" s="185"/>
      <c r="NU11" s="185"/>
      <c r="NV11" s="185"/>
      <c r="NW11" s="185"/>
      <c r="NX11" s="185"/>
      <c r="NY11" s="185"/>
      <c r="NZ11" s="185"/>
      <c r="OA11" s="185"/>
      <c r="OB11" s="185"/>
      <c r="OC11" s="185"/>
      <c r="OD11" s="185"/>
      <c r="OE11" s="185"/>
      <c r="OF11" s="185"/>
      <c r="OG11" s="185"/>
      <c r="OH11" s="185"/>
      <c r="OI11" s="185"/>
      <c r="OJ11" s="185"/>
      <c r="OK11" s="185"/>
      <c r="OL11" s="185"/>
      <c r="OM11" s="185"/>
      <c r="ON11" s="185"/>
      <c r="OO11" s="185"/>
      <c r="OP11" s="185"/>
      <c r="OQ11" s="185"/>
      <c r="OR11" s="185"/>
      <c r="OS11" s="185"/>
      <c r="OT11" s="185"/>
      <c r="OU11" s="185"/>
      <c r="OV11" s="185"/>
      <c r="OW11" s="185"/>
      <c r="OX11" s="185"/>
      <c r="OY11" s="185"/>
      <c r="OZ11" s="185"/>
      <c r="PA11" s="185"/>
      <c r="PB11" s="185"/>
      <c r="PC11" s="185"/>
      <c r="PD11" s="185"/>
      <c r="PE11" s="185"/>
      <c r="PF11" s="185"/>
      <c r="PG11" s="185"/>
      <c r="PH11" s="185"/>
      <c r="PI11" s="185"/>
      <c r="PJ11" s="185" t="s">
        <v>98</v>
      </c>
      <c r="PK11" s="185"/>
      <c r="PL11" s="185"/>
      <c r="PM11" s="185"/>
      <c r="PN11" s="185"/>
      <c r="PO11" s="185"/>
      <c r="PP11" s="185"/>
      <c r="PQ11" s="185"/>
      <c r="PR11" s="185"/>
      <c r="PS11" s="185"/>
      <c r="PT11" s="185"/>
      <c r="PU11" s="185"/>
      <c r="PV11" s="185"/>
      <c r="PW11" s="185"/>
      <c r="PX11" s="185"/>
      <c r="PY11" s="185"/>
      <c r="PZ11" s="185"/>
      <c r="QA11" s="185"/>
      <c r="QB11" s="185"/>
      <c r="QC11" s="185"/>
      <c r="QD11" s="185"/>
      <c r="QE11" s="185"/>
      <c r="QF11" s="185"/>
      <c r="QG11" s="185"/>
      <c r="QH11" s="185"/>
      <c r="QI11" s="185"/>
      <c r="QJ11" s="185"/>
      <c r="QK11" s="185"/>
      <c r="QL11" s="185"/>
      <c r="QM11" s="185"/>
      <c r="QN11" s="185"/>
      <c r="QO11" s="185"/>
      <c r="QP11" s="185"/>
      <c r="QQ11" s="185"/>
      <c r="QR11" s="185"/>
      <c r="QS11" s="185"/>
      <c r="QT11" s="185"/>
      <c r="QU11" s="185"/>
      <c r="QV11" s="185"/>
      <c r="QW11" s="185"/>
      <c r="QX11" s="185"/>
      <c r="QY11" s="185"/>
      <c r="QZ11" s="185"/>
      <c r="RA11" s="185"/>
      <c r="RB11" s="185"/>
      <c r="RC11" s="185"/>
      <c r="RD11" s="185"/>
      <c r="RE11" s="185"/>
      <c r="RF11" s="185"/>
      <c r="RG11" s="185"/>
      <c r="RH11" s="185"/>
      <c r="RI11" s="185"/>
      <c r="RJ11" s="185"/>
      <c r="RK11" s="185"/>
      <c r="RL11" s="185"/>
      <c r="RM11" s="185"/>
      <c r="RN11" s="185"/>
      <c r="RO11" s="185"/>
      <c r="RP11" s="185"/>
      <c r="RQ11" s="185"/>
      <c r="RR11" s="185" t="s">
        <v>95</v>
      </c>
      <c r="RS11" s="185"/>
      <c r="RT11" s="185"/>
      <c r="RU11" s="185"/>
      <c r="RV11" s="185"/>
      <c r="RW11" s="185"/>
      <c r="RX11" s="185"/>
      <c r="RY11" s="185"/>
      <c r="RZ11" s="185"/>
      <c r="SA11" s="185"/>
      <c r="SB11" s="185"/>
      <c r="SC11" s="185"/>
      <c r="SD11" s="185"/>
      <c r="SE11" s="185"/>
      <c r="SF11" s="185"/>
      <c r="SG11" s="185"/>
      <c r="SH11" s="185"/>
      <c r="SI11" s="185"/>
      <c r="SJ11" s="185"/>
      <c r="SK11" s="185"/>
      <c r="SL11" s="185"/>
      <c r="SM11" s="185"/>
      <c r="SN11" s="185"/>
      <c r="SO11" s="185"/>
      <c r="SP11" s="185"/>
      <c r="SQ11" s="185"/>
      <c r="SR11" s="185"/>
      <c r="SS11" s="185"/>
      <c r="ST11" s="185"/>
      <c r="SU11" s="185"/>
      <c r="SV11" s="185"/>
      <c r="SW11" s="185"/>
      <c r="SX11" s="185"/>
      <c r="SY11" s="185"/>
      <c r="SZ11" s="185"/>
      <c r="TA11" s="185"/>
      <c r="TB11" s="185"/>
      <c r="TC11" s="185"/>
      <c r="TD11" s="185"/>
      <c r="TE11" s="185"/>
      <c r="TF11" s="185"/>
      <c r="TG11" s="185"/>
      <c r="TH11" s="185"/>
      <c r="TI11" s="185"/>
      <c r="TJ11" s="185"/>
      <c r="TK11" s="185"/>
      <c r="TL11" s="185"/>
      <c r="TM11" s="185"/>
      <c r="TN11" s="185"/>
      <c r="TO11" s="185"/>
      <c r="TP11" s="185"/>
      <c r="TQ11" s="185"/>
      <c r="TR11" s="185"/>
      <c r="TS11" s="185"/>
      <c r="TT11" s="185"/>
      <c r="TU11" s="185"/>
      <c r="TV11" s="185"/>
      <c r="TW11" s="185"/>
      <c r="TX11" s="185"/>
      <c r="TY11" s="185"/>
      <c r="TZ11" s="185" t="s">
        <v>95</v>
      </c>
      <c r="UA11" s="185"/>
      <c r="UB11" s="185"/>
      <c r="UC11" s="185"/>
      <c r="UD11" s="185"/>
      <c r="UE11" s="185"/>
      <c r="UF11" s="185"/>
      <c r="UG11" s="185"/>
      <c r="UH11" s="185"/>
      <c r="UI11" s="185"/>
      <c r="UJ11" s="185"/>
      <c r="UK11" s="185"/>
      <c r="UL11" s="185"/>
      <c r="UM11" s="185"/>
      <c r="UN11" s="185"/>
      <c r="UO11" s="185"/>
      <c r="UP11" s="185"/>
      <c r="UQ11" s="185"/>
      <c r="UR11" s="185"/>
      <c r="US11" s="185"/>
      <c r="UT11" s="185"/>
      <c r="UU11" s="185"/>
      <c r="UV11" s="185"/>
      <c r="UW11" s="185"/>
      <c r="UX11" s="185"/>
      <c r="UY11" s="185"/>
      <c r="UZ11" s="185"/>
      <c r="VA11" s="185"/>
      <c r="VB11" s="185"/>
      <c r="VC11" s="185"/>
      <c r="VD11" s="185"/>
      <c r="VE11" s="185"/>
      <c r="VF11" s="185"/>
      <c r="VG11" s="185"/>
      <c r="VH11" s="185"/>
      <c r="VI11" s="185"/>
      <c r="VJ11" s="185"/>
      <c r="VK11" s="185"/>
      <c r="VL11" s="185"/>
      <c r="VM11" s="185"/>
      <c r="VN11" s="185"/>
      <c r="VO11" s="185"/>
      <c r="VP11" s="185"/>
      <c r="VQ11" s="185"/>
      <c r="VR11" s="185"/>
      <c r="VS11" s="185"/>
      <c r="VT11" s="185"/>
      <c r="VU11" s="185"/>
      <c r="VV11" s="185"/>
      <c r="VW11" s="185"/>
      <c r="VX11" s="185"/>
      <c r="VY11" s="185"/>
      <c r="VZ11" s="185"/>
      <c r="WA11" s="185"/>
      <c r="WB11" s="185"/>
      <c r="WC11" s="185"/>
      <c r="WD11" s="185"/>
      <c r="WE11" s="185"/>
      <c r="WF11" s="185"/>
      <c r="WG11" s="185"/>
      <c r="WH11" s="185" t="s">
        <v>92</v>
      </c>
      <c r="WI11" s="185"/>
      <c r="WJ11" s="185"/>
      <c r="WK11" s="185"/>
      <c r="WL11" s="185"/>
      <c r="WM11" s="185"/>
      <c r="WN11" s="185"/>
      <c r="WO11" s="185"/>
      <c r="WP11" s="185"/>
      <c r="WQ11" s="185"/>
      <c r="WR11" s="185"/>
      <c r="WS11" s="185"/>
      <c r="WT11" s="185"/>
      <c r="WU11" s="185"/>
      <c r="WV11" s="185"/>
      <c r="WW11" s="185"/>
      <c r="WX11" s="185"/>
      <c r="WY11" s="185"/>
      <c r="WZ11" s="185"/>
      <c r="XA11" s="185"/>
      <c r="XB11" s="185"/>
      <c r="XC11" s="185"/>
      <c r="XD11" s="185"/>
      <c r="XE11" s="185"/>
      <c r="XF11" s="185"/>
      <c r="XG11" s="185"/>
      <c r="XH11" s="185"/>
      <c r="XI11" s="185"/>
      <c r="XJ11" s="185"/>
      <c r="XK11" s="185"/>
      <c r="XL11" s="185"/>
      <c r="XM11" s="185"/>
      <c r="XN11" s="185"/>
      <c r="XO11" s="185"/>
      <c r="XP11" s="185"/>
      <c r="XQ11" s="185"/>
      <c r="XR11" s="185"/>
      <c r="XS11" s="185"/>
      <c r="XT11" s="185"/>
      <c r="XU11" s="185"/>
      <c r="XV11" s="185"/>
      <c r="XW11" s="185"/>
      <c r="XX11" s="185"/>
      <c r="XY11" s="185"/>
      <c r="XZ11" s="185"/>
      <c r="YA11" s="185"/>
      <c r="YB11" s="185"/>
      <c r="YC11" s="185"/>
      <c r="YD11" s="185"/>
      <c r="YE11" s="185"/>
      <c r="YF11" s="185"/>
      <c r="YG11" s="185"/>
      <c r="YH11" s="185"/>
      <c r="YI11" s="185"/>
      <c r="YJ11" s="185"/>
      <c r="YK11" s="185"/>
      <c r="YL11" s="185"/>
      <c r="YM11" s="185"/>
      <c r="YN11" s="185"/>
      <c r="YO11" s="185"/>
      <c r="YP11" s="185" t="s">
        <v>92</v>
      </c>
      <c r="YQ11" s="185"/>
      <c r="YR11" s="185"/>
      <c r="YS11" s="185"/>
      <c r="YT11" s="185"/>
      <c r="YU11" s="185"/>
      <c r="YV11" s="185"/>
      <c r="YW11" s="185"/>
      <c r="YX11" s="185"/>
      <c r="YY11" s="185"/>
      <c r="YZ11" s="185"/>
      <c r="ZA11" s="185"/>
      <c r="ZB11" s="185"/>
      <c r="ZC11" s="185"/>
      <c r="ZD11" s="185"/>
      <c r="ZE11" s="185"/>
      <c r="ZF11" s="185"/>
      <c r="ZG11" s="185"/>
      <c r="ZH11" s="185"/>
      <c r="ZI11" s="185"/>
      <c r="ZJ11" s="185"/>
      <c r="ZK11" s="185"/>
      <c r="ZL11" s="185"/>
      <c r="ZM11" s="185"/>
      <c r="ZN11" s="185"/>
      <c r="ZO11" s="185"/>
      <c r="ZP11" s="185"/>
      <c r="ZQ11" s="185"/>
      <c r="ZR11" s="185"/>
      <c r="ZS11" s="185"/>
      <c r="ZT11" s="185"/>
      <c r="ZU11" s="185"/>
      <c r="ZV11" s="185"/>
      <c r="ZW11" s="185"/>
      <c r="ZX11" s="185"/>
      <c r="ZY11" s="185"/>
      <c r="ZZ11" s="185"/>
      <c r="AAA11" s="185"/>
      <c r="AAB11" s="185"/>
      <c r="AAC11" s="185"/>
      <c r="AAD11" s="185"/>
      <c r="AAE11" s="185"/>
      <c r="AAF11" s="185"/>
      <c r="AAG11" s="185"/>
      <c r="AAH11" s="185"/>
      <c r="AAI11" s="185"/>
      <c r="AAJ11" s="185"/>
      <c r="AAK11" s="185"/>
      <c r="AAL11" s="185"/>
      <c r="AAM11" s="185"/>
      <c r="AAN11" s="185"/>
      <c r="AAO11" s="185"/>
      <c r="AAP11" s="185"/>
      <c r="AAQ11" s="185"/>
      <c r="AAR11" s="185"/>
      <c r="AAS11" s="185"/>
      <c r="AAT11" s="185"/>
      <c r="AAU11" s="185"/>
      <c r="AAV11" s="185"/>
      <c r="AAW11" s="185"/>
      <c r="AAX11" s="185" t="s">
        <v>89</v>
      </c>
      <c r="AAY11" s="185"/>
      <c r="AAZ11" s="185"/>
      <c r="ABA11" s="185"/>
      <c r="ABB11" s="185"/>
      <c r="ABC11" s="185"/>
      <c r="ABD11" s="185"/>
      <c r="ABE11" s="185"/>
      <c r="ABF11" s="185"/>
      <c r="ABG11" s="185"/>
      <c r="ABH11" s="185"/>
      <c r="ABI11" s="185"/>
      <c r="ABJ11" s="185"/>
      <c r="ABK11" s="185"/>
      <c r="ABL11" s="185"/>
      <c r="ABM11" s="185"/>
      <c r="ABN11" s="185"/>
      <c r="ABO11" s="185"/>
      <c r="ABP11" s="185"/>
      <c r="ABQ11" s="185"/>
      <c r="ABR11" s="185"/>
      <c r="ABS11" s="185"/>
      <c r="ABT11" s="185"/>
      <c r="ABU11" s="185"/>
      <c r="ABV11" s="185"/>
      <c r="ABW11" s="185"/>
      <c r="ABX11" s="185"/>
      <c r="ABY11" s="185"/>
      <c r="ABZ11" s="185"/>
      <c r="ACA11" s="185"/>
      <c r="ACB11" s="185"/>
      <c r="ACC11" s="185"/>
      <c r="ACD11" s="185"/>
      <c r="ACE11" s="185"/>
      <c r="ACF11" s="185"/>
      <c r="ACG11" s="185"/>
      <c r="ACH11" s="185"/>
      <c r="ACI11" s="185"/>
      <c r="ACJ11" s="185"/>
      <c r="ACK11" s="185"/>
      <c r="ACL11" s="185"/>
      <c r="ACM11" s="185"/>
      <c r="ACN11" s="185"/>
      <c r="ACO11" s="185"/>
      <c r="ACP11" s="185"/>
      <c r="ACQ11" s="185"/>
      <c r="ACR11" s="185"/>
      <c r="ACS11" s="185"/>
      <c r="ACT11" s="185"/>
      <c r="ACU11" s="185"/>
      <c r="ACV11" s="185"/>
      <c r="ACW11" s="185"/>
      <c r="ACX11" s="185"/>
      <c r="ACY11" s="185"/>
      <c r="ACZ11" s="185"/>
      <c r="ADA11" s="185"/>
      <c r="ADB11" s="185"/>
      <c r="ADC11" s="185"/>
      <c r="ADD11" s="185"/>
      <c r="ADE11" s="185"/>
      <c r="ADF11" s="185" t="s">
        <v>89</v>
      </c>
      <c r="ADG11" s="185"/>
      <c r="ADH11" s="185"/>
      <c r="ADI11" s="185"/>
      <c r="ADJ11" s="185"/>
      <c r="ADK11" s="185"/>
      <c r="ADL11" s="185"/>
      <c r="ADM11" s="185"/>
      <c r="ADN11" s="185"/>
      <c r="ADO11" s="185"/>
      <c r="ADP11" s="185"/>
      <c r="ADQ11" s="185"/>
      <c r="ADR11" s="185"/>
      <c r="ADS11" s="185"/>
      <c r="ADT11" s="185"/>
      <c r="ADU11" s="185"/>
      <c r="ADV11" s="185"/>
      <c r="ADW11" s="185"/>
      <c r="ADX11" s="185"/>
      <c r="ADY11" s="185"/>
      <c r="ADZ11" s="185"/>
      <c r="AEA11" s="185"/>
      <c r="AEB11" s="185"/>
      <c r="AEC11" s="185"/>
      <c r="AED11" s="185"/>
      <c r="AEE11" s="185"/>
      <c r="AEF11" s="185"/>
      <c r="AEG11" s="185"/>
      <c r="AEH11" s="185"/>
      <c r="AEI11" s="185"/>
      <c r="AEJ11" s="185"/>
      <c r="AEK11" s="185"/>
      <c r="AEL11" s="185"/>
      <c r="AEM11" s="185"/>
      <c r="AEN11" s="185"/>
      <c r="AEO11" s="185"/>
      <c r="AEP11" s="185"/>
      <c r="AEQ11" s="185"/>
      <c r="AER11" s="185"/>
      <c r="AES11" s="185"/>
      <c r="AET11" s="185"/>
      <c r="AEU11" s="185"/>
      <c r="AEV11" s="185"/>
      <c r="AEW11" s="185"/>
      <c r="AEX11" s="185"/>
      <c r="AEY11" s="185"/>
      <c r="AEZ11" s="185"/>
      <c r="AFA11" s="185"/>
      <c r="AFB11" s="185"/>
      <c r="AFC11" s="185"/>
      <c r="AFD11" s="185"/>
      <c r="AFE11" s="185"/>
      <c r="AFF11" s="185"/>
      <c r="AFG11" s="185"/>
      <c r="AFH11" s="185"/>
      <c r="AFI11" s="185"/>
      <c r="AFJ11" s="185"/>
      <c r="AFK11" s="185"/>
      <c r="AFL11" s="185"/>
      <c r="AFM11" s="185"/>
      <c r="AFN11" s="185" t="s">
        <v>87</v>
      </c>
      <c r="AFO11" s="185"/>
      <c r="AFP11" s="185"/>
      <c r="AFQ11" s="185"/>
      <c r="AFR11" s="185"/>
      <c r="AFS11" s="185"/>
      <c r="AFT11" s="185"/>
      <c r="AFU11" s="185"/>
      <c r="AFV11" s="185"/>
      <c r="AFW11" s="185"/>
      <c r="AFX11" s="185"/>
      <c r="AFY11" s="185"/>
      <c r="AFZ11" s="185"/>
      <c r="AGA11" s="185"/>
      <c r="AGB11" s="185"/>
      <c r="AGC11" s="185"/>
      <c r="AGD11" s="185"/>
      <c r="AGE11" s="185"/>
      <c r="AGF11" s="185"/>
      <c r="AGG11" s="185"/>
      <c r="AGH11" s="185"/>
      <c r="AGI11" s="185"/>
      <c r="AGJ11" s="185"/>
      <c r="AGK11" s="185"/>
      <c r="AGL11" s="185"/>
      <c r="AGM11" s="185"/>
      <c r="AGN11" s="185"/>
      <c r="AGO11" s="185"/>
      <c r="AGP11" s="185"/>
      <c r="AGQ11" s="185"/>
      <c r="AGR11" s="185"/>
      <c r="AGS11" s="185"/>
      <c r="AGT11" s="185"/>
      <c r="AGU11" s="185"/>
      <c r="AGV11" s="185"/>
      <c r="AGW11" s="185"/>
      <c r="AGX11" s="185"/>
      <c r="AGY11" s="185"/>
      <c r="AGZ11" s="185"/>
      <c r="AHA11" s="185"/>
      <c r="AHB11" s="185"/>
      <c r="AHC11" s="185"/>
      <c r="AHD11" s="185"/>
      <c r="AHE11" s="185"/>
      <c r="AHF11" s="185"/>
      <c r="AHG11" s="185"/>
      <c r="AHH11" s="185"/>
      <c r="AHI11" s="185"/>
      <c r="AHJ11" s="185"/>
      <c r="AHK11" s="185"/>
      <c r="AHL11" s="185"/>
      <c r="AHM11" s="185"/>
      <c r="AHN11" s="185"/>
      <c r="AHO11" s="185"/>
      <c r="AHP11" s="185"/>
      <c r="AHQ11" s="185"/>
      <c r="AHR11" s="185"/>
      <c r="AHS11" s="185"/>
      <c r="AHT11" s="185"/>
      <c r="AHU11" s="185"/>
      <c r="AHV11" s="185" t="s">
        <v>84</v>
      </c>
      <c r="AHW11" s="185"/>
      <c r="AHX11" s="185"/>
      <c r="AHY11" s="185"/>
      <c r="AHZ11" s="185"/>
      <c r="AIA11" s="185"/>
      <c r="AIB11" s="185"/>
      <c r="AIC11" s="185"/>
      <c r="AID11" s="185"/>
      <c r="AIE11" s="185"/>
      <c r="AIF11" s="185"/>
      <c r="AIG11" s="185"/>
      <c r="AIH11" s="185"/>
      <c r="AII11" s="185"/>
      <c r="AIJ11" s="185"/>
      <c r="AIK11" s="185"/>
      <c r="AIL11" s="185"/>
      <c r="AIM11" s="185"/>
      <c r="AIN11" s="185"/>
      <c r="AIO11" s="185"/>
      <c r="AIP11" s="185"/>
      <c r="AIQ11" s="185"/>
      <c r="AIR11" s="185"/>
      <c r="AIS11" s="185"/>
      <c r="AIT11" s="185"/>
      <c r="AIU11" s="185"/>
      <c r="AIV11" s="185"/>
      <c r="AIW11" s="185"/>
      <c r="AIX11" s="185"/>
      <c r="AIY11" s="185"/>
      <c r="AIZ11" s="185"/>
      <c r="AJA11" s="185"/>
      <c r="AJB11" s="185"/>
      <c r="AJC11" s="185"/>
      <c r="AJD11" s="185"/>
      <c r="AJE11" s="185"/>
      <c r="AJF11" s="185"/>
      <c r="AJG11" s="185"/>
      <c r="AJH11" s="185"/>
      <c r="AJI11" s="185"/>
      <c r="AJJ11" s="185"/>
      <c r="AJK11" s="185"/>
      <c r="AJL11" s="185"/>
      <c r="AJM11" s="185"/>
      <c r="AJN11" s="185"/>
      <c r="AJO11" s="185"/>
      <c r="AJP11" s="185"/>
      <c r="AJQ11" s="185"/>
      <c r="AJR11" s="185"/>
      <c r="AJS11" s="185"/>
      <c r="AJT11" s="185"/>
      <c r="AJU11" s="185"/>
      <c r="AJV11" s="185"/>
      <c r="AJW11" s="185"/>
      <c r="AJX11" s="185"/>
      <c r="AJY11" s="185"/>
      <c r="AJZ11" s="185"/>
      <c r="AKA11" s="185"/>
      <c r="AKB11" s="185"/>
      <c r="AKC11" s="185"/>
      <c r="AKD11" s="185" t="s">
        <v>84</v>
      </c>
      <c r="AKE11" s="185"/>
      <c r="AKF11" s="185"/>
      <c r="AKG11" s="185"/>
      <c r="AKH11" s="185"/>
      <c r="AKI11" s="185"/>
      <c r="AKJ11" s="185"/>
      <c r="AKK11" s="185"/>
      <c r="AKL11" s="185"/>
      <c r="AKM11" s="185"/>
      <c r="AKN11" s="185"/>
      <c r="AKO11" s="185"/>
      <c r="AKP11" s="185"/>
      <c r="AKQ11" s="185"/>
      <c r="AKR11" s="185"/>
      <c r="AKS11" s="185"/>
      <c r="AKT11" s="185"/>
      <c r="AKU11" s="185"/>
      <c r="AKV11" s="185"/>
      <c r="AKW11" s="185"/>
      <c r="AKX11" s="185"/>
      <c r="AKY11" s="185"/>
      <c r="AKZ11" s="185"/>
      <c r="ALA11" s="185"/>
      <c r="ALB11" s="185"/>
      <c r="ALC11" s="185"/>
      <c r="ALD11" s="185"/>
      <c r="ALE11" s="185"/>
      <c r="ALF11" s="185"/>
      <c r="ALG11" s="185"/>
      <c r="ALH11" s="185"/>
      <c r="ALI11" s="185"/>
      <c r="ALJ11" s="185"/>
      <c r="ALK11" s="185"/>
      <c r="ALL11" s="185"/>
      <c r="ALM11" s="185"/>
      <c r="ALN11" s="185"/>
      <c r="ALO11" s="185"/>
      <c r="ALP11" s="185"/>
      <c r="ALQ11" s="185"/>
      <c r="ALR11" s="185"/>
      <c r="ALS11" s="185"/>
      <c r="ALT11" s="185"/>
      <c r="ALU11" s="185"/>
      <c r="ALV11" s="185"/>
      <c r="ALW11" s="185"/>
      <c r="ALX11" s="185"/>
      <c r="ALY11" s="185"/>
      <c r="ALZ11" s="185"/>
      <c r="AMA11" s="185"/>
      <c r="AMB11" s="185"/>
      <c r="AMC11" s="185"/>
      <c r="AMD11" s="185"/>
      <c r="AME11" s="185"/>
      <c r="AMF11" s="185"/>
      <c r="AMG11" s="185"/>
      <c r="AMH11" s="185"/>
      <c r="AMI11" s="185"/>
      <c r="AMJ11" s="185"/>
      <c r="AMK11" s="185"/>
      <c r="AML11" s="185" t="s">
        <v>81</v>
      </c>
      <c r="AMM11" s="185"/>
      <c r="AMN11" s="185"/>
      <c r="AMO11" s="185"/>
      <c r="AMP11" s="185"/>
      <c r="AMQ11" s="185"/>
      <c r="AMR11" s="185"/>
      <c r="AMS11" s="185"/>
      <c r="AMT11" s="185"/>
      <c r="AMU11" s="185"/>
      <c r="AMV11" s="185"/>
      <c r="AMW11" s="185"/>
      <c r="AMX11" s="185"/>
      <c r="AMY11" s="185"/>
      <c r="AMZ11" s="185"/>
      <c r="ANA11" s="185"/>
      <c r="ANB11" s="185"/>
      <c r="ANC11" s="185"/>
      <c r="AND11" s="185"/>
      <c r="ANE11" s="185"/>
      <c r="ANF11" s="185"/>
      <c r="ANG11" s="185"/>
      <c r="ANH11" s="185"/>
      <c r="ANI11" s="185"/>
      <c r="ANJ11" s="185"/>
      <c r="ANK11" s="185"/>
      <c r="ANL11" s="185"/>
      <c r="ANM11" s="185"/>
      <c r="ANN11" s="185"/>
      <c r="ANO11" s="185"/>
      <c r="ANP11" s="185"/>
      <c r="ANQ11" s="185"/>
      <c r="ANR11" s="185"/>
      <c r="ANS11" s="185"/>
      <c r="ANT11" s="185"/>
      <c r="ANU11" s="185"/>
      <c r="ANV11" s="185"/>
      <c r="ANW11" s="185"/>
      <c r="ANX11" s="185"/>
      <c r="ANY11" s="185"/>
      <c r="ANZ11" s="185"/>
      <c r="AOA11" s="185"/>
      <c r="AOB11" s="185"/>
      <c r="AOC11" s="185"/>
      <c r="AOD11" s="185"/>
      <c r="AOE11" s="185"/>
      <c r="AOF11" s="185"/>
      <c r="AOG11" s="185"/>
      <c r="AOH11" s="185"/>
      <c r="AOI11" s="185"/>
      <c r="AOJ11" s="185"/>
      <c r="AOK11" s="185"/>
      <c r="AOL11" s="185"/>
      <c r="AOM11" s="185"/>
      <c r="AON11" s="185"/>
      <c r="AOO11" s="185"/>
      <c r="AOP11" s="185"/>
      <c r="AOQ11" s="185"/>
      <c r="AOR11" s="185"/>
      <c r="AOS11" s="185"/>
      <c r="AOT11" s="185" t="s">
        <v>81</v>
      </c>
      <c r="AOU11" s="185"/>
      <c r="AOV11" s="185"/>
      <c r="AOW11" s="185"/>
      <c r="AOX11" s="185"/>
      <c r="AOY11" s="185"/>
      <c r="AOZ11" s="185"/>
      <c r="APA11" s="185"/>
      <c r="APB11" s="185"/>
      <c r="APC11" s="185"/>
      <c r="APD11" s="185"/>
      <c r="APE11" s="185"/>
      <c r="APF11" s="185"/>
      <c r="APG11" s="185"/>
      <c r="APH11" s="185"/>
      <c r="API11" s="185"/>
      <c r="APJ11" s="185"/>
      <c r="APK11" s="185"/>
      <c r="APL11" s="185"/>
      <c r="APM11" s="185"/>
      <c r="APN11" s="185"/>
      <c r="APO11" s="185"/>
      <c r="APP11" s="185"/>
      <c r="APQ11" s="185"/>
      <c r="APR11" s="185"/>
      <c r="APS11" s="185"/>
      <c r="APT11" s="185"/>
      <c r="APU11" s="185"/>
      <c r="APV11" s="185"/>
      <c r="APW11" s="185"/>
      <c r="APX11" s="185"/>
      <c r="APY11" s="185"/>
      <c r="APZ11" s="185"/>
      <c r="AQA11" s="185"/>
      <c r="AQB11" s="185"/>
      <c r="AQC11" s="185"/>
      <c r="AQD11" s="185"/>
      <c r="AQE11" s="185"/>
      <c r="AQF11" s="185"/>
      <c r="AQG11" s="185"/>
      <c r="AQH11" s="185"/>
      <c r="AQI11" s="185"/>
      <c r="AQJ11" s="185"/>
      <c r="AQK11" s="185"/>
      <c r="AQL11" s="185"/>
      <c r="AQM11" s="185"/>
      <c r="AQN11" s="185"/>
      <c r="AQO11" s="185"/>
      <c r="AQP11" s="185"/>
      <c r="AQQ11" s="185"/>
      <c r="AQR11" s="185"/>
      <c r="AQS11" s="185"/>
      <c r="AQT11" s="185"/>
      <c r="AQU11" s="185"/>
      <c r="AQV11" s="185"/>
      <c r="AQW11" s="185"/>
      <c r="AQX11" s="185"/>
      <c r="AQY11" s="185"/>
      <c r="AQZ11" s="185"/>
      <c r="ARA11" s="185"/>
      <c r="ARB11" s="185" t="s">
        <v>78</v>
      </c>
      <c r="ARC11" s="185"/>
      <c r="ARD11" s="185"/>
      <c r="ARE11" s="185"/>
      <c r="ARF11" s="185"/>
      <c r="ARG11" s="185"/>
      <c r="ARH11" s="185"/>
      <c r="ARI11" s="185"/>
      <c r="ARJ11" s="185"/>
      <c r="ARK11" s="185"/>
      <c r="ARL11" s="185"/>
      <c r="ARM11" s="185"/>
      <c r="ARN11" s="185"/>
      <c r="ARO11" s="185"/>
      <c r="ARP11" s="185"/>
      <c r="ARQ11" s="185"/>
      <c r="ARR11" s="185"/>
      <c r="ARS11" s="185"/>
      <c r="ART11" s="185"/>
      <c r="ARU11" s="185"/>
      <c r="ARV11" s="185"/>
      <c r="ARW11" s="185"/>
      <c r="ARX11" s="185"/>
      <c r="ARY11" s="185"/>
      <c r="ARZ11" s="185"/>
      <c r="ASA11" s="185"/>
      <c r="ASB11" s="185"/>
      <c r="ASC11" s="185"/>
      <c r="ASD11" s="185"/>
      <c r="ASE11" s="185"/>
      <c r="ASF11" s="185"/>
      <c r="ASG11" s="185"/>
      <c r="ASH11" s="185"/>
      <c r="ASI11" s="185"/>
      <c r="ASJ11" s="185"/>
      <c r="ASK11" s="185"/>
      <c r="ASL11" s="185"/>
      <c r="ASM11" s="185"/>
      <c r="ASN11" s="185"/>
      <c r="ASO11" s="185"/>
      <c r="ASP11" s="185"/>
      <c r="ASQ11" s="185"/>
      <c r="ASR11" s="185"/>
      <c r="ASS11" s="185"/>
      <c r="AST11" s="185"/>
      <c r="ASU11" s="185"/>
      <c r="ASV11" s="185"/>
      <c r="ASW11" s="185"/>
      <c r="ASX11" s="185"/>
      <c r="ASY11" s="185"/>
      <c r="ASZ11" s="185"/>
      <c r="ATA11" s="185"/>
      <c r="ATB11" s="185"/>
      <c r="ATC11" s="185"/>
      <c r="ATD11" s="185"/>
      <c r="ATE11" s="185"/>
      <c r="ATF11" s="185"/>
      <c r="ATG11" s="185"/>
      <c r="ATH11" s="185"/>
      <c r="ATI11" s="185"/>
      <c r="ATJ11" s="185" t="s">
        <v>78</v>
      </c>
      <c r="ATK11" s="185"/>
      <c r="ATL11" s="185"/>
      <c r="ATM11" s="185"/>
      <c r="ATN11" s="185"/>
      <c r="ATO11" s="185"/>
      <c r="ATP11" s="185"/>
      <c r="ATQ11" s="185"/>
      <c r="ATR11" s="185"/>
      <c r="ATS11" s="185"/>
      <c r="ATT11" s="185"/>
      <c r="ATU11" s="185"/>
      <c r="ATV11" s="185"/>
      <c r="ATW11" s="185"/>
      <c r="ATX11" s="185"/>
      <c r="ATY11" s="185"/>
      <c r="ATZ11" s="185"/>
      <c r="AUA11" s="185"/>
      <c r="AUB11" s="185"/>
      <c r="AUC11" s="185"/>
      <c r="AUD11" s="185"/>
      <c r="AUE11" s="185"/>
      <c r="AUF11" s="185"/>
      <c r="AUG11" s="185"/>
      <c r="AUH11" s="185"/>
      <c r="AUI11" s="185"/>
      <c r="AUJ11" s="185"/>
      <c r="AUK11" s="185"/>
      <c r="AUL11" s="185"/>
      <c r="AUM11" s="185"/>
      <c r="AUN11" s="185"/>
      <c r="AUO11" s="185"/>
      <c r="AUP11" s="185"/>
      <c r="AUQ11" s="185"/>
      <c r="AUR11" s="185"/>
      <c r="AUS11" s="185"/>
      <c r="AUT11" s="185"/>
      <c r="AUU11" s="185"/>
      <c r="AUV11" s="185"/>
      <c r="AUW11" s="185"/>
      <c r="AUX11" s="185"/>
      <c r="AUY11" s="185"/>
      <c r="AUZ11" s="185"/>
      <c r="AVA11" s="185"/>
      <c r="AVB11" s="185"/>
      <c r="AVC11" s="185"/>
      <c r="AVD11" s="185"/>
      <c r="AVE11" s="185"/>
      <c r="AVF11" s="185"/>
      <c r="AVG11" s="185"/>
      <c r="AVH11" s="185"/>
      <c r="AVI11" s="185"/>
      <c r="AVJ11" s="185"/>
      <c r="AVK11" s="185"/>
      <c r="AVL11" s="185"/>
      <c r="AVM11" s="185"/>
      <c r="AVN11" s="185"/>
      <c r="AVO11" s="185"/>
      <c r="AVP11" s="185"/>
      <c r="AVQ11" s="185"/>
      <c r="AVR11" s="185" t="s">
        <v>76</v>
      </c>
      <c r="AVS11" s="185"/>
      <c r="AVT11" s="185"/>
      <c r="AVU11" s="185"/>
      <c r="AVV11" s="185"/>
      <c r="AVW11" s="185"/>
      <c r="AVX11" s="185"/>
      <c r="AVY11" s="185"/>
      <c r="AVZ11" s="185"/>
      <c r="AWA11" s="185"/>
      <c r="AWB11" s="185"/>
      <c r="AWC11" s="185"/>
      <c r="AWD11" s="185"/>
      <c r="AWE11" s="185"/>
      <c r="AWF11" s="185"/>
      <c r="AWG11" s="185"/>
      <c r="AWH11" s="185"/>
      <c r="AWI11" s="185"/>
      <c r="AWJ11" s="185"/>
      <c r="AWK11" s="185"/>
      <c r="AWL11" s="185"/>
      <c r="AWM11" s="185"/>
      <c r="AWN11" s="185"/>
      <c r="AWO11" s="185"/>
      <c r="AWP11" s="185"/>
      <c r="AWQ11" s="185"/>
      <c r="AWR11" s="185"/>
      <c r="AWS11" s="185"/>
      <c r="AWT11" s="185"/>
      <c r="AWU11" s="185"/>
      <c r="AWV11" s="185"/>
      <c r="AWW11" s="185"/>
      <c r="AWX11" s="185"/>
      <c r="AWY11" s="185"/>
      <c r="AWZ11" s="185"/>
      <c r="AXA11" s="185"/>
      <c r="AXB11" s="185"/>
      <c r="AXC11" s="185"/>
      <c r="AXD11" s="185"/>
      <c r="AXE11" s="185"/>
      <c r="AXF11" s="185"/>
      <c r="AXG11" s="185"/>
      <c r="AXH11" s="185"/>
      <c r="AXI11" s="185"/>
      <c r="AXJ11" s="185"/>
      <c r="AXK11" s="185"/>
      <c r="AXL11" s="185"/>
      <c r="AXM11" s="185"/>
      <c r="AXN11" s="185"/>
      <c r="AXO11" s="185"/>
      <c r="AXP11" s="185"/>
      <c r="AXQ11" s="185"/>
      <c r="AXR11" s="185"/>
      <c r="AXS11" s="185"/>
      <c r="AXT11" s="185"/>
      <c r="AXU11" s="185"/>
      <c r="AXV11" s="185"/>
      <c r="AXW11" s="185"/>
      <c r="AXX11" s="185"/>
      <c r="AXY11" s="185"/>
      <c r="AXZ11" s="185" t="s">
        <v>73</v>
      </c>
      <c r="AYA11" s="185"/>
      <c r="AYB11" s="185"/>
      <c r="AYC11" s="185"/>
      <c r="AYD11" s="185"/>
      <c r="AYE11" s="185"/>
      <c r="AYF11" s="185"/>
      <c r="AYG11" s="185"/>
      <c r="AYH11" s="185"/>
      <c r="AYI11" s="185"/>
      <c r="AYJ11" s="185"/>
      <c r="AYK11" s="185"/>
      <c r="AYL11" s="185"/>
      <c r="AYM11" s="185"/>
      <c r="AYN11" s="185"/>
      <c r="AYO11" s="185"/>
      <c r="AYP11" s="185"/>
      <c r="AYQ11" s="185"/>
      <c r="AYR11" s="185"/>
      <c r="AYS11" s="185"/>
      <c r="AYT11" s="185"/>
      <c r="AYU11" s="185"/>
      <c r="AYV11" s="185"/>
      <c r="AYW11" s="185"/>
      <c r="AYX11" s="185"/>
      <c r="AYY11" s="185"/>
      <c r="AYZ11" s="185"/>
      <c r="AZA11" s="185"/>
      <c r="AZB11" s="185"/>
      <c r="AZC11" s="185"/>
      <c r="AZD11" s="185"/>
      <c r="AZE11" s="185"/>
      <c r="AZF11" s="185"/>
      <c r="AZG11" s="185"/>
      <c r="AZH11" s="185"/>
      <c r="AZI11" s="185"/>
      <c r="AZJ11" s="185"/>
      <c r="AZK11" s="185"/>
      <c r="AZL11" s="185"/>
      <c r="AZM11" s="185"/>
      <c r="AZN11" s="185"/>
      <c r="AZO11" s="185"/>
      <c r="AZP11" s="185"/>
      <c r="AZQ11" s="185"/>
      <c r="AZR11" s="185"/>
      <c r="AZS11" s="185"/>
      <c r="AZT11" s="185"/>
      <c r="AZU11" s="185"/>
      <c r="AZV11" s="185"/>
      <c r="AZW11" s="185"/>
      <c r="AZX11" s="185"/>
      <c r="AZY11" s="185"/>
      <c r="AZZ11" s="185"/>
      <c r="BAA11" s="185"/>
      <c r="BAB11" s="185"/>
      <c r="BAC11" s="185"/>
      <c r="BAD11" s="185"/>
      <c r="BAE11" s="185"/>
      <c r="BAF11" s="185"/>
      <c r="BAG11" s="185"/>
      <c r="BAH11" s="185" t="s">
        <v>73</v>
      </c>
      <c r="BAI11" s="185"/>
      <c r="BAJ11" s="185"/>
      <c r="BAK11" s="185"/>
      <c r="BAL11" s="185"/>
      <c r="BAM11" s="185"/>
      <c r="BAN11" s="185"/>
      <c r="BAO11" s="185"/>
      <c r="BAP11" s="185"/>
      <c r="BAQ11" s="185"/>
      <c r="BAR11" s="185"/>
      <c r="BAS11" s="185"/>
      <c r="BAT11" s="185"/>
      <c r="BAU11" s="185"/>
      <c r="BAV11" s="185"/>
      <c r="BAW11" s="185"/>
      <c r="BAX11" s="185"/>
      <c r="BAY11" s="185"/>
      <c r="BAZ11" s="185"/>
      <c r="BBA11" s="185"/>
      <c r="BBB11" s="185"/>
      <c r="BBC11" s="185"/>
      <c r="BBD11" s="185"/>
      <c r="BBE11" s="185"/>
      <c r="BBF11" s="185"/>
      <c r="BBG11" s="185"/>
      <c r="BBH11" s="185"/>
      <c r="BBI11" s="185"/>
      <c r="BBJ11" s="185"/>
      <c r="BBK11" s="185"/>
      <c r="BBL11" s="185"/>
      <c r="BBM11" s="185"/>
      <c r="BBN11" s="185"/>
      <c r="BBO11" s="185"/>
      <c r="BBP11" s="185"/>
      <c r="BBQ11" s="185"/>
      <c r="BBR11" s="185"/>
      <c r="BBS11" s="185"/>
      <c r="BBT11" s="185"/>
      <c r="BBU11" s="185"/>
      <c r="BBV11" s="185"/>
      <c r="BBW11" s="185"/>
      <c r="BBX11" s="185"/>
      <c r="BBY11" s="185"/>
      <c r="BBZ11" s="185"/>
      <c r="BCA11" s="185"/>
      <c r="BCB11" s="185"/>
      <c r="BCC11" s="185"/>
      <c r="BCD11" s="185"/>
      <c r="BCE11" s="185"/>
      <c r="BCF11" s="185"/>
      <c r="BCG11" s="185"/>
      <c r="BCH11" s="185"/>
      <c r="BCI11" s="185"/>
      <c r="BCJ11" s="185"/>
      <c r="BCK11" s="185"/>
      <c r="BCL11" s="185"/>
      <c r="BCM11" s="185"/>
      <c r="BCN11" s="185"/>
      <c r="BCO11" s="185"/>
      <c r="BCP11" s="185" t="s">
        <v>70</v>
      </c>
      <c r="BCQ11" s="185"/>
      <c r="BCR11" s="185"/>
      <c r="BCS11" s="185"/>
      <c r="BCT11" s="185"/>
      <c r="BCU11" s="185"/>
      <c r="BCV11" s="185"/>
      <c r="BCW11" s="185"/>
      <c r="BCX11" s="185"/>
      <c r="BCY11" s="185"/>
      <c r="BCZ11" s="185"/>
      <c r="BDA11" s="185"/>
      <c r="BDB11" s="185"/>
      <c r="BDC11" s="185"/>
      <c r="BDD11" s="185"/>
      <c r="BDE11" s="185"/>
      <c r="BDF11" s="185"/>
      <c r="BDG11" s="185"/>
      <c r="BDH11" s="185"/>
      <c r="BDI11" s="185"/>
      <c r="BDJ11" s="185"/>
      <c r="BDK11" s="185"/>
      <c r="BDL11" s="185"/>
      <c r="BDM11" s="185"/>
      <c r="BDN11" s="185"/>
      <c r="BDO11" s="185"/>
      <c r="BDP11" s="185"/>
      <c r="BDQ11" s="185"/>
      <c r="BDR11" s="185"/>
      <c r="BDS11" s="185"/>
      <c r="BDT11" s="185"/>
      <c r="BDU11" s="185"/>
      <c r="BDV11" s="185"/>
      <c r="BDW11" s="185"/>
      <c r="BDX11" s="185"/>
      <c r="BDY11" s="185"/>
      <c r="BDZ11" s="185"/>
      <c r="BEA11" s="185"/>
      <c r="BEB11" s="185"/>
      <c r="BEC11" s="185"/>
      <c r="BED11" s="185"/>
      <c r="BEE11" s="185"/>
      <c r="BEF11" s="185"/>
      <c r="BEG11" s="185"/>
      <c r="BEH11" s="185"/>
      <c r="BEI11" s="185"/>
      <c r="BEJ11" s="185"/>
      <c r="BEK11" s="185"/>
      <c r="BEL11" s="185"/>
      <c r="BEM11" s="185"/>
      <c r="BEN11" s="185"/>
      <c r="BEO11" s="185"/>
      <c r="BEP11" s="185"/>
      <c r="BEQ11" s="185"/>
      <c r="BER11" s="185"/>
      <c r="BES11" s="185"/>
      <c r="BET11" s="185"/>
      <c r="BEU11" s="185"/>
      <c r="BEV11" s="185"/>
      <c r="BEW11" s="185"/>
      <c r="BEX11" s="185" t="s">
        <v>70</v>
      </c>
      <c r="BEY11" s="185"/>
      <c r="BEZ11" s="185"/>
      <c r="BFA11" s="185"/>
      <c r="BFB11" s="185"/>
      <c r="BFC11" s="185"/>
      <c r="BFD11" s="185"/>
      <c r="BFE11" s="185"/>
      <c r="BFF11" s="185"/>
      <c r="BFG11" s="185"/>
      <c r="BFH11" s="185"/>
      <c r="BFI11" s="185"/>
      <c r="BFJ11" s="185"/>
      <c r="BFK11" s="185"/>
      <c r="BFL11" s="185"/>
      <c r="BFM11" s="185"/>
      <c r="BFN11" s="185"/>
      <c r="BFO11" s="185"/>
      <c r="BFP11" s="185"/>
      <c r="BFQ11" s="185"/>
      <c r="BFR11" s="185"/>
      <c r="BFS11" s="185"/>
      <c r="BFT11" s="185"/>
      <c r="BFU11" s="185"/>
      <c r="BFV11" s="185"/>
      <c r="BFW11" s="185"/>
      <c r="BFX11" s="185"/>
      <c r="BFY11" s="185"/>
      <c r="BFZ11" s="185"/>
      <c r="BGA11" s="185"/>
      <c r="BGB11" s="185"/>
      <c r="BGC11" s="185"/>
      <c r="BGD11" s="185"/>
      <c r="BGE11" s="185"/>
      <c r="BGF11" s="185"/>
      <c r="BGG11" s="185"/>
      <c r="BGH11" s="185"/>
      <c r="BGI11" s="185"/>
      <c r="BGJ11" s="185"/>
      <c r="BGK11" s="185"/>
      <c r="BGL11" s="185"/>
      <c r="BGM11" s="185"/>
      <c r="BGN11" s="185"/>
      <c r="BGO11" s="185"/>
      <c r="BGP11" s="185"/>
      <c r="BGQ11" s="185"/>
      <c r="BGR11" s="185"/>
      <c r="BGS11" s="185"/>
      <c r="BGT11" s="185"/>
      <c r="BGU11" s="185"/>
      <c r="BGV11" s="185"/>
      <c r="BGW11" s="185"/>
      <c r="BGX11" s="185"/>
      <c r="BGY11" s="185"/>
      <c r="BGZ11" s="185"/>
      <c r="BHA11" s="185"/>
      <c r="BHB11" s="185"/>
      <c r="BHC11" s="185"/>
      <c r="BHD11" s="185"/>
      <c r="BHE11" s="185"/>
      <c r="BHF11" s="185" t="s">
        <v>67</v>
      </c>
      <c r="BHG11" s="185"/>
      <c r="BHH11" s="185"/>
      <c r="BHI11" s="185"/>
      <c r="BHJ11" s="185"/>
      <c r="BHK11" s="185"/>
      <c r="BHL11" s="185"/>
      <c r="BHM11" s="185"/>
      <c r="BHN11" s="185"/>
      <c r="BHO11" s="185"/>
      <c r="BHP11" s="185"/>
      <c r="BHQ11" s="185"/>
      <c r="BHR11" s="185"/>
      <c r="BHS11" s="185"/>
      <c r="BHT11" s="185"/>
      <c r="BHU11" s="185"/>
      <c r="BHV11" s="185"/>
      <c r="BHW11" s="185"/>
      <c r="BHX11" s="185"/>
      <c r="BHY11" s="185"/>
      <c r="BHZ11" s="185"/>
      <c r="BIA11" s="185"/>
      <c r="BIB11" s="185"/>
      <c r="BIC11" s="185"/>
      <c r="BID11" s="185"/>
      <c r="BIE11" s="185"/>
      <c r="BIF11" s="185"/>
      <c r="BIG11" s="185"/>
      <c r="BIH11" s="185"/>
      <c r="BII11" s="185"/>
      <c r="BIJ11" s="185"/>
      <c r="BIK11" s="185"/>
      <c r="BIL11" s="185"/>
      <c r="BIM11" s="185"/>
      <c r="BIN11" s="185"/>
      <c r="BIO11" s="185"/>
      <c r="BIP11" s="185"/>
      <c r="BIQ11" s="185"/>
      <c r="BIR11" s="185"/>
      <c r="BIS11" s="185"/>
      <c r="BIT11" s="185"/>
      <c r="BIU11" s="185"/>
      <c r="BIV11" s="185"/>
      <c r="BIW11" s="185"/>
      <c r="BIX11" s="185"/>
      <c r="BIY11" s="185"/>
      <c r="BIZ11" s="185"/>
      <c r="BJA11" s="185"/>
      <c r="BJB11" s="185"/>
      <c r="BJC11" s="185"/>
      <c r="BJD11" s="185"/>
      <c r="BJE11" s="185"/>
      <c r="BJF11" s="185"/>
      <c r="BJG11" s="185"/>
      <c r="BJH11" s="185"/>
      <c r="BJI11" s="185"/>
      <c r="BJJ11" s="185"/>
      <c r="BJK11" s="185"/>
      <c r="BJL11" s="185"/>
      <c r="BJM11" s="185"/>
      <c r="BJN11" s="185" t="s">
        <v>67</v>
      </c>
      <c r="BJO11" s="185"/>
      <c r="BJP11" s="185"/>
      <c r="BJQ11" s="185"/>
      <c r="BJR11" s="185"/>
      <c r="BJS11" s="185"/>
      <c r="BJT11" s="185"/>
      <c r="BJU11" s="185"/>
      <c r="BJV11" s="185"/>
      <c r="BJW11" s="185"/>
      <c r="BJX11" s="185"/>
      <c r="BJY11" s="185"/>
      <c r="BJZ11" s="185"/>
      <c r="BKA11" s="185"/>
      <c r="BKB11" s="185"/>
      <c r="BKC11" s="185"/>
      <c r="BKD11" s="185"/>
      <c r="BKE11" s="185"/>
      <c r="BKF11" s="185"/>
      <c r="BKG11" s="185"/>
      <c r="BKH11" s="185"/>
      <c r="BKI11" s="185"/>
      <c r="BKJ11" s="185"/>
      <c r="BKK11" s="185"/>
      <c r="BKL11" s="185"/>
      <c r="BKM11" s="185"/>
      <c r="BKN11" s="185"/>
      <c r="BKO11" s="185"/>
      <c r="BKP11" s="185"/>
      <c r="BKQ11" s="185"/>
      <c r="BKR11" s="185"/>
      <c r="BKS11" s="185"/>
      <c r="BKT11" s="185"/>
      <c r="BKU11" s="185"/>
      <c r="BKV11" s="185"/>
      <c r="BKW11" s="185"/>
      <c r="BKX11" s="185"/>
      <c r="BKY11" s="185"/>
      <c r="BKZ11" s="185"/>
      <c r="BLA11" s="185"/>
      <c r="BLB11" s="185"/>
      <c r="BLC11" s="185"/>
      <c r="BLD11" s="185"/>
      <c r="BLE11" s="185"/>
      <c r="BLF11" s="185"/>
      <c r="BLG11" s="185"/>
      <c r="BLH11" s="185"/>
      <c r="BLI11" s="185"/>
      <c r="BLJ11" s="185"/>
      <c r="BLK11" s="185"/>
      <c r="BLL11" s="185"/>
      <c r="BLM11" s="185"/>
      <c r="BLN11" s="185"/>
      <c r="BLO11" s="185"/>
      <c r="BLP11" s="185"/>
      <c r="BLQ11" s="185"/>
      <c r="BLR11" s="185"/>
      <c r="BLS11" s="185"/>
      <c r="BLT11" s="185"/>
      <c r="BLU11" s="185"/>
      <c r="BLV11" s="185" t="s">
        <v>65</v>
      </c>
      <c r="BLW11" s="185"/>
      <c r="BLX11" s="185"/>
      <c r="BLY11" s="185"/>
      <c r="BLZ11" s="185"/>
      <c r="BMA11" s="185"/>
      <c r="BMB11" s="185"/>
      <c r="BMC11" s="185"/>
      <c r="BMD11" s="185"/>
      <c r="BME11" s="185"/>
      <c r="BMF11" s="185"/>
      <c r="BMG11" s="185"/>
      <c r="BMH11" s="185"/>
      <c r="BMI11" s="185"/>
      <c r="BMJ11" s="185"/>
      <c r="BMK11" s="185"/>
      <c r="BML11" s="185"/>
      <c r="BMM11" s="185"/>
      <c r="BMN11" s="185"/>
      <c r="BMO11" s="185"/>
      <c r="BMP11" s="185"/>
      <c r="BMQ11" s="185"/>
      <c r="BMR11" s="185"/>
      <c r="BMS11" s="185"/>
      <c r="BMT11" s="185"/>
      <c r="BMU11" s="185"/>
      <c r="BMV11" s="185"/>
      <c r="BMW11" s="185"/>
      <c r="BMX11" s="185"/>
      <c r="BMY11" s="185"/>
      <c r="BMZ11" s="185"/>
      <c r="BNA11" s="185"/>
      <c r="BNB11" s="185"/>
      <c r="BNC11" s="185"/>
      <c r="BND11" s="185"/>
      <c r="BNE11" s="185"/>
      <c r="BNF11" s="185"/>
      <c r="BNG11" s="185"/>
      <c r="BNH11" s="185"/>
      <c r="BNI11" s="185"/>
      <c r="BNJ11" s="185"/>
      <c r="BNK11" s="185"/>
      <c r="BNL11" s="185"/>
      <c r="BNM11" s="185"/>
      <c r="BNN11" s="185"/>
      <c r="BNO11" s="185"/>
      <c r="BNP11" s="185"/>
      <c r="BNQ11" s="185"/>
      <c r="BNR11" s="185"/>
      <c r="BNS11" s="185"/>
      <c r="BNT11" s="185"/>
      <c r="BNU11" s="185"/>
      <c r="BNV11" s="185"/>
      <c r="BNW11" s="185"/>
      <c r="BNX11" s="185"/>
      <c r="BNY11" s="185"/>
      <c r="BNZ11" s="185"/>
      <c r="BOA11" s="185"/>
      <c r="BOB11" s="185"/>
      <c r="BOC11" s="185"/>
      <c r="BOD11" s="185" t="s">
        <v>62</v>
      </c>
      <c r="BOE11" s="185"/>
      <c r="BOF11" s="185"/>
      <c r="BOG11" s="185"/>
      <c r="BOH11" s="185"/>
      <c r="BOI11" s="185"/>
      <c r="BOJ11" s="185"/>
      <c r="BOK11" s="185"/>
      <c r="BOL11" s="185"/>
      <c r="BOM11" s="185"/>
      <c r="BON11" s="185"/>
      <c r="BOO11" s="185"/>
      <c r="BOP11" s="185"/>
      <c r="BOQ11" s="185"/>
      <c r="BOR11" s="185"/>
      <c r="BOS11" s="185"/>
      <c r="BOT11" s="185"/>
      <c r="BOU11" s="185"/>
      <c r="BOV11" s="185"/>
      <c r="BOW11" s="185"/>
      <c r="BOX11" s="185"/>
      <c r="BOY11" s="185"/>
      <c r="BOZ11" s="185"/>
      <c r="BPA11" s="185"/>
      <c r="BPB11" s="185"/>
      <c r="BPC11" s="185"/>
      <c r="BPD11" s="185"/>
      <c r="BPE11" s="185"/>
      <c r="BPF11" s="185"/>
      <c r="BPG11" s="185"/>
      <c r="BPH11" s="185"/>
      <c r="BPI11" s="185"/>
      <c r="BPJ11" s="185"/>
      <c r="BPK11" s="185"/>
      <c r="BPL11" s="185"/>
      <c r="BPM11" s="185"/>
      <c r="BPN11" s="185"/>
      <c r="BPO11" s="185"/>
      <c r="BPP11" s="185"/>
      <c r="BPQ11" s="185"/>
      <c r="BPR11" s="185"/>
      <c r="BPS11" s="185"/>
      <c r="BPT11" s="185"/>
      <c r="BPU11" s="185"/>
      <c r="BPV11" s="185"/>
      <c r="BPW11" s="185"/>
      <c r="BPX11" s="185"/>
      <c r="BPY11" s="185"/>
      <c r="BPZ11" s="185"/>
      <c r="BQA11" s="185"/>
      <c r="BQB11" s="185"/>
      <c r="BQC11" s="185"/>
      <c r="BQD11" s="185"/>
      <c r="BQE11" s="185"/>
      <c r="BQF11" s="185"/>
      <c r="BQG11" s="185"/>
      <c r="BQH11" s="185"/>
      <c r="BQI11" s="185"/>
      <c r="BQJ11" s="185"/>
      <c r="BQK11" s="185"/>
      <c r="BQL11" s="185" t="s">
        <v>62</v>
      </c>
      <c r="BQM11" s="185"/>
      <c r="BQN11" s="185"/>
      <c r="BQO11" s="185"/>
      <c r="BQP11" s="185"/>
      <c r="BQQ11" s="185"/>
      <c r="BQR11" s="185"/>
      <c r="BQS11" s="185"/>
      <c r="BQT11" s="185"/>
      <c r="BQU11" s="185"/>
      <c r="BQV11" s="185"/>
      <c r="BQW11" s="185"/>
      <c r="BQX11" s="185"/>
      <c r="BQY11" s="185"/>
      <c r="BQZ11" s="185"/>
      <c r="BRA11" s="185"/>
      <c r="BRB11" s="185"/>
      <c r="BRC11" s="185"/>
      <c r="BRD11" s="185"/>
      <c r="BRE11" s="185"/>
      <c r="BRF11" s="185"/>
      <c r="BRG11" s="185"/>
      <c r="BRH11" s="185"/>
      <c r="BRI11" s="185"/>
      <c r="BRJ11" s="185"/>
      <c r="BRK11" s="185"/>
      <c r="BRL11" s="185"/>
      <c r="BRM11" s="185"/>
      <c r="BRN11" s="185"/>
      <c r="BRO11" s="185"/>
      <c r="BRP11" s="185"/>
      <c r="BRQ11" s="185"/>
      <c r="BRR11" s="185"/>
      <c r="BRS11" s="185"/>
      <c r="BRT11" s="185"/>
      <c r="BRU11" s="185"/>
      <c r="BRV11" s="185"/>
      <c r="BRW11" s="185"/>
      <c r="BRX11" s="185"/>
      <c r="BRY11" s="185"/>
      <c r="BRZ11" s="185"/>
      <c r="BSA11" s="185"/>
      <c r="BSB11" s="185"/>
      <c r="BSC11" s="185"/>
      <c r="BSD11" s="185"/>
      <c r="BSE11" s="185"/>
      <c r="BSF11" s="185"/>
      <c r="BSG11" s="185"/>
      <c r="BSH11" s="185"/>
      <c r="BSI11" s="185"/>
      <c r="BSJ11" s="185"/>
      <c r="BSK11" s="185"/>
      <c r="BSL11" s="185"/>
      <c r="BSM11" s="185"/>
      <c r="BSN11" s="185"/>
      <c r="BSO11" s="185"/>
      <c r="BSP11" s="185"/>
      <c r="BSQ11" s="185"/>
      <c r="BSR11" s="185"/>
      <c r="BSS11" s="185"/>
      <c r="BST11" s="185" t="s">
        <v>59</v>
      </c>
      <c r="BSU11" s="185"/>
      <c r="BSV11" s="185"/>
      <c r="BSW11" s="185"/>
      <c r="BSX11" s="185"/>
      <c r="BSY11" s="185"/>
      <c r="BSZ11" s="185"/>
      <c r="BTA11" s="185"/>
      <c r="BTB11" s="185"/>
      <c r="BTC11" s="185"/>
      <c r="BTD11" s="185"/>
      <c r="BTE11" s="185"/>
      <c r="BTF11" s="185"/>
      <c r="BTG11" s="185"/>
      <c r="BTH11" s="185"/>
      <c r="BTI11" s="185"/>
      <c r="BTJ11" s="185"/>
      <c r="BTK11" s="185"/>
      <c r="BTL11" s="185"/>
      <c r="BTM11" s="185"/>
      <c r="BTN11" s="185"/>
      <c r="BTO11" s="185"/>
      <c r="BTP11" s="185"/>
      <c r="BTQ11" s="185"/>
      <c r="BTR11" s="185"/>
      <c r="BTS11" s="185"/>
      <c r="BTT11" s="185"/>
      <c r="BTU11" s="185"/>
      <c r="BTV11" s="185"/>
      <c r="BTW11" s="185"/>
      <c r="BTX11" s="185"/>
      <c r="BTY11" s="185"/>
      <c r="BTZ11" s="185"/>
      <c r="BUA11" s="185"/>
      <c r="BUB11" s="185"/>
      <c r="BUC11" s="185"/>
      <c r="BUD11" s="185"/>
      <c r="BUE11" s="185"/>
      <c r="BUF11" s="185"/>
      <c r="BUG11" s="185"/>
      <c r="BUH11" s="185"/>
      <c r="BUI11" s="185"/>
      <c r="BUJ11" s="185"/>
      <c r="BUK11" s="185"/>
      <c r="BUL11" s="185"/>
      <c r="BUM11" s="185"/>
      <c r="BUN11" s="185"/>
      <c r="BUO11" s="185"/>
      <c r="BUP11" s="185"/>
      <c r="BUQ11" s="185"/>
      <c r="BUR11" s="185"/>
      <c r="BUS11" s="185"/>
      <c r="BUT11" s="185"/>
      <c r="BUU11" s="185"/>
      <c r="BUV11" s="185"/>
      <c r="BUW11" s="185"/>
      <c r="BUX11" s="185"/>
      <c r="BUY11" s="185"/>
      <c r="BUZ11" s="185"/>
      <c r="BVA11" s="185"/>
      <c r="BVB11" s="185" t="s">
        <v>59</v>
      </c>
      <c r="BVC11" s="185"/>
      <c r="BVD11" s="185"/>
      <c r="BVE11" s="185"/>
      <c r="BVF11" s="185"/>
      <c r="BVG11" s="185"/>
      <c r="BVH11" s="185"/>
      <c r="BVI11" s="185"/>
      <c r="BVJ11" s="185"/>
      <c r="BVK11" s="185"/>
      <c r="BVL11" s="185"/>
      <c r="BVM11" s="185"/>
      <c r="BVN11" s="185"/>
      <c r="BVO11" s="185"/>
      <c r="BVP11" s="185"/>
      <c r="BVQ11" s="185"/>
      <c r="BVR11" s="185"/>
      <c r="BVS11" s="185"/>
      <c r="BVT11" s="185"/>
      <c r="BVU11" s="185"/>
      <c r="BVV11" s="185"/>
      <c r="BVW11" s="185"/>
      <c r="BVX11" s="185"/>
      <c r="BVY11" s="185"/>
      <c r="BVZ11" s="185"/>
      <c r="BWA11" s="185"/>
      <c r="BWB11" s="185"/>
      <c r="BWC11" s="185"/>
      <c r="BWD11" s="185"/>
      <c r="BWE11" s="185"/>
      <c r="BWF11" s="185"/>
      <c r="BWG11" s="185"/>
      <c r="BWH11" s="185"/>
      <c r="BWI11" s="185"/>
      <c r="BWJ11" s="185"/>
      <c r="BWK11" s="185"/>
      <c r="BWL11" s="185"/>
      <c r="BWM11" s="185"/>
      <c r="BWN11" s="185"/>
      <c r="BWO11" s="185"/>
      <c r="BWP11" s="185"/>
      <c r="BWQ11" s="185"/>
      <c r="BWR11" s="185"/>
      <c r="BWS11" s="185"/>
      <c r="BWT11" s="185"/>
      <c r="BWU11" s="185"/>
      <c r="BWV11" s="185"/>
      <c r="BWW11" s="185"/>
      <c r="BWX11" s="185"/>
      <c r="BWY11" s="185"/>
      <c r="BWZ11" s="185"/>
      <c r="BXA11" s="185"/>
      <c r="BXB11" s="185"/>
      <c r="BXC11" s="185"/>
      <c r="BXD11" s="185"/>
      <c r="BXE11" s="185"/>
      <c r="BXF11" s="185"/>
      <c r="BXG11" s="185"/>
      <c r="BXH11" s="185"/>
      <c r="BXI11" s="185"/>
      <c r="BXJ11" s="185" t="s">
        <v>57</v>
      </c>
      <c r="BXK11" s="185"/>
      <c r="BXL11" s="185"/>
      <c r="BXM11" s="185"/>
      <c r="BXN11" s="185"/>
      <c r="BXO11" s="185"/>
      <c r="BXP11" s="185"/>
      <c r="BXQ11" s="185"/>
      <c r="BXR11" s="185"/>
      <c r="BXS11" s="185"/>
      <c r="BXT11" s="185"/>
      <c r="BXU11" s="185"/>
      <c r="BXV11" s="185"/>
      <c r="BXW11" s="185"/>
      <c r="BXX11" s="185"/>
      <c r="BXY11" s="185"/>
      <c r="BXZ11" s="185"/>
      <c r="BYA11" s="185"/>
      <c r="BYB11" s="185"/>
      <c r="BYC11" s="185"/>
      <c r="BYD11" s="185"/>
      <c r="BYE11" s="185"/>
      <c r="BYF11" s="185"/>
      <c r="BYG11" s="185"/>
      <c r="BYH11" s="185"/>
      <c r="BYI11" s="185"/>
      <c r="BYJ11" s="185"/>
      <c r="BYK11" s="185"/>
      <c r="BYL11" s="185"/>
      <c r="BYM11" s="185"/>
      <c r="BYN11" s="185"/>
      <c r="BYO11" s="185"/>
      <c r="BYP11" s="185"/>
      <c r="BYQ11" s="185"/>
      <c r="BYR11" s="185"/>
      <c r="BYS11" s="185"/>
      <c r="BYT11" s="185"/>
      <c r="BYU11" s="185"/>
      <c r="BYV11" s="185"/>
      <c r="BYW11" s="185"/>
      <c r="BYX11" s="185"/>
      <c r="BYY11" s="185"/>
      <c r="BYZ11" s="185"/>
      <c r="BZA11" s="185"/>
      <c r="BZB11" s="185"/>
      <c r="BZC11" s="185"/>
      <c r="BZD11" s="185"/>
      <c r="BZE11" s="185"/>
      <c r="BZF11" s="185"/>
      <c r="BZG11" s="185"/>
      <c r="BZH11" s="185"/>
      <c r="BZI11" s="185"/>
      <c r="BZJ11" s="185"/>
      <c r="BZK11" s="185"/>
      <c r="BZL11" s="185"/>
      <c r="BZM11" s="185"/>
      <c r="BZN11" s="185"/>
      <c r="BZO11" s="185"/>
      <c r="BZP11" s="185"/>
      <c r="BZQ11" s="185"/>
      <c r="BZR11" s="185"/>
      <c r="BZS11" s="185"/>
      <c r="BZT11" s="185"/>
      <c r="BZU11" s="185"/>
      <c r="BZV11" s="185"/>
      <c r="BZW11" s="185"/>
      <c r="BZX11" s="185"/>
      <c r="BZY11" s="185"/>
      <c r="BZZ11" s="185"/>
      <c r="CAA11" s="185"/>
      <c r="CAB11" s="185"/>
      <c r="CAC11" s="185"/>
      <c r="CAD11" s="185"/>
      <c r="CAE11" s="185"/>
      <c r="CAF11" s="185"/>
      <c r="CAG11" s="185"/>
      <c r="CAH11" s="185"/>
      <c r="CAI11" s="185"/>
      <c r="CAJ11" s="185"/>
      <c r="CAK11" s="185"/>
      <c r="CAL11" s="185"/>
      <c r="CAM11" s="185"/>
      <c r="CAN11" s="185"/>
      <c r="CAO11" s="185"/>
      <c r="CAP11" s="185"/>
      <c r="CAQ11" s="185"/>
      <c r="CAR11" s="185"/>
      <c r="CAS11" s="185"/>
      <c r="CAT11" s="185"/>
      <c r="CAU11" s="185"/>
      <c r="CAV11" s="185"/>
      <c r="CAW11" s="185"/>
      <c r="CAX11" s="185"/>
      <c r="CAY11" s="185"/>
      <c r="CAZ11" s="185"/>
      <c r="CBA11" s="185"/>
      <c r="CBB11" s="185"/>
      <c r="CBC11" s="185"/>
      <c r="CBD11" s="185"/>
      <c r="CBE11" s="185"/>
      <c r="CBF11" s="185"/>
      <c r="CBG11" s="185"/>
      <c r="CBH11" s="185"/>
      <c r="CBI11" s="185"/>
      <c r="CBJ11" s="185"/>
      <c r="CBK11" s="185"/>
      <c r="CBL11" s="185"/>
      <c r="CBM11" s="185"/>
      <c r="CBN11" s="185"/>
      <c r="CBO11" s="185"/>
      <c r="CBP11" s="185"/>
      <c r="CBQ11" s="185"/>
      <c r="CBR11" s="185"/>
      <c r="CBS11" s="185"/>
      <c r="CBT11" s="185"/>
      <c r="CBU11" s="185"/>
      <c r="CBV11" s="185"/>
      <c r="CBW11" s="185"/>
      <c r="CBX11" s="185"/>
      <c r="CBY11" s="185"/>
      <c r="CBZ11" s="90"/>
    </row>
    <row r="12" spans="1:2106" ht="15.75" customHeight="1" thickBot="1" x14ac:dyDescent="0.3">
      <c r="B12" s="97"/>
      <c r="C12" s="179"/>
      <c r="D12" s="179"/>
      <c r="E12" s="179"/>
      <c r="F12" s="180" t="s">
        <v>46</v>
      </c>
      <c r="G12" s="180"/>
      <c r="H12" s="180"/>
      <c r="I12" s="180"/>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t="s">
        <v>47</v>
      </c>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6" t="s">
        <v>46</v>
      </c>
      <c r="DW12" s="186"/>
      <c r="DX12" s="186"/>
      <c r="DY12" s="186"/>
      <c r="DZ12" s="186"/>
      <c r="EA12" s="186"/>
      <c r="EB12" s="186"/>
      <c r="EC12" s="186"/>
      <c r="ED12" s="186"/>
      <c r="EE12" s="186"/>
      <c r="EF12" s="186"/>
      <c r="EG12" s="186"/>
      <c r="EH12" s="186"/>
      <c r="EI12" s="186"/>
      <c r="EJ12" s="186"/>
      <c r="EK12" s="186"/>
      <c r="EL12" s="186"/>
      <c r="EM12" s="186"/>
      <c r="EN12" s="186"/>
      <c r="EO12" s="186"/>
      <c r="EP12" s="186"/>
      <c r="EQ12" s="186"/>
      <c r="ER12" s="186"/>
      <c r="ES12" s="186"/>
      <c r="ET12" s="186"/>
      <c r="EU12" s="186"/>
      <c r="EV12" s="186"/>
      <c r="EW12" s="186"/>
      <c r="EX12" s="186"/>
      <c r="EY12" s="186"/>
      <c r="EZ12" s="186"/>
      <c r="FA12" s="186"/>
      <c r="FB12" s="186"/>
      <c r="FC12" s="186"/>
      <c r="FD12" s="186"/>
      <c r="FE12" s="186"/>
      <c r="FF12" s="186"/>
      <c r="FG12" s="186"/>
      <c r="FH12" s="186"/>
      <c r="FI12" s="186"/>
      <c r="FJ12" s="186"/>
      <c r="FK12" s="186"/>
      <c r="FL12" s="186"/>
      <c r="FM12" s="186"/>
      <c r="FN12" s="186"/>
      <c r="FO12" s="186"/>
      <c r="FP12" s="186"/>
      <c r="FQ12" s="186"/>
      <c r="FR12" s="186"/>
      <c r="FS12" s="186"/>
      <c r="FT12" s="186"/>
      <c r="FU12" s="186"/>
      <c r="FV12" s="186"/>
      <c r="FW12" s="186"/>
      <c r="FX12" s="186"/>
      <c r="FY12" s="186"/>
      <c r="FZ12" s="186"/>
      <c r="GA12" s="186"/>
      <c r="GB12" s="186"/>
      <c r="GC12" s="186"/>
      <c r="GD12" s="186" t="s">
        <v>47</v>
      </c>
      <c r="GE12" s="186"/>
      <c r="GF12" s="186"/>
      <c r="GG12" s="186"/>
      <c r="GH12" s="186"/>
      <c r="GI12" s="186"/>
      <c r="GJ12" s="186"/>
      <c r="GK12" s="186"/>
      <c r="GL12" s="186"/>
      <c r="GM12" s="186"/>
      <c r="GN12" s="186"/>
      <c r="GO12" s="186"/>
      <c r="GP12" s="186"/>
      <c r="GQ12" s="186"/>
      <c r="GR12" s="186"/>
      <c r="GS12" s="186"/>
      <c r="GT12" s="186"/>
      <c r="GU12" s="186"/>
      <c r="GV12" s="186"/>
      <c r="GW12" s="186"/>
      <c r="GX12" s="186"/>
      <c r="GY12" s="186"/>
      <c r="GZ12" s="186"/>
      <c r="HA12" s="186"/>
      <c r="HB12" s="186"/>
      <c r="HC12" s="186"/>
      <c r="HD12" s="186"/>
      <c r="HE12" s="186"/>
      <c r="HF12" s="186"/>
      <c r="HG12" s="186"/>
      <c r="HH12" s="186"/>
      <c r="HI12" s="186"/>
      <c r="HJ12" s="186"/>
      <c r="HK12" s="186"/>
      <c r="HL12" s="186"/>
      <c r="HM12" s="186"/>
      <c r="HN12" s="186"/>
      <c r="HO12" s="186"/>
      <c r="HP12" s="186"/>
      <c r="HQ12" s="186"/>
      <c r="HR12" s="186"/>
      <c r="HS12" s="186"/>
      <c r="HT12" s="186"/>
      <c r="HU12" s="186"/>
      <c r="HV12" s="186"/>
      <c r="HW12" s="186"/>
      <c r="HX12" s="186"/>
      <c r="HY12" s="186"/>
      <c r="HZ12" s="186"/>
      <c r="IA12" s="186"/>
      <c r="IB12" s="186"/>
      <c r="IC12" s="186"/>
      <c r="ID12" s="186"/>
      <c r="IE12" s="186"/>
      <c r="IF12" s="186"/>
      <c r="IG12" s="186"/>
      <c r="IH12" s="186"/>
      <c r="II12" s="186"/>
      <c r="IJ12" s="186"/>
      <c r="IK12" s="186"/>
      <c r="IL12" s="186" t="s">
        <v>46</v>
      </c>
      <c r="IM12" s="186"/>
      <c r="IN12" s="186"/>
      <c r="IO12" s="186"/>
      <c r="IP12" s="186"/>
      <c r="IQ12" s="186"/>
      <c r="IR12" s="186"/>
      <c r="IS12" s="186"/>
      <c r="IT12" s="186"/>
      <c r="IU12" s="186"/>
      <c r="IV12" s="186"/>
      <c r="IW12" s="186"/>
      <c r="IX12" s="186"/>
      <c r="IY12" s="186"/>
      <c r="IZ12" s="186"/>
      <c r="JA12" s="186"/>
      <c r="JB12" s="186"/>
      <c r="JC12" s="186"/>
      <c r="JD12" s="186"/>
      <c r="JE12" s="186"/>
      <c r="JF12" s="186"/>
      <c r="JG12" s="186"/>
      <c r="JH12" s="186"/>
      <c r="JI12" s="186"/>
      <c r="JJ12" s="186"/>
      <c r="JK12" s="186"/>
      <c r="JL12" s="186"/>
      <c r="JM12" s="186"/>
      <c r="JN12" s="186"/>
      <c r="JO12" s="186"/>
      <c r="JP12" s="186"/>
      <c r="JQ12" s="186"/>
      <c r="JR12" s="186"/>
      <c r="JS12" s="186"/>
      <c r="JT12" s="186"/>
      <c r="JU12" s="186"/>
      <c r="JV12" s="186"/>
      <c r="JW12" s="186"/>
      <c r="JX12" s="186"/>
      <c r="JY12" s="186"/>
      <c r="JZ12" s="186"/>
      <c r="KA12" s="186"/>
      <c r="KB12" s="186"/>
      <c r="KC12" s="186"/>
      <c r="KD12" s="186"/>
      <c r="KE12" s="186"/>
      <c r="KF12" s="186"/>
      <c r="KG12" s="186"/>
      <c r="KH12" s="186"/>
      <c r="KI12" s="186"/>
      <c r="KJ12" s="186"/>
      <c r="KK12" s="186"/>
      <c r="KL12" s="186"/>
      <c r="KM12" s="186"/>
      <c r="KN12" s="186"/>
      <c r="KO12" s="186"/>
      <c r="KP12" s="186"/>
      <c r="KQ12" s="186"/>
      <c r="KR12" s="186"/>
      <c r="KS12" s="186"/>
      <c r="KT12" s="186" t="s">
        <v>47</v>
      </c>
      <c r="KU12" s="186"/>
      <c r="KV12" s="186"/>
      <c r="KW12" s="186"/>
      <c r="KX12" s="186"/>
      <c r="KY12" s="186"/>
      <c r="KZ12" s="186"/>
      <c r="LA12" s="186"/>
      <c r="LB12" s="186"/>
      <c r="LC12" s="186"/>
      <c r="LD12" s="186"/>
      <c r="LE12" s="186"/>
      <c r="LF12" s="186"/>
      <c r="LG12" s="186"/>
      <c r="LH12" s="186"/>
      <c r="LI12" s="186"/>
      <c r="LJ12" s="186"/>
      <c r="LK12" s="186"/>
      <c r="LL12" s="186"/>
      <c r="LM12" s="186"/>
      <c r="LN12" s="186"/>
      <c r="LO12" s="186"/>
      <c r="LP12" s="186"/>
      <c r="LQ12" s="186"/>
      <c r="LR12" s="186"/>
      <c r="LS12" s="186"/>
      <c r="LT12" s="186"/>
      <c r="LU12" s="186"/>
      <c r="LV12" s="186"/>
      <c r="LW12" s="186"/>
      <c r="LX12" s="186"/>
      <c r="LY12" s="186"/>
      <c r="LZ12" s="186"/>
      <c r="MA12" s="186"/>
      <c r="MB12" s="186"/>
      <c r="MC12" s="186"/>
      <c r="MD12" s="186"/>
      <c r="ME12" s="186"/>
      <c r="MF12" s="186"/>
      <c r="MG12" s="186"/>
      <c r="MH12" s="186"/>
      <c r="MI12" s="186"/>
      <c r="MJ12" s="186"/>
      <c r="MK12" s="186"/>
      <c r="ML12" s="186"/>
      <c r="MM12" s="186"/>
      <c r="MN12" s="186"/>
      <c r="MO12" s="186"/>
      <c r="MP12" s="186"/>
      <c r="MQ12" s="186"/>
      <c r="MR12" s="186"/>
      <c r="MS12" s="186"/>
      <c r="MT12" s="186"/>
      <c r="MU12" s="186"/>
      <c r="MV12" s="186"/>
      <c r="MW12" s="186"/>
      <c r="MX12" s="186"/>
      <c r="MY12" s="186"/>
      <c r="MZ12" s="186"/>
      <c r="NA12" s="186"/>
      <c r="NB12" s="186" t="s">
        <v>47</v>
      </c>
      <c r="NC12" s="186"/>
      <c r="ND12" s="186"/>
      <c r="NE12" s="186"/>
      <c r="NF12" s="186"/>
      <c r="NG12" s="186"/>
      <c r="NH12" s="186"/>
      <c r="NI12" s="186"/>
      <c r="NJ12" s="186"/>
      <c r="NK12" s="186"/>
      <c r="NL12" s="186"/>
      <c r="NM12" s="186"/>
      <c r="NN12" s="186"/>
      <c r="NO12" s="186"/>
      <c r="NP12" s="186"/>
      <c r="NQ12" s="186"/>
      <c r="NR12" s="186"/>
      <c r="NS12" s="186"/>
      <c r="NT12" s="186"/>
      <c r="NU12" s="186"/>
      <c r="NV12" s="186"/>
      <c r="NW12" s="186"/>
      <c r="NX12" s="186"/>
      <c r="NY12" s="186"/>
      <c r="NZ12" s="186"/>
      <c r="OA12" s="186"/>
      <c r="OB12" s="186"/>
      <c r="OC12" s="186"/>
      <c r="OD12" s="186"/>
      <c r="OE12" s="186"/>
      <c r="OF12" s="186"/>
      <c r="OG12" s="186"/>
      <c r="OH12" s="186"/>
      <c r="OI12" s="186"/>
      <c r="OJ12" s="186"/>
      <c r="OK12" s="186"/>
      <c r="OL12" s="186"/>
      <c r="OM12" s="186"/>
      <c r="ON12" s="186"/>
      <c r="OO12" s="186"/>
      <c r="OP12" s="186"/>
      <c r="OQ12" s="186"/>
      <c r="OR12" s="186"/>
      <c r="OS12" s="186"/>
      <c r="OT12" s="186"/>
      <c r="OU12" s="186"/>
      <c r="OV12" s="186"/>
      <c r="OW12" s="186"/>
      <c r="OX12" s="186"/>
      <c r="OY12" s="186"/>
      <c r="OZ12" s="186"/>
      <c r="PA12" s="186"/>
      <c r="PB12" s="186"/>
      <c r="PC12" s="186"/>
      <c r="PD12" s="186"/>
      <c r="PE12" s="186"/>
      <c r="PF12" s="186"/>
      <c r="PG12" s="186"/>
      <c r="PH12" s="186"/>
      <c r="PI12" s="186"/>
      <c r="PJ12" s="186" t="s">
        <v>46</v>
      </c>
      <c r="PK12" s="186"/>
      <c r="PL12" s="186"/>
      <c r="PM12" s="186"/>
      <c r="PN12" s="186"/>
      <c r="PO12" s="186"/>
      <c r="PP12" s="186"/>
      <c r="PQ12" s="186"/>
      <c r="PR12" s="186"/>
      <c r="PS12" s="186"/>
      <c r="PT12" s="186"/>
      <c r="PU12" s="186"/>
      <c r="PV12" s="186"/>
      <c r="PW12" s="186"/>
      <c r="PX12" s="186"/>
      <c r="PY12" s="186"/>
      <c r="PZ12" s="186"/>
      <c r="QA12" s="186"/>
      <c r="QB12" s="186"/>
      <c r="QC12" s="186"/>
      <c r="QD12" s="186"/>
      <c r="QE12" s="186"/>
      <c r="QF12" s="186"/>
      <c r="QG12" s="186"/>
      <c r="QH12" s="186"/>
      <c r="QI12" s="186"/>
      <c r="QJ12" s="186"/>
      <c r="QK12" s="186"/>
      <c r="QL12" s="186"/>
      <c r="QM12" s="186"/>
      <c r="QN12" s="186"/>
      <c r="QO12" s="186"/>
      <c r="QP12" s="186"/>
      <c r="QQ12" s="186"/>
      <c r="QR12" s="186"/>
      <c r="QS12" s="186"/>
      <c r="QT12" s="186"/>
      <c r="QU12" s="186"/>
      <c r="QV12" s="186"/>
      <c r="QW12" s="186"/>
      <c r="QX12" s="186"/>
      <c r="QY12" s="186"/>
      <c r="QZ12" s="186"/>
      <c r="RA12" s="186"/>
      <c r="RB12" s="186"/>
      <c r="RC12" s="186"/>
      <c r="RD12" s="186"/>
      <c r="RE12" s="186"/>
      <c r="RF12" s="186"/>
      <c r="RG12" s="186"/>
      <c r="RH12" s="186"/>
      <c r="RI12" s="186"/>
      <c r="RJ12" s="186"/>
      <c r="RK12" s="186"/>
      <c r="RL12" s="186"/>
      <c r="RM12" s="186"/>
      <c r="RN12" s="186"/>
      <c r="RO12" s="186"/>
      <c r="RP12" s="186"/>
      <c r="RQ12" s="186"/>
      <c r="RR12" s="186" t="s">
        <v>47</v>
      </c>
      <c r="RS12" s="186"/>
      <c r="RT12" s="186"/>
      <c r="RU12" s="186"/>
      <c r="RV12" s="186"/>
      <c r="RW12" s="186"/>
      <c r="RX12" s="186"/>
      <c r="RY12" s="186"/>
      <c r="RZ12" s="186"/>
      <c r="SA12" s="186"/>
      <c r="SB12" s="186"/>
      <c r="SC12" s="186"/>
      <c r="SD12" s="186"/>
      <c r="SE12" s="186"/>
      <c r="SF12" s="186"/>
      <c r="SG12" s="186"/>
      <c r="SH12" s="186"/>
      <c r="SI12" s="186"/>
      <c r="SJ12" s="186"/>
      <c r="SK12" s="186"/>
      <c r="SL12" s="186"/>
      <c r="SM12" s="186"/>
      <c r="SN12" s="186"/>
      <c r="SO12" s="186"/>
      <c r="SP12" s="186"/>
      <c r="SQ12" s="186"/>
      <c r="SR12" s="186"/>
      <c r="SS12" s="186"/>
      <c r="ST12" s="186"/>
      <c r="SU12" s="186"/>
      <c r="SV12" s="186"/>
      <c r="SW12" s="186"/>
      <c r="SX12" s="186"/>
      <c r="SY12" s="186"/>
      <c r="SZ12" s="186"/>
      <c r="TA12" s="186"/>
      <c r="TB12" s="186"/>
      <c r="TC12" s="186"/>
      <c r="TD12" s="186"/>
      <c r="TE12" s="186"/>
      <c r="TF12" s="186"/>
      <c r="TG12" s="186"/>
      <c r="TH12" s="186"/>
      <c r="TI12" s="186"/>
      <c r="TJ12" s="186"/>
      <c r="TK12" s="186"/>
      <c r="TL12" s="186"/>
      <c r="TM12" s="186"/>
      <c r="TN12" s="186"/>
      <c r="TO12" s="186"/>
      <c r="TP12" s="186"/>
      <c r="TQ12" s="186"/>
      <c r="TR12" s="186"/>
      <c r="TS12" s="186"/>
      <c r="TT12" s="186"/>
      <c r="TU12" s="186"/>
      <c r="TV12" s="186"/>
      <c r="TW12" s="186"/>
      <c r="TX12" s="186"/>
      <c r="TY12" s="186"/>
      <c r="TZ12" s="186" t="s">
        <v>46</v>
      </c>
      <c r="UA12" s="186"/>
      <c r="UB12" s="186"/>
      <c r="UC12" s="186"/>
      <c r="UD12" s="186"/>
      <c r="UE12" s="186"/>
      <c r="UF12" s="186"/>
      <c r="UG12" s="186"/>
      <c r="UH12" s="186"/>
      <c r="UI12" s="186"/>
      <c r="UJ12" s="186"/>
      <c r="UK12" s="186"/>
      <c r="UL12" s="186"/>
      <c r="UM12" s="186"/>
      <c r="UN12" s="186"/>
      <c r="UO12" s="186"/>
      <c r="UP12" s="186"/>
      <c r="UQ12" s="186"/>
      <c r="UR12" s="186"/>
      <c r="US12" s="186"/>
      <c r="UT12" s="186"/>
      <c r="UU12" s="186"/>
      <c r="UV12" s="186"/>
      <c r="UW12" s="186"/>
      <c r="UX12" s="186"/>
      <c r="UY12" s="186"/>
      <c r="UZ12" s="186"/>
      <c r="VA12" s="186"/>
      <c r="VB12" s="186"/>
      <c r="VC12" s="186"/>
      <c r="VD12" s="186"/>
      <c r="VE12" s="186"/>
      <c r="VF12" s="186"/>
      <c r="VG12" s="186"/>
      <c r="VH12" s="186"/>
      <c r="VI12" s="186"/>
      <c r="VJ12" s="186"/>
      <c r="VK12" s="186"/>
      <c r="VL12" s="186"/>
      <c r="VM12" s="186"/>
      <c r="VN12" s="186"/>
      <c r="VO12" s="186"/>
      <c r="VP12" s="186"/>
      <c r="VQ12" s="186"/>
      <c r="VR12" s="186"/>
      <c r="VS12" s="186"/>
      <c r="VT12" s="186"/>
      <c r="VU12" s="186"/>
      <c r="VV12" s="186"/>
      <c r="VW12" s="186"/>
      <c r="VX12" s="186"/>
      <c r="VY12" s="186"/>
      <c r="VZ12" s="186"/>
      <c r="WA12" s="186"/>
      <c r="WB12" s="186"/>
      <c r="WC12" s="186"/>
      <c r="WD12" s="186"/>
      <c r="WE12" s="186"/>
      <c r="WF12" s="186"/>
      <c r="WG12" s="186"/>
      <c r="WH12" s="186" t="s">
        <v>47</v>
      </c>
      <c r="WI12" s="186"/>
      <c r="WJ12" s="186"/>
      <c r="WK12" s="186"/>
      <c r="WL12" s="186"/>
      <c r="WM12" s="186"/>
      <c r="WN12" s="186"/>
      <c r="WO12" s="186"/>
      <c r="WP12" s="186"/>
      <c r="WQ12" s="186"/>
      <c r="WR12" s="186"/>
      <c r="WS12" s="186"/>
      <c r="WT12" s="186"/>
      <c r="WU12" s="186"/>
      <c r="WV12" s="186"/>
      <c r="WW12" s="186"/>
      <c r="WX12" s="186"/>
      <c r="WY12" s="186"/>
      <c r="WZ12" s="186"/>
      <c r="XA12" s="186"/>
      <c r="XB12" s="186"/>
      <c r="XC12" s="186"/>
      <c r="XD12" s="186"/>
      <c r="XE12" s="186"/>
      <c r="XF12" s="186"/>
      <c r="XG12" s="186"/>
      <c r="XH12" s="186"/>
      <c r="XI12" s="186"/>
      <c r="XJ12" s="186"/>
      <c r="XK12" s="186"/>
      <c r="XL12" s="186"/>
      <c r="XM12" s="186"/>
      <c r="XN12" s="186"/>
      <c r="XO12" s="186"/>
      <c r="XP12" s="186"/>
      <c r="XQ12" s="186"/>
      <c r="XR12" s="186"/>
      <c r="XS12" s="186"/>
      <c r="XT12" s="186"/>
      <c r="XU12" s="186"/>
      <c r="XV12" s="186"/>
      <c r="XW12" s="186"/>
      <c r="XX12" s="186"/>
      <c r="XY12" s="186"/>
      <c r="XZ12" s="186"/>
      <c r="YA12" s="186"/>
      <c r="YB12" s="186"/>
      <c r="YC12" s="186"/>
      <c r="YD12" s="186"/>
      <c r="YE12" s="186"/>
      <c r="YF12" s="186"/>
      <c r="YG12" s="186"/>
      <c r="YH12" s="186"/>
      <c r="YI12" s="186"/>
      <c r="YJ12" s="186"/>
      <c r="YK12" s="186"/>
      <c r="YL12" s="186"/>
      <c r="YM12" s="186"/>
      <c r="YN12" s="186"/>
      <c r="YO12" s="186"/>
      <c r="YP12" s="186" t="s">
        <v>46</v>
      </c>
      <c r="YQ12" s="186"/>
      <c r="YR12" s="186"/>
      <c r="YS12" s="186"/>
      <c r="YT12" s="186"/>
      <c r="YU12" s="186"/>
      <c r="YV12" s="186"/>
      <c r="YW12" s="186"/>
      <c r="YX12" s="186"/>
      <c r="YY12" s="186"/>
      <c r="YZ12" s="186"/>
      <c r="ZA12" s="186"/>
      <c r="ZB12" s="186"/>
      <c r="ZC12" s="186"/>
      <c r="ZD12" s="186"/>
      <c r="ZE12" s="186"/>
      <c r="ZF12" s="186"/>
      <c r="ZG12" s="186"/>
      <c r="ZH12" s="186"/>
      <c r="ZI12" s="186"/>
      <c r="ZJ12" s="186"/>
      <c r="ZK12" s="186"/>
      <c r="ZL12" s="186"/>
      <c r="ZM12" s="186"/>
      <c r="ZN12" s="186"/>
      <c r="ZO12" s="186"/>
      <c r="ZP12" s="186"/>
      <c r="ZQ12" s="186"/>
      <c r="ZR12" s="186"/>
      <c r="ZS12" s="186"/>
      <c r="ZT12" s="186"/>
      <c r="ZU12" s="186"/>
      <c r="ZV12" s="186"/>
      <c r="ZW12" s="186"/>
      <c r="ZX12" s="186"/>
      <c r="ZY12" s="186"/>
      <c r="ZZ12" s="186"/>
      <c r="AAA12" s="186"/>
      <c r="AAB12" s="186"/>
      <c r="AAC12" s="186"/>
      <c r="AAD12" s="186"/>
      <c r="AAE12" s="186"/>
      <c r="AAF12" s="186"/>
      <c r="AAG12" s="186"/>
      <c r="AAH12" s="186"/>
      <c r="AAI12" s="186"/>
      <c r="AAJ12" s="186"/>
      <c r="AAK12" s="186"/>
      <c r="AAL12" s="186"/>
      <c r="AAM12" s="186"/>
      <c r="AAN12" s="186"/>
      <c r="AAO12" s="186"/>
      <c r="AAP12" s="186"/>
      <c r="AAQ12" s="186"/>
      <c r="AAR12" s="186"/>
      <c r="AAS12" s="186"/>
      <c r="AAT12" s="186"/>
      <c r="AAU12" s="186"/>
      <c r="AAV12" s="186"/>
      <c r="AAW12" s="186"/>
      <c r="AAX12" s="186" t="s">
        <v>47</v>
      </c>
      <c r="AAY12" s="186"/>
      <c r="AAZ12" s="186"/>
      <c r="ABA12" s="186"/>
      <c r="ABB12" s="186"/>
      <c r="ABC12" s="186"/>
      <c r="ABD12" s="186"/>
      <c r="ABE12" s="186"/>
      <c r="ABF12" s="186"/>
      <c r="ABG12" s="186"/>
      <c r="ABH12" s="186"/>
      <c r="ABI12" s="186"/>
      <c r="ABJ12" s="186"/>
      <c r="ABK12" s="186"/>
      <c r="ABL12" s="186"/>
      <c r="ABM12" s="186"/>
      <c r="ABN12" s="186"/>
      <c r="ABO12" s="186"/>
      <c r="ABP12" s="186"/>
      <c r="ABQ12" s="186"/>
      <c r="ABR12" s="186"/>
      <c r="ABS12" s="186"/>
      <c r="ABT12" s="186"/>
      <c r="ABU12" s="186"/>
      <c r="ABV12" s="186"/>
      <c r="ABW12" s="186"/>
      <c r="ABX12" s="186"/>
      <c r="ABY12" s="186"/>
      <c r="ABZ12" s="186"/>
      <c r="ACA12" s="186"/>
      <c r="ACB12" s="186"/>
      <c r="ACC12" s="186"/>
      <c r="ACD12" s="186"/>
      <c r="ACE12" s="186"/>
      <c r="ACF12" s="186"/>
      <c r="ACG12" s="186"/>
      <c r="ACH12" s="186"/>
      <c r="ACI12" s="186"/>
      <c r="ACJ12" s="186"/>
      <c r="ACK12" s="186"/>
      <c r="ACL12" s="186"/>
      <c r="ACM12" s="186"/>
      <c r="ACN12" s="186"/>
      <c r="ACO12" s="186"/>
      <c r="ACP12" s="186"/>
      <c r="ACQ12" s="186"/>
      <c r="ACR12" s="186"/>
      <c r="ACS12" s="186"/>
      <c r="ACT12" s="186"/>
      <c r="ACU12" s="186"/>
      <c r="ACV12" s="186"/>
      <c r="ACW12" s="186"/>
      <c r="ACX12" s="186"/>
      <c r="ACY12" s="186"/>
      <c r="ACZ12" s="186"/>
      <c r="ADA12" s="186"/>
      <c r="ADB12" s="186"/>
      <c r="ADC12" s="186"/>
      <c r="ADD12" s="186"/>
      <c r="ADE12" s="186"/>
      <c r="ADF12" s="186" t="s">
        <v>46</v>
      </c>
      <c r="ADG12" s="186"/>
      <c r="ADH12" s="186"/>
      <c r="ADI12" s="186"/>
      <c r="ADJ12" s="186"/>
      <c r="ADK12" s="186"/>
      <c r="ADL12" s="186"/>
      <c r="ADM12" s="186"/>
      <c r="ADN12" s="186"/>
      <c r="ADO12" s="186"/>
      <c r="ADP12" s="186"/>
      <c r="ADQ12" s="186"/>
      <c r="ADR12" s="186"/>
      <c r="ADS12" s="186"/>
      <c r="ADT12" s="186"/>
      <c r="ADU12" s="186"/>
      <c r="ADV12" s="186"/>
      <c r="ADW12" s="186"/>
      <c r="ADX12" s="186"/>
      <c r="ADY12" s="186"/>
      <c r="ADZ12" s="186"/>
      <c r="AEA12" s="186"/>
      <c r="AEB12" s="186"/>
      <c r="AEC12" s="186"/>
      <c r="AED12" s="186"/>
      <c r="AEE12" s="186"/>
      <c r="AEF12" s="186"/>
      <c r="AEG12" s="186"/>
      <c r="AEH12" s="186"/>
      <c r="AEI12" s="186"/>
      <c r="AEJ12" s="186"/>
      <c r="AEK12" s="186"/>
      <c r="AEL12" s="186"/>
      <c r="AEM12" s="186"/>
      <c r="AEN12" s="186"/>
      <c r="AEO12" s="186"/>
      <c r="AEP12" s="186"/>
      <c r="AEQ12" s="186"/>
      <c r="AER12" s="186"/>
      <c r="AES12" s="186"/>
      <c r="AET12" s="186"/>
      <c r="AEU12" s="186"/>
      <c r="AEV12" s="186"/>
      <c r="AEW12" s="186"/>
      <c r="AEX12" s="186"/>
      <c r="AEY12" s="186"/>
      <c r="AEZ12" s="186"/>
      <c r="AFA12" s="186"/>
      <c r="AFB12" s="186"/>
      <c r="AFC12" s="186"/>
      <c r="AFD12" s="186"/>
      <c r="AFE12" s="186"/>
      <c r="AFF12" s="186"/>
      <c r="AFG12" s="186"/>
      <c r="AFH12" s="186"/>
      <c r="AFI12" s="186"/>
      <c r="AFJ12" s="186"/>
      <c r="AFK12" s="186"/>
      <c r="AFL12" s="186"/>
      <c r="AFM12" s="186"/>
      <c r="AFN12" s="186" t="s">
        <v>47</v>
      </c>
      <c r="AFO12" s="186"/>
      <c r="AFP12" s="186"/>
      <c r="AFQ12" s="186"/>
      <c r="AFR12" s="186"/>
      <c r="AFS12" s="186"/>
      <c r="AFT12" s="186"/>
      <c r="AFU12" s="186"/>
      <c r="AFV12" s="186"/>
      <c r="AFW12" s="186"/>
      <c r="AFX12" s="186"/>
      <c r="AFY12" s="186"/>
      <c r="AFZ12" s="186"/>
      <c r="AGA12" s="186"/>
      <c r="AGB12" s="186"/>
      <c r="AGC12" s="186"/>
      <c r="AGD12" s="186"/>
      <c r="AGE12" s="186"/>
      <c r="AGF12" s="186"/>
      <c r="AGG12" s="186"/>
      <c r="AGH12" s="186"/>
      <c r="AGI12" s="186"/>
      <c r="AGJ12" s="186"/>
      <c r="AGK12" s="186"/>
      <c r="AGL12" s="186"/>
      <c r="AGM12" s="186"/>
      <c r="AGN12" s="186"/>
      <c r="AGO12" s="186"/>
      <c r="AGP12" s="186"/>
      <c r="AGQ12" s="186"/>
      <c r="AGR12" s="186"/>
      <c r="AGS12" s="186"/>
      <c r="AGT12" s="186"/>
      <c r="AGU12" s="186"/>
      <c r="AGV12" s="186"/>
      <c r="AGW12" s="186"/>
      <c r="AGX12" s="186"/>
      <c r="AGY12" s="186"/>
      <c r="AGZ12" s="186"/>
      <c r="AHA12" s="186"/>
      <c r="AHB12" s="186"/>
      <c r="AHC12" s="186"/>
      <c r="AHD12" s="186"/>
      <c r="AHE12" s="186"/>
      <c r="AHF12" s="186"/>
      <c r="AHG12" s="186"/>
      <c r="AHH12" s="186"/>
      <c r="AHI12" s="186"/>
      <c r="AHJ12" s="186"/>
      <c r="AHK12" s="186"/>
      <c r="AHL12" s="186"/>
      <c r="AHM12" s="186"/>
      <c r="AHN12" s="186"/>
      <c r="AHO12" s="186"/>
      <c r="AHP12" s="186"/>
      <c r="AHQ12" s="186"/>
      <c r="AHR12" s="186"/>
      <c r="AHS12" s="186"/>
      <c r="AHT12" s="186"/>
      <c r="AHU12" s="186"/>
      <c r="AHV12" s="186" t="s">
        <v>47</v>
      </c>
      <c r="AHW12" s="186"/>
      <c r="AHX12" s="186"/>
      <c r="AHY12" s="186"/>
      <c r="AHZ12" s="186"/>
      <c r="AIA12" s="186"/>
      <c r="AIB12" s="186"/>
      <c r="AIC12" s="186"/>
      <c r="AID12" s="186"/>
      <c r="AIE12" s="186"/>
      <c r="AIF12" s="186"/>
      <c r="AIG12" s="186"/>
      <c r="AIH12" s="186"/>
      <c r="AII12" s="186"/>
      <c r="AIJ12" s="186"/>
      <c r="AIK12" s="186"/>
      <c r="AIL12" s="186"/>
      <c r="AIM12" s="186"/>
      <c r="AIN12" s="186"/>
      <c r="AIO12" s="186"/>
      <c r="AIP12" s="186"/>
      <c r="AIQ12" s="186"/>
      <c r="AIR12" s="186"/>
      <c r="AIS12" s="186"/>
      <c r="AIT12" s="186"/>
      <c r="AIU12" s="186"/>
      <c r="AIV12" s="186"/>
      <c r="AIW12" s="186"/>
      <c r="AIX12" s="186"/>
      <c r="AIY12" s="186"/>
      <c r="AIZ12" s="186"/>
      <c r="AJA12" s="186"/>
      <c r="AJB12" s="186"/>
      <c r="AJC12" s="186"/>
      <c r="AJD12" s="186"/>
      <c r="AJE12" s="186"/>
      <c r="AJF12" s="186"/>
      <c r="AJG12" s="186"/>
      <c r="AJH12" s="186"/>
      <c r="AJI12" s="186"/>
      <c r="AJJ12" s="186"/>
      <c r="AJK12" s="186"/>
      <c r="AJL12" s="186"/>
      <c r="AJM12" s="186"/>
      <c r="AJN12" s="186"/>
      <c r="AJO12" s="186"/>
      <c r="AJP12" s="186"/>
      <c r="AJQ12" s="186"/>
      <c r="AJR12" s="186"/>
      <c r="AJS12" s="186"/>
      <c r="AJT12" s="186"/>
      <c r="AJU12" s="186"/>
      <c r="AJV12" s="186"/>
      <c r="AJW12" s="186"/>
      <c r="AJX12" s="186"/>
      <c r="AJY12" s="186"/>
      <c r="AJZ12" s="186"/>
      <c r="AKA12" s="186"/>
      <c r="AKB12" s="186"/>
      <c r="AKC12" s="186"/>
      <c r="AKD12" s="186" t="s">
        <v>46</v>
      </c>
      <c r="AKE12" s="186"/>
      <c r="AKF12" s="186"/>
      <c r="AKG12" s="186"/>
      <c r="AKH12" s="186"/>
      <c r="AKI12" s="186"/>
      <c r="AKJ12" s="186"/>
      <c r="AKK12" s="186"/>
      <c r="AKL12" s="186"/>
      <c r="AKM12" s="186"/>
      <c r="AKN12" s="186"/>
      <c r="AKO12" s="186"/>
      <c r="AKP12" s="186"/>
      <c r="AKQ12" s="186"/>
      <c r="AKR12" s="186"/>
      <c r="AKS12" s="186"/>
      <c r="AKT12" s="186"/>
      <c r="AKU12" s="186"/>
      <c r="AKV12" s="186"/>
      <c r="AKW12" s="186"/>
      <c r="AKX12" s="186"/>
      <c r="AKY12" s="186"/>
      <c r="AKZ12" s="186"/>
      <c r="ALA12" s="186"/>
      <c r="ALB12" s="186"/>
      <c r="ALC12" s="186"/>
      <c r="ALD12" s="186"/>
      <c r="ALE12" s="186"/>
      <c r="ALF12" s="186"/>
      <c r="ALG12" s="186"/>
      <c r="ALH12" s="186"/>
      <c r="ALI12" s="186"/>
      <c r="ALJ12" s="186"/>
      <c r="ALK12" s="186"/>
      <c r="ALL12" s="186"/>
      <c r="ALM12" s="186"/>
      <c r="ALN12" s="186"/>
      <c r="ALO12" s="186"/>
      <c r="ALP12" s="186"/>
      <c r="ALQ12" s="186"/>
      <c r="ALR12" s="186"/>
      <c r="ALS12" s="186"/>
      <c r="ALT12" s="186"/>
      <c r="ALU12" s="186"/>
      <c r="ALV12" s="186"/>
      <c r="ALW12" s="186"/>
      <c r="ALX12" s="186"/>
      <c r="ALY12" s="186"/>
      <c r="ALZ12" s="186"/>
      <c r="AMA12" s="186"/>
      <c r="AMB12" s="186"/>
      <c r="AMC12" s="186"/>
      <c r="AMD12" s="186"/>
      <c r="AME12" s="186"/>
      <c r="AMF12" s="186"/>
      <c r="AMG12" s="186"/>
      <c r="AMH12" s="186"/>
      <c r="AMI12" s="186"/>
      <c r="AMJ12" s="186"/>
      <c r="AMK12" s="186"/>
      <c r="AML12" s="186" t="s">
        <v>47</v>
      </c>
      <c r="AMM12" s="186"/>
      <c r="AMN12" s="186"/>
      <c r="AMO12" s="186"/>
      <c r="AMP12" s="186"/>
      <c r="AMQ12" s="186"/>
      <c r="AMR12" s="186"/>
      <c r="AMS12" s="186"/>
      <c r="AMT12" s="186"/>
      <c r="AMU12" s="186"/>
      <c r="AMV12" s="186"/>
      <c r="AMW12" s="186"/>
      <c r="AMX12" s="186"/>
      <c r="AMY12" s="186"/>
      <c r="AMZ12" s="186"/>
      <c r="ANA12" s="186"/>
      <c r="ANB12" s="186"/>
      <c r="ANC12" s="186"/>
      <c r="AND12" s="186"/>
      <c r="ANE12" s="186"/>
      <c r="ANF12" s="186"/>
      <c r="ANG12" s="186"/>
      <c r="ANH12" s="186"/>
      <c r="ANI12" s="186"/>
      <c r="ANJ12" s="186"/>
      <c r="ANK12" s="186"/>
      <c r="ANL12" s="186"/>
      <c r="ANM12" s="186"/>
      <c r="ANN12" s="186"/>
      <c r="ANO12" s="186"/>
      <c r="ANP12" s="186"/>
      <c r="ANQ12" s="186"/>
      <c r="ANR12" s="186"/>
      <c r="ANS12" s="186"/>
      <c r="ANT12" s="186"/>
      <c r="ANU12" s="186"/>
      <c r="ANV12" s="186"/>
      <c r="ANW12" s="186"/>
      <c r="ANX12" s="186"/>
      <c r="ANY12" s="186"/>
      <c r="ANZ12" s="186"/>
      <c r="AOA12" s="186"/>
      <c r="AOB12" s="186"/>
      <c r="AOC12" s="186"/>
      <c r="AOD12" s="186"/>
      <c r="AOE12" s="186"/>
      <c r="AOF12" s="186"/>
      <c r="AOG12" s="186"/>
      <c r="AOH12" s="186"/>
      <c r="AOI12" s="186"/>
      <c r="AOJ12" s="186"/>
      <c r="AOK12" s="186"/>
      <c r="AOL12" s="186"/>
      <c r="AOM12" s="186"/>
      <c r="AON12" s="186"/>
      <c r="AOO12" s="186"/>
      <c r="AOP12" s="186"/>
      <c r="AOQ12" s="186"/>
      <c r="AOR12" s="186"/>
      <c r="AOS12" s="186"/>
      <c r="AOT12" s="186" t="s">
        <v>46</v>
      </c>
      <c r="AOU12" s="186"/>
      <c r="AOV12" s="186"/>
      <c r="AOW12" s="186"/>
      <c r="AOX12" s="186"/>
      <c r="AOY12" s="186"/>
      <c r="AOZ12" s="186"/>
      <c r="APA12" s="186"/>
      <c r="APB12" s="186"/>
      <c r="APC12" s="186"/>
      <c r="APD12" s="186"/>
      <c r="APE12" s="186"/>
      <c r="APF12" s="186"/>
      <c r="APG12" s="186"/>
      <c r="APH12" s="186"/>
      <c r="API12" s="186"/>
      <c r="APJ12" s="186"/>
      <c r="APK12" s="186"/>
      <c r="APL12" s="186"/>
      <c r="APM12" s="186"/>
      <c r="APN12" s="186"/>
      <c r="APO12" s="186"/>
      <c r="APP12" s="186"/>
      <c r="APQ12" s="186"/>
      <c r="APR12" s="186"/>
      <c r="APS12" s="186"/>
      <c r="APT12" s="186"/>
      <c r="APU12" s="186"/>
      <c r="APV12" s="186"/>
      <c r="APW12" s="186"/>
      <c r="APX12" s="186"/>
      <c r="APY12" s="186"/>
      <c r="APZ12" s="186"/>
      <c r="AQA12" s="186"/>
      <c r="AQB12" s="186"/>
      <c r="AQC12" s="186"/>
      <c r="AQD12" s="186"/>
      <c r="AQE12" s="186"/>
      <c r="AQF12" s="186"/>
      <c r="AQG12" s="186"/>
      <c r="AQH12" s="186"/>
      <c r="AQI12" s="186"/>
      <c r="AQJ12" s="186"/>
      <c r="AQK12" s="186"/>
      <c r="AQL12" s="186"/>
      <c r="AQM12" s="186"/>
      <c r="AQN12" s="186"/>
      <c r="AQO12" s="186"/>
      <c r="AQP12" s="186"/>
      <c r="AQQ12" s="186"/>
      <c r="AQR12" s="186"/>
      <c r="AQS12" s="186"/>
      <c r="AQT12" s="186"/>
      <c r="AQU12" s="186"/>
      <c r="AQV12" s="186"/>
      <c r="AQW12" s="186"/>
      <c r="AQX12" s="186"/>
      <c r="AQY12" s="186"/>
      <c r="AQZ12" s="186"/>
      <c r="ARA12" s="186"/>
      <c r="ARB12" s="186" t="s">
        <v>47</v>
      </c>
      <c r="ARC12" s="186"/>
      <c r="ARD12" s="186"/>
      <c r="ARE12" s="186"/>
      <c r="ARF12" s="186"/>
      <c r="ARG12" s="186"/>
      <c r="ARH12" s="186"/>
      <c r="ARI12" s="186"/>
      <c r="ARJ12" s="186"/>
      <c r="ARK12" s="186"/>
      <c r="ARL12" s="186"/>
      <c r="ARM12" s="186"/>
      <c r="ARN12" s="186"/>
      <c r="ARO12" s="186"/>
      <c r="ARP12" s="186"/>
      <c r="ARQ12" s="186"/>
      <c r="ARR12" s="186"/>
      <c r="ARS12" s="186"/>
      <c r="ART12" s="186"/>
      <c r="ARU12" s="186"/>
      <c r="ARV12" s="186"/>
      <c r="ARW12" s="186"/>
      <c r="ARX12" s="186"/>
      <c r="ARY12" s="186"/>
      <c r="ARZ12" s="186"/>
      <c r="ASA12" s="186"/>
      <c r="ASB12" s="186"/>
      <c r="ASC12" s="186"/>
      <c r="ASD12" s="186"/>
      <c r="ASE12" s="186"/>
      <c r="ASF12" s="186"/>
      <c r="ASG12" s="186"/>
      <c r="ASH12" s="186"/>
      <c r="ASI12" s="186"/>
      <c r="ASJ12" s="186"/>
      <c r="ASK12" s="186"/>
      <c r="ASL12" s="186"/>
      <c r="ASM12" s="186"/>
      <c r="ASN12" s="186"/>
      <c r="ASO12" s="186"/>
      <c r="ASP12" s="186"/>
      <c r="ASQ12" s="186"/>
      <c r="ASR12" s="186"/>
      <c r="ASS12" s="186"/>
      <c r="AST12" s="186"/>
      <c r="ASU12" s="186"/>
      <c r="ASV12" s="186"/>
      <c r="ASW12" s="186"/>
      <c r="ASX12" s="186"/>
      <c r="ASY12" s="186"/>
      <c r="ASZ12" s="186"/>
      <c r="ATA12" s="186"/>
      <c r="ATB12" s="186"/>
      <c r="ATC12" s="186"/>
      <c r="ATD12" s="186"/>
      <c r="ATE12" s="186"/>
      <c r="ATF12" s="186"/>
      <c r="ATG12" s="186"/>
      <c r="ATH12" s="186"/>
      <c r="ATI12" s="186"/>
      <c r="ATJ12" s="186" t="s">
        <v>46</v>
      </c>
      <c r="ATK12" s="186"/>
      <c r="ATL12" s="186"/>
      <c r="ATM12" s="186"/>
      <c r="ATN12" s="186"/>
      <c r="ATO12" s="186"/>
      <c r="ATP12" s="186"/>
      <c r="ATQ12" s="186"/>
      <c r="ATR12" s="186"/>
      <c r="ATS12" s="186"/>
      <c r="ATT12" s="186"/>
      <c r="ATU12" s="186"/>
      <c r="ATV12" s="186"/>
      <c r="ATW12" s="186"/>
      <c r="ATX12" s="186"/>
      <c r="ATY12" s="186"/>
      <c r="ATZ12" s="186"/>
      <c r="AUA12" s="186"/>
      <c r="AUB12" s="186"/>
      <c r="AUC12" s="186"/>
      <c r="AUD12" s="186"/>
      <c r="AUE12" s="186"/>
      <c r="AUF12" s="186"/>
      <c r="AUG12" s="186"/>
      <c r="AUH12" s="186"/>
      <c r="AUI12" s="186"/>
      <c r="AUJ12" s="186"/>
      <c r="AUK12" s="186"/>
      <c r="AUL12" s="186"/>
      <c r="AUM12" s="186"/>
      <c r="AUN12" s="186"/>
      <c r="AUO12" s="186"/>
      <c r="AUP12" s="186"/>
      <c r="AUQ12" s="186"/>
      <c r="AUR12" s="186"/>
      <c r="AUS12" s="186"/>
      <c r="AUT12" s="186"/>
      <c r="AUU12" s="186"/>
      <c r="AUV12" s="186"/>
      <c r="AUW12" s="186"/>
      <c r="AUX12" s="186"/>
      <c r="AUY12" s="186"/>
      <c r="AUZ12" s="186"/>
      <c r="AVA12" s="186"/>
      <c r="AVB12" s="186"/>
      <c r="AVC12" s="186"/>
      <c r="AVD12" s="186"/>
      <c r="AVE12" s="186"/>
      <c r="AVF12" s="186"/>
      <c r="AVG12" s="186"/>
      <c r="AVH12" s="186"/>
      <c r="AVI12" s="186"/>
      <c r="AVJ12" s="186"/>
      <c r="AVK12" s="186"/>
      <c r="AVL12" s="186"/>
      <c r="AVM12" s="186"/>
      <c r="AVN12" s="186"/>
      <c r="AVO12" s="186"/>
      <c r="AVP12" s="186"/>
      <c r="AVQ12" s="186"/>
      <c r="AVR12" s="186" t="s">
        <v>47</v>
      </c>
      <c r="AVS12" s="186"/>
      <c r="AVT12" s="186"/>
      <c r="AVU12" s="186"/>
      <c r="AVV12" s="186"/>
      <c r="AVW12" s="186"/>
      <c r="AVX12" s="186"/>
      <c r="AVY12" s="186"/>
      <c r="AVZ12" s="186"/>
      <c r="AWA12" s="186"/>
      <c r="AWB12" s="186"/>
      <c r="AWC12" s="186"/>
      <c r="AWD12" s="186"/>
      <c r="AWE12" s="186"/>
      <c r="AWF12" s="186"/>
      <c r="AWG12" s="186"/>
      <c r="AWH12" s="186"/>
      <c r="AWI12" s="186"/>
      <c r="AWJ12" s="186"/>
      <c r="AWK12" s="186"/>
      <c r="AWL12" s="186"/>
      <c r="AWM12" s="186"/>
      <c r="AWN12" s="186"/>
      <c r="AWO12" s="186"/>
      <c r="AWP12" s="186"/>
      <c r="AWQ12" s="186"/>
      <c r="AWR12" s="186"/>
      <c r="AWS12" s="186"/>
      <c r="AWT12" s="186"/>
      <c r="AWU12" s="186"/>
      <c r="AWV12" s="186"/>
      <c r="AWW12" s="186"/>
      <c r="AWX12" s="186"/>
      <c r="AWY12" s="186"/>
      <c r="AWZ12" s="186"/>
      <c r="AXA12" s="186"/>
      <c r="AXB12" s="186"/>
      <c r="AXC12" s="186"/>
      <c r="AXD12" s="186"/>
      <c r="AXE12" s="186"/>
      <c r="AXF12" s="186"/>
      <c r="AXG12" s="186"/>
      <c r="AXH12" s="186"/>
      <c r="AXI12" s="186"/>
      <c r="AXJ12" s="186"/>
      <c r="AXK12" s="186"/>
      <c r="AXL12" s="186"/>
      <c r="AXM12" s="186"/>
      <c r="AXN12" s="186"/>
      <c r="AXO12" s="186"/>
      <c r="AXP12" s="186"/>
      <c r="AXQ12" s="186"/>
      <c r="AXR12" s="186"/>
      <c r="AXS12" s="186"/>
      <c r="AXT12" s="186"/>
      <c r="AXU12" s="186"/>
      <c r="AXV12" s="186"/>
      <c r="AXW12" s="186"/>
      <c r="AXX12" s="186"/>
      <c r="AXY12" s="186"/>
      <c r="AXZ12" s="186" t="s">
        <v>47</v>
      </c>
      <c r="AYA12" s="186"/>
      <c r="AYB12" s="186"/>
      <c r="AYC12" s="186"/>
      <c r="AYD12" s="186"/>
      <c r="AYE12" s="186"/>
      <c r="AYF12" s="186"/>
      <c r="AYG12" s="186"/>
      <c r="AYH12" s="186"/>
      <c r="AYI12" s="186"/>
      <c r="AYJ12" s="186"/>
      <c r="AYK12" s="186"/>
      <c r="AYL12" s="186"/>
      <c r="AYM12" s="186"/>
      <c r="AYN12" s="186"/>
      <c r="AYO12" s="186"/>
      <c r="AYP12" s="186"/>
      <c r="AYQ12" s="186"/>
      <c r="AYR12" s="186"/>
      <c r="AYS12" s="186"/>
      <c r="AYT12" s="186"/>
      <c r="AYU12" s="186"/>
      <c r="AYV12" s="186"/>
      <c r="AYW12" s="186"/>
      <c r="AYX12" s="186"/>
      <c r="AYY12" s="186"/>
      <c r="AYZ12" s="186"/>
      <c r="AZA12" s="186"/>
      <c r="AZB12" s="186"/>
      <c r="AZC12" s="186"/>
      <c r="AZD12" s="186"/>
      <c r="AZE12" s="186"/>
      <c r="AZF12" s="186"/>
      <c r="AZG12" s="186"/>
      <c r="AZH12" s="186"/>
      <c r="AZI12" s="186"/>
      <c r="AZJ12" s="186"/>
      <c r="AZK12" s="186"/>
      <c r="AZL12" s="186"/>
      <c r="AZM12" s="186"/>
      <c r="AZN12" s="186"/>
      <c r="AZO12" s="186"/>
      <c r="AZP12" s="186"/>
      <c r="AZQ12" s="186"/>
      <c r="AZR12" s="186"/>
      <c r="AZS12" s="186"/>
      <c r="AZT12" s="186"/>
      <c r="AZU12" s="186"/>
      <c r="AZV12" s="186"/>
      <c r="AZW12" s="186"/>
      <c r="AZX12" s="186"/>
      <c r="AZY12" s="186"/>
      <c r="AZZ12" s="186"/>
      <c r="BAA12" s="186"/>
      <c r="BAB12" s="186"/>
      <c r="BAC12" s="186"/>
      <c r="BAD12" s="186"/>
      <c r="BAE12" s="186"/>
      <c r="BAF12" s="186"/>
      <c r="BAG12" s="186"/>
      <c r="BAH12" s="186" t="s">
        <v>46</v>
      </c>
      <c r="BAI12" s="186"/>
      <c r="BAJ12" s="186"/>
      <c r="BAK12" s="186"/>
      <c r="BAL12" s="186"/>
      <c r="BAM12" s="186"/>
      <c r="BAN12" s="186"/>
      <c r="BAO12" s="186"/>
      <c r="BAP12" s="186"/>
      <c r="BAQ12" s="186"/>
      <c r="BAR12" s="186"/>
      <c r="BAS12" s="186"/>
      <c r="BAT12" s="186"/>
      <c r="BAU12" s="186"/>
      <c r="BAV12" s="186"/>
      <c r="BAW12" s="186"/>
      <c r="BAX12" s="186"/>
      <c r="BAY12" s="186"/>
      <c r="BAZ12" s="186"/>
      <c r="BBA12" s="186"/>
      <c r="BBB12" s="186"/>
      <c r="BBC12" s="186"/>
      <c r="BBD12" s="186"/>
      <c r="BBE12" s="186"/>
      <c r="BBF12" s="186"/>
      <c r="BBG12" s="186"/>
      <c r="BBH12" s="186"/>
      <c r="BBI12" s="186"/>
      <c r="BBJ12" s="186"/>
      <c r="BBK12" s="186"/>
      <c r="BBL12" s="186"/>
      <c r="BBM12" s="186"/>
      <c r="BBN12" s="186"/>
      <c r="BBO12" s="186"/>
      <c r="BBP12" s="186"/>
      <c r="BBQ12" s="186"/>
      <c r="BBR12" s="186"/>
      <c r="BBS12" s="186"/>
      <c r="BBT12" s="186"/>
      <c r="BBU12" s="186"/>
      <c r="BBV12" s="186"/>
      <c r="BBW12" s="186"/>
      <c r="BBX12" s="186"/>
      <c r="BBY12" s="186"/>
      <c r="BBZ12" s="186"/>
      <c r="BCA12" s="186"/>
      <c r="BCB12" s="186"/>
      <c r="BCC12" s="186"/>
      <c r="BCD12" s="186"/>
      <c r="BCE12" s="186"/>
      <c r="BCF12" s="186"/>
      <c r="BCG12" s="186"/>
      <c r="BCH12" s="186"/>
      <c r="BCI12" s="186"/>
      <c r="BCJ12" s="186"/>
      <c r="BCK12" s="186"/>
      <c r="BCL12" s="186"/>
      <c r="BCM12" s="186"/>
      <c r="BCN12" s="186"/>
      <c r="BCO12" s="186"/>
      <c r="BCP12" s="186" t="s">
        <v>47</v>
      </c>
      <c r="BCQ12" s="186"/>
      <c r="BCR12" s="186"/>
      <c r="BCS12" s="186"/>
      <c r="BCT12" s="186"/>
      <c r="BCU12" s="186"/>
      <c r="BCV12" s="186"/>
      <c r="BCW12" s="186"/>
      <c r="BCX12" s="186"/>
      <c r="BCY12" s="186"/>
      <c r="BCZ12" s="186"/>
      <c r="BDA12" s="186"/>
      <c r="BDB12" s="186"/>
      <c r="BDC12" s="186"/>
      <c r="BDD12" s="186"/>
      <c r="BDE12" s="186"/>
      <c r="BDF12" s="186"/>
      <c r="BDG12" s="186"/>
      <c r="BDH12" s="186"/>
      <c r="BDI12" s="186"/>
      <c r="BDJ12" s="186"/>
      <c r="BDK12" s="186"/>
      <c r="BDL12" s="186"/>
      <c r="BDM12" s="186"/>
      <c r="BDN12" s="186"/>
      <c r="BDO12" s="186"/>
      <c r="BDP12" s="186"/>
      <c r="BDQ12" s="186"/>
      <c r="BDR12" s="186"/>
      <c r="BDS12" s="186"/>
      <c r="BDT12" s="186"/>
      <c r="BDU12" s="186"/>
      <c r="BDV12" s="186"/>
      <c r="BDW12" s="186"/>
      <c r="BDX12" s="186"/>
      <c r="BDY12" s="186"/>
      <c r="BDZ12" s="186"/>
      <c r="BEA12" s="186"/>
      <c r="BEB12" s="186"/>
      <c r="BEC12" s="186"/>
      <c r="BED12" s="186"/>
      <c r="BEE12" s="186"/>
      <c r="BEF12" s="186"/>
      <c r="BEG12" s="186"/>
      <c r="BEH12" s="186"/>
      <c r="BEI12" s="186"/>
      <c r="BEJ12" s="186"/>
      <c r="BEK12" s="186"/>
      <c r="BEL12" s="186"/>
      <c r="BEM12" s="186"/>
      <c r="BEN12" s="186"/>
      <c r="BEO12" s="186"/>
      <c r="BEP12" s="186"/>
      <c r="BEQ12" s="186"/>
      <c r="BER12" s="186"/>
      <c r="BES12" s="186"/>
      <c r="BET12" s="186"/>
      <c r="BEU12" s="186"/>
      <c r="BEV12" s="186"/>
      <c r="BEW12" s="186"/>
      <c r="BEX12" s="186" t="s">
        <v>46</v>
      </c>
      <c r="BEY12" s="186"/>
      <c r="BEZ12" s="186"/>
      <c r="BFA12" s="186"/>
      <c r="BFB12" s="186"/>
      <c r="BFC12" s="186"/>
      <c r="BFD12" s="186"/>
      <c r="BFE12" s="186"/>
      <c r="BFF12" s="186"/>
      <c r="BFG12" s="186"/>
      <c r="BFH12" s="186"/>
      <c r="BFI12" s="186"/>
      <c r="BFJ12" s="186"/>
      <c r="BFK12" s="186"/>
      <c r="BFL12" s="186"/>
      <c r="BFM12" s="186"/>
      <c r="BFN12" s="186"/>
      <c r="BFO12" s="186"/>
      <c r="BFP12" s="186"/>
      <c r="BFQ12" s="186"/>
      <c r="BFR12" s="186"/>
      <c r="BFS12" s="186"/>
      <c r="BFT12" s="186"/>
      <c r="BFU12" s="186"/>
      <c r="BFV12" s="186"/>
      <c r="BFW12" s="186"/>
      <c r="BFX12" s="186"/>
      <c r="BFY12" s="186"/>
      <c r="BFZ12" s="186"/>
      <c r="BGA12" s="186"/>
      <c r="BGB12" s="186"/>
      <c r="BGC12" s="186"/>
      <c r="BGD12" s="186"/>
      <c r="BGE12" s="186"/>
      <c r="BGF12" s="186"/>
      <c r="BGG12" s="186"/>
      <c r="BGH12" s="186"/>
      <c r="BGI12" s="186"/>
      <c r="BGJ12" s="186"/>
      <c r="BGK12" s="186"/>
      <c r="BGL12" s="186"/>
      <c r="BGM12" s="186"/>
      <c r="BGN12" s="186"/>
      <c r="BGO12" s="186"/>
      <c r="BGP12" s="186"/>
      <c r="BGQ12" s="186"/>
      <c r="BGR12" s="186"/>
      <c r="BGS12" s="186"/>
      <c r="BGT12" s="186"/>
      <c r="BGU12" s="186"/>
      <c r="BGV12" s="186"/>
      <c r="BGW12" s="186"/>
      <c r="BGX12" s="186"/>
      <c r="BGY12" s="186"/>
      <c r="BGZ12" s="186"/>
      <c r="BHA12" s="186"/>
      <c r="BHB12" s="186"/>
      <c r="BHC12" s="186"/>
      <c r="BHD12" s="186"/>
      <c r="BHE12" s="186"/>
      <c r="BHF12" s="186" t="s">
        <v>47</v>
      </c>
      <c r="BHG12" s="186"/>
      <c r="BHH12" s="186"/>
      <c r="BHI12" s="186"/>
      <c r="BHJ12" s="186"/>
      <c r="BHK12" s="186"/>
      <c r="BHL12" s="186"/>
      <c r="BHM12" s="186"/>
      <c r="BHN12" s="186"/>
      <c r="BHO12" s="186"/>
      <c r="BHP12" s="186"/>
      <c r="BHQ12" s="186"/>
      <c r="BHR12" s="186"/>
      <c r="BHS12" s="186"/>
      <c r="BHT12" s="186"/>
      <c r="BHU12" s="186"/>
      <c r="BHV12" s="186"/>
      <c r="BHW12" s="186"/>
      <c r="BHX12" s="186"/>
      <c r="BHY12" s="186"/>
      <c r="BHZ12" s="186"/>
      <c r="BIA12" s="186"/>
      <c r="BIB12" s="186"/>
      <c r="BIC12" s="186"/>
      <c r="BID12" s="186"/>
      <c r="BIE12" s="186"/>
      <c r="BIF12" s="186"/>
      <c r="BIG12" s="186"/>
      <c r="BIH12" s="186"/>
      <c r="BII12" s="186"/>
      <c r="BIJ12" s="186"/>
      <c r="BIK12" s="186"/>
      <c r="BIL12" s="186"/>
      <c r="BIM12" s="186"/>
      <c r="BIN12" s="186"/>
      <c r="BIO12" s="186"/>
      <c r="BIP12" s="186"/>
      <c r="BIQ12" s="186"/>
      <c r="BIR12" s="186"/>
      <c r="BIS12" s="186"/>
      <c r="BIT12" s="186"/>
      <c r="BIU12" s="186"/>
      <c r="BIV12" s="186"/>
      <c r="BIW12" s="186"/>
      <c r="BIX12" s="186"/>
      <c r="BIY12" s="186"/>
      <c r="BIZ12" s="186"/>
      <c r="BJA12" s="186"/>
      <c r="BJB12" s="186"/>
      <c r="BJC12" s="186"/>
      <c r="BJD12" s="186"/>
      <c r="BJE12" s="186"/>
      <c r="BJF12" s="186"/>
      <c r="BJG12" s="186"/>
      <c r="BJH12" s="186"/>
      <c r="BJI12" s="186"/>
      <c r="BJJ12" s="186"/>
      <c r="BJK12" s="186"/>
      <c r="BJL12" s="186"/>
      <c r="BJM12" s="186"/>
      <c r="BJN12" s="186" t="s">
        <v>46</v>
      </c>
      <c r="BJO12" s="186"/>
      <c r="BJP12" s="186"/>
      <c r="BJQ12" s="186"/>
      <c r="BJR12" s="186"/>
      <c r="BJS12" s="186"/>
      <c r="BJT12" s="186"/>
      <c r="BJU12" s="186"/>
      <c r="BJV12" s="186"/>
      <c r="BJW12" s="186"/>
      <c r="BJX12" s="186"/>
      <c r="BJY12" s="186"/>
      <c r="BJZ12" s="186"/>
      <c r="BKA12" s="186"/>
      <c r="BKB12" s="186"/>
      <c r="BKC12" s="186"/>
      <c r="BKD12" s="186"/>
      <c r="BKE12" s="186"/>
      <c r="BKF12" s="186"/>
      <c r="BKG12" s="186"/>
      <c r="BKH12" s="186"/>
      <c r="BKI12" s="186"/>
      <c r="BKJ12" s="186"/>
      <c r="BKK12" s="186"/>
      <c r="BKL12" s="186"/>
      <c r="BKM12" s="186"/>
      <c r="BKN12" s="186"/>
      <c r="BKO12" s="186"/>
      <c r="BKP12" s="186"/>
      <c r="BKQ12" s="186"/>
      <c r="BKR12" s="186"/>
      <c r="BKS12" s="186"/>
      <c r="BKT12" s="186"/>
      <c r="BKU12" s="186"/>
      <c r="BKV12" s="186"/>
      <c r="BKW12" s="186"/>
      <c r="BKX12" s="186"/>
      <c r="BKY12" s="186"/>
      <c r="BKZ12" s="186"/>
      <c r="BLA12" s="186"/>
      <c r="BLB12" s="186"/>
      <c r="BLC12" s="186"/>
      <c r="BLD12" s="186"/>
      <c r="BLE12" s="186"/>
      <c r="BLF12" s="186"/>
      <c r="BLG12" s="186"/>
      <c r="BLH12" s="186"/>
      <c r="BLI12" s="186"/>
      <c r="BLJ12" s="186"/>
      <c r="BLK12" s="186"/>
      <c r="BLL12" s="186"/>
      <c r="BLM12" s="186"/>
      <c r="BLN12" s="186"/>
      <c r="BLO12" s="186"/>
      <c r="BLP12" s="186"/>
      <c r="BLQ12" s="186"/>
      <c r="BLR12" s="186"/>
      <c r="BLS12" s="186"/>
      <c r="BLT12" s="186"/>
      <c r="BLU12" s="186"/>
      <c r="BLV12" s="186" t="s">
        <v>47</v>
      </c>
      <c r="BLW12" s="186"/>
      <c r="BLX12" s="186"/>
      <c r="BLY12" s="186"/>
      <c r="BLZ12" s="186"/>
      <c r="BMA12" s="186"/>
      <c r="BMB12" s="186"/>
      <c r="BMC12" s="186"/>
      <c r="BMD12" s="186"/>
      <c r="BME12" s="186"/>
      <c r="BMF12" s="186"/>
      <c r="BMG12" s="186"/>
      <c r="BMH12" s="186"/>
      <c r="BMI12" s="186"/>
      <c r="BMJ12" s="186"/>
      <c r="BMK12" s="186"/>
      <c r="BML12" s="186"/>
      <c r="BMM12" s="186"/>
      <c r="BMN12" s="186"/>
      <c r="BMO12" s="186"/>
      <c r="BMP12" s="186"/>
      <c r="BMQ12" s="186"/>
      <c r="BMR12" s="186"/>
      <c r="BMS12" s="186"/>
      <c r="BMT12" s="186"/>
      <c r="BMU12" s="186"/>
      <c r="BMV12" s="186"/>
      <c r="BMW12" s="186"/>
      <c r="BMX12" s="186"/>
      <c r="BMY12" s="186"/>
      <c r="BMZ12" s="186"/>
      <c r="BNA12" s="186"/>
      <c r="BNB12" s="186"/>
      <c r="BNC12" s="186"/>
      <c r="BND12" s="186"/>
      <c r="BNE12" s="186"/>
      <c r="BNF12" s="186"/>
      <c r="BNG12" s="186"/>
      <c r="BNH12" s="186"/>
      <c r="BNI12" s="186"/>
      <c r="BNJ12" s="186"/>
      <c r="BNK12" s="186"/>
      <c r="BNL12" s="186"/>
      <c r="BNM12" s="186"/>
      <c r="BNN12" s="186"/>
      <c r="BNO12" s="186"/>
      <c r="BNP12" s="186"/>
      <c r="BNQ12" s="186"/>
      <c r="BNR12" s="186"/>
      <c r="BNS12" s="186"/>
      <c r="BNT12" s="186"/>
      <c r="BNU12" s="186"/>
      <c r="BNV12" s="186"/>
      <c r="BNW12" s="186"/>
      <c r="BNX12" s="186"/>
      <c r="BNY12" s="186"/>
      <c r="BNZ12" s="186"/>
      <c r="BOA12" s="186"/>
      <c r="BOB12" s="186"/>
      <c r="BOC12" s="186"/>
      <c r="BOD12" s="186" t="s">
        <v>47</v>
      </c>
      <c r="BOE12" s="186"/>
      <c r="BOF12" s="186"/>
      <c r="BOG12" s="186"/>
      <c r="BOH12" s="186"/>
      <c r="BOI12" s="186"/>
      <c r="BOJ12" s="186"/>
      <c r="BOK12" s="186"/>
      <c r="BOL12" s="186"/>
      <c r="BOM12" s="186"/>
      <c r="BON12" s="186"/>
      <c r="BOO12" s="186"/>
      <c r="BOP12" s="186"/>
      <c r="BOQ12" s="186"/>
      <c r="BOR12" s="186"/>
      <c r="BOS12" s="186"/>
      <c r="BOT12" s="186"/>
      <c r="BOU12" s="186"/>
      <c r="BOV12" s="186"/>
      <c r="BOW12" s="186"/>
      <c r="BOX12" s="186"/>
      <c r="BOY12" s="186"/>
      <c r="BOZ12" s="186"/>
      <c r="BPA12" s="186"/>
      <c r="BPB12" s="186"/>
      <c r="BPC12" s="186"/>
      <c r="BPD12" s="186"/>
      <c r="BPE12" s="186"/>
      <c r="BPF12" s="186"/>
      <c r="BPG12" s="186"/>
      <c r="BPH12" s="186"/>
      <c r="BPI12" s="186"/>
      <c r="BPJ12" s="186"/>
      <c r="BPK12" s="186"/>
      <c r="BPL12" s="186"/>
      <c r="BPM12" s="186"/>
      <c r="BPN12" s="186"/>
      <c r="BPO12" s="186"/>
      <c r="BPP12" s="186"/>
      <c r="BPQ12" s="186"/>
      <c r="BPR12" s="186"/>
      <c r="BPS12" s="186"/>
      <c r="BPT12" s="186"/>
      <c r="BPU12" s="186"/>
      <c r="BPV12" s="186"/>
      <c r="BPW12" s="186"/>
      <c r="BPX12" s="186"/>
      <c r="BPY12" s="186"/>
      <c r="BPZ12" s="186"/>
      <c r="BQA12" s="186"/>
      <c r="BQB12" s="186"/>
      <c r="BQC12" s="186"/>
      <c r="BQD12" s="186"/>
      <c r="BQE12" s="186"/>
      <c r="BQF12" s="186"/>
      <c r="BQG12" s="186"/>
      <c r="BQH12" s="186"/>
      <c r="BQI12" s="186"/>
      <c r="BQJ12" s="186"/>
      <c r="BQK12" s="186"/>
      <c r="BQL12" s="186" t="s">
        <v>46</v>
      </c>
      <c r="BQM12" s="186"/>
      <c r="BQN12" s="186"/>
      <c r="BQO12" s="186"/>
      <c r="BQP12" s="186"/>
      <c r="BQQ12" s="186"/>
      <c r="BQR12" s="186"/>
      <c r="BQS12" s="186"/>
      <c r="BQT12" s="186"/>
      <c r="BQU12" s="186"/>
      <c r="BQV12" s="186"/>
      <c r="BQW12" s="186"/>
      <c r="BQX12" s="186"/>
      <c r="BQY12" s="186"/>
      <c r="BQZ12" s="186"/>
      <c r="BRA12" s="186"/>
      <c r="BRB12" s="186"/>
      <c r="BRC12" s="186"/>
      <c r="BRD12" s="186"/>
      <c r="BRE12" s="186"/>
      <c r="BRF12" s="186"/>
      <c r="BRG12" s="186"/>
      <c r="BRH12" s="186"/>
      <c r="BRI12" s="186"/>
      <c r="BRJ12" s="186"/>
      <c r="BRK12" s="186"/>
      <c r="BRL12" s="186"/>
      <c r="BRM12" s="186"/>
      <c r="BRN12" s="186"/>
      <c r="BRO12" s="186"/>
      <c r="BRP12" s="186"/>
      <c r="BRQ12" s="186"/>
      <c r="BRR12" s="186"/>
      <c r="BRS12" s="186"/>
      <c r="BRT12" s="186"/>
      <c r="BRU12" s="186"/>
      <c r="BRV12" s="186"/>
      <c r="BRW12" s="186"/>
      <c r="BRX12" s="186"/>
      <c r="BRY12" s="186"/>
      <c r="BRZ12" s="186"/>
      <c r="BSA12" s="186"/>
      <c r="BSB12" s="186"/>
      <c r="BSC12" s="186"/>
      <c r="BSD12" s="186"/>
      <c r="BSE12" s="186"/>
      <c r="BSF12" s="186"/>
      <c r="BSG12" s="186"/>
      <c r="BSH12" s="186"/>
      <c r="BSI12" s="186"/>
      <c r="BSJ12" s="186"/>
      <c r="BSK12" s="186"/>
      <c r="BSL12" s="186"/>
      <c r="BSM12" s="186"/>
      <c r="BSN12" s="186"/>
      <c r="BSO12" s="186"/>
      <c r="BSP12" s="186"/>
      <c r="BSQ12" s="186"/>
      <c r="BSR12" s="186"/>
      <c r="BSS12" s="186"/>
      <c r="BST12" s="186" t="s">
        <v>47</v>
      </c>
      <c r="BSU12" s="186"/>
      <c r="BSV12" s="186"/>
      <c r="BSW12" s="186"/>
      <c r="BSX12" s="186"/>
      <c r="BSY12" s="186"/>
      <c r="BSZ12" s="186"/>
      <c r="BTA12" s="186"/>
      <c r="BTB12" s="186"/>
      <c r="BTC12" s="186"/>
      <c r="BTD12" s="186"/>
      <c r="BTE12" s="186"/>
      <c r="BTF12" s="186"/>
      <c r="BTG12" s="186"/>
      <c r="BTH12" s="186"/>
      <c r="BTI12" s="186"/>
      <c r="BTJ12" s="186"/>
      <c r="BTK12" s="186"/>
      <c r="BTL12" s="186"/>
      <c r="BTM12" s="186"/>
      <c r="BTN12" s="186"/>
      <c r="BTO12" s="186"/>
      <c r="BTP12" s="186"/>
      <c r="BTQ12" s="186"/>
      <c r="BTR12" s="186"/>
      <c r="BTS12" s="186"/>
      <c r="BTT12" s="186"/>
      <c r="BTU12" s="186"/>
      <c r="BTV12" s="186"/>
      <c r="BTW12" s="186"/>
      <c r="BTX12" s="186"/>
      <c r="BTY12" s="186"/>
      <c r="BTZ12" s="186"/>
      <c r="BUA12" s="186"/>
      <c r="BUB12" s="186"/>
      <c r="BUC12" s="186"/>
      <c r="BUD12" s="186"/>
      <c r="BUE12" s="186"/>
      <c r="BUF12" s="186"/>
      <c r="BUG12" s="186"/>
      <c r="BUH12" s="186"/>
      <c r="BUI12" s="186"/>
      <c r="BUJ12" s="186"/>
      <c r="BUK12" s="186"/>
      <c r="BUL12" s="186"/>
      <c r="BUM12" s="186"/>
      <c r="BUN12" s="186"/>
      <c r="BUO12" s="186"/>
      <c r="BUP12" s="186"/>
      <c r="BUQ12" s="186"/>
      <c r="BUR12" s="186"/>
      <c r="BUS12" s="186"/>
      <c r="BUT12" s="186"/>
      <c r="BUU12" s="186"/>
      <c r="BUV12" s="186"/>
      <c r="BUW12" s="186"/>
      <c r="BUX12" s="186"/>
      <c r="BUY12" s="186"/>
      <c r="BUZ12" s="186"/>
      <c r="BVA12" s="186"/>
      <c r="BVB12" s="186" t="s">
        <v>46</v>
      </c>
      <c r="BVC12" s="186"/>
      <c r="BVD12" s="186"/>
      <c r="BVE12" s="186"/>
      <c r="BVF12" s="186"/>
      <c r="BVG12" s="186"/>
      <c r="BVH12" s="186"/>
      <c r="BVI12" s="186"/>
      <c r="BVJ12" s="186"/>
      <c r="BVK12" s="186"/>
      <c r="BVL12" s="186"/>
      <c r="BVM12" s="186"/>
      <c r="BVN12" s="186"/>
      <c r="BVO12" s="186"/>
      <c r="BVP12" s="186"/>
      <c r="BVQ12" s="186"/>
      <c r="BVR12" s="186"/>
      <c r="BVS12" s="186"/>
      <c r="BVT12" s="186"/>
      <c r="BVU12" s="186"/>
      <c r="BVV12" s="186"/>
      <c r="BVW12" s="186"/>
      <c r="BVX12" s="186"/>
      <c r="BVY12" s="186"/>
      <c r="BVZ12" s="186"/>
      <c r="BWA12" s="186"/>
      <c r="BWB12" s="186"/>
      <c r="BWC12" s="186"/>
      <c r="BWD12" s="186"/>
      <c r="BWE12" s="186"/>
      <c r="BWF12" s="186"/>
      <c r="BWG12" s="186"/>
      <c r="BWH12" s="186"/>
      <c r="BWI12" s="186"/>
      <c r="BWJ12" s="186"/>
      <c r="BWK12" s="186"/>
      <c r="BWL12" s="186"/>
      <c r="BWM12" s="186"/>
      <c r="BWN12" s="186"/>
      <c r="BWO12" s="186"/>
      <c r="BWP12" s="186"/>
      <c r="BWQ12" s="186"/>
      <c r="BWR12" s="186"/>
      <c r="BWS12" s="186"/>
      <c r="BWT12" s="186"/>
      <c r="BWU12" s="186"/>
      <c r="BWV12" s="186"/>
      <c r="BWW12" s="186"/>
      <c r="BWX12" s="186"/>
      <c r="BWY12" s="186"/>
      <c r="BWZ12" s="186"/>
      <c r="BXA12" s="186"/>
      <c r="BXB12" s="186"/>
      <c r="BXC12" s="186"/>
      <c r="BXD12" s="186"/>
      <c r="BXE12" s="186"/>
      <c r="BXF12" s="186"/>
      <c r="BXG12" s="186"/>
      <c r="BXH12" s="186"/>
      <c r="BXI12" s="186"/>
      <c r="BXJ12" s="186" t="s">
        <v>47</v>
      </c>
      <c r="BXK12" s="186"/>
      <c r="BXL12" s="186"/>
      <c r="BXM12" s="186"/>
      <c r="BXN12" s="186"/>
      <c r="BXO12" s="186"/>
      <c r="BXP12" s="186"/>
      <c r="BXQ12" s="186"/>
      <c r="BXR12" s="186"/>
      <c r="BXS12" s="186"/>
      <c r="BXT12" s="186"/>
      <c r="BXU12" s="186"/>
      <c r="BXV12" s="186"/>
      <c r="BXW12" s="186"/>
      <c r="BXX12" s="186"/>
      <c r="BXY12" s="186"/>
      <c r="BXZ12" s="186"/>
      <c r="BYA12" s="186"/>
      <c r="BYB12" s="186"/>
      <c r="BYC12" s="186"/>
      <c r="BYD12" s="186"/>
      <c r="BYE12" s="186"/>
      <c r="BYF12" s="186"/>
      <c r="BYG12" s="186"/>
      <c r="BYH12" s="186"/>
      <c r="BYI12" s="186"/>
      <c r="BYJ12" s="186"/>
      <c r="BYK12" s="186"/>
      <c r="BYL12" s="186"/>
      <c r="BYM12" s="186"/>
      <c r="BYN12" s="186"/>
      <c r="BYO12" s="186"/>
      <c r="BYP12" s="186"/>
      <c r="BYQ12" s="186"/>
      <c r="BYR12" s="186"/>
      <c r="BYS12" s="186"/>
      <c r="BYT12" s="186"/>
      <c r="BYU12" s="186"/>
      <c r="BYV12" s="186"/>
      <c r="BYW12" s="186"/>
      <c r="BYX12" s="186"/>
      <c r="BYY12" s="186"/>
      <c r="BYZ12" s="186"/>
      <c r="BZA12" s="186"/>
      <c r="BZB12" s="186"/>
      <c r="BZC12" s="186"/>
      <c r="BZD12" s="186"/>
      <c r="BZE12" s="186"/>
      <c r="BZF12" s="186"/>
      <c r="BZG12" s="186"/>
      <c r="BZH12" s="186"/>
      <c r="BZI12" s="186"/>
      <c r="BZJ12" s="186"/>
      <c r="BZK12" s="186"/>
      <c r="BZL12" s="186"/>
      <c r="BZM12" s="186"/>
      <c r="BZN12" s="186"/>
      <c r="BZO12" s="186"/>
      <c r="BZP12" s="186"/>
      <c r="BZQ12" s="186"/>
      <c r="BZR12" s="186"/>
      <c r="BZS12" s="186"/>
      <c r="BZT12" s="186"/>
      <c r="BZU12" s="186"/>
      <c r="BZV12" s="186"/>
      <c r="BZW12" s="186"/>
      <c r="BZX12" s="186"/>
      <c r="BZY12" s="186"/>
      <c r="BZZ12" s="186"/>
      <c r="CAA12" s="186"/>
      <c r="CAB12" s="186"/>
      <c r="CAC12" s="186"/>
      <c r="CAD12" s="186"/>
      <c r="CAE12" s="186"/>
      <c r="CAF12" s="186"/>
      <c r="CAG12" s="186"/>
      <c r="CAH12" s="186"/>
      <c r="CAI12" s="186"/>
      <c r="CAJ12" s="186"/>
      <c r="CAK12" s="186"/>
      <c r="CAL12" s="186"/>
      <c r="CAM12" s="186"/>
      <c r="CAN12" s="186"/>
      <c r="CAO12" s="186"/>
      <c r="CAP12" s="186"/>
      <c r="CAQ12" s="186"/>
      <c r="CAR12" s="186"/>
      <c r="CAS12" s="186"/>
      <c r="CAT12" s="186"/>
      <c r="CAU12" s="186"/>
      <c r="CAV12" s="186"/>
      <c r="CAW12" s="186"/>
      <c r="CAX12" s="186"/>
      <c r="CAY12" s="186"/>
      <c r="CAZ12" s="186"/>
      <c r="CBA12" s="186"/>
      <c r="CBB12" s="186"/>
      <c r="CBC12" s="186"/>
      <c r="CBD12" s="186"/>
      <c r="CBE12" s="186"/>
      <c r="CBF12" s="186"/>
      <c r="CBG12" s="186"/>
      <c r="CBH12" s="186"/>
      <c r="CBI12" s="186"/>
      <c r="CBJ12" s="186"/>
      <c r="CBK12" s="186"/>
      <c r="CBL12" s="186"/>
      <c r="CBM12" s="186"/>
      <c r="CBN12" s="186"/>
      <c r="CBO12" s="186"/>
      <c r="CBP12" s="186"/>
      <c r="CBQ12" s="186"/>
      <c r="CBR12" s="186"/>
      <c r="CBS12" s="186"/>
      <c r="CBT12" s="186"/>
      <c r="CBU12" s="186"/>
      <c r="CBV12" s="186"/>
      <c r="CBW12" s="186"/>
      <c r="CBX12" s="186"/>
      <c r="CBY12" s="186"/>
      <c r="CBZ12" s="90"/>
    </row>
    <row r="13" spans="1:2106" ht="42.75" customHeight="1" thickBot="1" x14ac:dyDescent="0.3">
      <c r="B13" s="96"/>
      <c r="C13" s="174" t="s">
        <v>7</v>
      </c>
      <c r="D13" s="145"/>
      <c r="E13" s="176" t="s">
        <v>43</v>
      </c>
      <c r="F13" s="187" t="s">
        <v>8</v>
      </c>
      <c r="G13" s="188"/>
      <c r="H13" s="188"/>
      <c r="I13" s="188"/>
      <c r="J13" s="188"/>
      <c r="K13" s="188"/>
      <c r="L13" s="188"/>
      <c r="M13" s="188"/>
      <c r="N13" s="188"/>
      <c r="O13" s="188"/>
      <c r="P13" s="188"/>
      <c r="Q13" s="188"/>
      <c r="R13" s="188"/>
      <c r="S13" s="188"/>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8"/>
      <c r="BI13" s="188"/>
      <c r="BJ13" s="188"/>
      <c r="BK13" s="188"/>
      <c r="BL13" s="188"/>
      <c r="BM13" s="189"/>
      <c r="BN13" s="187" t="s">
        <v>30</v>
      </c>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c r="DA13" s="188"/>
      <c r="DB13" s="188"/>
      <c r="DC13" s="188"/>
      <c r="DD13" s="188"/>
      <c r="DE13" s="188"/>
      <c r="DF13" s="188"/>
      <c r="DG13" s="188"/>
      <c r="DH13" s="188"/>
      <c r="DI13" s="188"/>
      <c r="DJ13" s="188"/>
      <c r="DK13" s="188"/>
      <c r="DL13" s="188"/>
      <c r="DM13" s="188"/>
      <c r="DN13" s="188"/>
      <c r="DO13" s="188"/>
      <c r="DP13" s="188"/>
      <c r="DQ13" s="188"/>
      <c r="DR13" s="188"/>
      <c r="DS13" s="188"/>
      <c r="DT13" s="188"/>
      <c r="DU13" s="189"/>
      <c r="DV13" s="187" t="s">
        <v>21</v>
      </c>
      <c r="DW13" s="188"/>
      <c r="DX13" s="188"/>
      <c r="DY13" s="188"/>
      <c r="DZ13" s="188"/>
      <c r="EA13" s="188"/>
      <c r="EB13" s="188"/>
      <c r="EC13" s="188"/>
      <c r="ED13" s="188"/>
      <c r="EE13" s="188"/>
      <c r="EF13" s="188"/>
      <c r="EG13" s="188"/>
      <c r="EH13" s="188"/>
      <c r="EI13" s="188"/>
      <c r="EJ13" s="188"/>
      <c r="EK13" s="188"/>
      <c r="EL13" s="188"/>
      <c r="EM13" s="188"/>
      <c r="EN13" s="188"/>
      <c r="EO13" s="188"/>
      <c r="EP13" s="188"/>
      <c r="EQ13" s="188"/>
      <c r="ER13" s="188"/>
      <c r="ES13" s="188"/>
      <c r="ET13" s="188"/>
      <c r="EU13" s="188"/>
      <c r="EV13" s="188"/>
      <c r="EW13" s="188"/>
      <c r="EX13" s="188"/>
      <c r="EY13" s="188"/>
      <c r="EZ13" s="188"/>
      <c r="FA13" s="188"/>
      <c r="FB13" s="188"/>
      <c r="FC13" s="188"/>
      <c r="FD13" s="188"/>
      <c r="FE13" s="188"/>
      <c r="FF13" s="188"/>
      <c r="FG13" s="188"/>
      <c r="FH13" s="188"/>
      <c r="FI13" s="188"/>
      <c r="FJ13" s="188"/>
      <c r="FK13" s="188"/>
      <c r="FL13" s="188"/>
      <c r="FM13" s="188"/>
      <c r="FN13" s="188"/>
      <c r="FO13" s="188"/>
      <c r="FP13" s="188"/>
      <c r="FQ13" s="188"/>
      <c r="FR13" s="188"/>
      <c r="FS13" s="188"/>
      <c r="FT13" s="188"/>
      <c r="FU13" s="188"/>
      <c r="FV13" s="188"/>
      <c r="FW13" s="188"/>
      <c r="FX13" s="188"/>
      <c r="FY13" s="188"/>
      <c r="FZ13" s="188"/>
      <c r="GA13" s="188"/>
      <c r="GB13" s="188"/>
      <c r="GC13" s="189"/>
      <c r="GD13" s="187" t="s">
        <v>48</v>
      </c>
      <c r="GE13" s="188"/>
      <c r="GF13" s="188"/>
      <c r="GG13" s="188"/>
      <c r="GH13" s="188"/>
      <c r="GI13" s="188"/>
      <c r="GJ13" s="188"/>
      <c r="GK13" s="188"/>
      <c r="GL13" s="188"/>
      <c r="GM13" s="188"/>
      <c r="GN13" s="188"/>
      <c r="GO13" s="188"/>
      <c r="GP13" s="188"/>
      <c r="GQ13" s="188"/>
      <c r="GR13" s="188"/>
      <c r="GS13" s="188"/>
      <c r="GT13" s="188"/>
      <c r="GU13" s="188"/>
      <c r="GV13" s="188"/>
      <c r="GW13" s="188"/>
      <c r="GX13" s="188"/>
      <c r="GY13" s="188"/>
      <c r="GZ13" s="188"/>
      <c r="HA13" s="188"/>
      <c r="HB13" s="188"/>
      <c r="HC13" s="188"/>
      <c r="HD13" s="188"/>
      <c r="HE13" s="188"/>
      <c r="HF13" s="188"/>
      <c r="HG13" s="188"/>
      <c r="HH13" s="188"/>
      <c r="HI13" s="188"/>
      <c r="HJ13" s="188"/>
      <c r="HK13" s="188"/>
      <c r="HL13" s="188"/>
      <c r="HM13" s="188"/>
      <c r="HN13" s="188"/>
      <c r="HO13" s="188"/>
      <c r="HP13" s="188"/>
      <c r="HQ13" s="188"/>
      <c r="HR13" s="188"/>
      <c r="HS13" s="188"/>
      <c r="HT13" s="188"/>
      <c r="HU13" s="188"/>
      <c r="HV13" s="188"/>
      <c r="HW13" s="188"/>
      <c r="HX13" s="188"/>
      <c r="HY13" s="188"/>
      <c r="HZ13" s="188"/>
      <c r="IA13" s="188"/>
      <c r="IB13" s="188"/>
      <c r="IC13" s="188"/>
      <c r="ID13" s="188"/>
      <c r="IE13" s="188"/>
      <c r="IF13" s="188"/>
      <c r="IG13" s="188"/>
      <c r="IH13" s="188"/>
      <c r="II13" s="188"/>
      <c r="IJ13" s="188"/>
      <c r="IK13" s="189"/>
      <c r="IL13" s="187" t="s">
        <v>102</v>
      </c>
      <c r="IM13" s="188"/>
      <c r="IN13" s="188"/>
      <c r="IO13" s="188"/>
      <c r="IP13" s="188"/>
      <c r="IQ13" s="188"/>
      <c r="IR13" s="188"/>
      <c r="IS13" s="188"/>
      <c r="IT13" s="188"/>
      <c r="IU13" s="188"/>
      <c r="IV13" s="188"/>
      <c r="IW13" s="188"/>
      <c r="IX13" s="188"/>
      <c r="IY13" s="188"/>
      <c r="IZ13" s="188"/>
      <c r="JA13" s="188"/>
      <c r="JB13" s="188"/>
      <c r="JC13" s="188"/>
      <c r="JD13" s="188"/>
      <c r="JE13" s="188"/>
      <c r="JF13" s="188"/>
      <c r="JG13" s="188"/>
      <c r="JH13" s="188"/>
      <c r="JI13" s="188"/>
      <c r="JJ13" s="188"/>
      <c r="JK13" s="188"/>
      <c r="JL13" s="188"/>
      <c r="JM13" s="188"/>
      <c r="JN13" s="188"/>
      <c r="JO13" s="188"/>
      <c r="JP13" s="188"/>
      <c r="JQ13" s="188"/>
      <c r="JR13" s="188"/>
      <c r="JS13" s="188"/>
      <c r="JT13" s="188"/>
      <c r="JU13" s="188"/>
      <c r="JV13" s="188"/>
      <c r="JW13" s="188"/>
      <c r="JX13" s="188"/>
      <c r="JY13" s="188"/>
      <c r="JZ13" s="188"/>
      <c r="KA13" s="188"/>
      <c r="KB13" s="188"/>
      <c r="KC13" s="188"/>
      <c r="KD13" s="188"/>
      <c r="KE13" s="188"/>
      <c r="KF13" s="188"/>
      <c r="KG13" s="188"/>
      <c r="KH13" s="188"/>
      <c r="KI13" s="188"/>
      <c r="KJ13" s="188"/>
      <c r="KK13" s="188"/>
      <c r="KL13" s="188"/>
      <c r="KM13" s="188"/>
      <c r="KN13" s="188"/>
      <c r="KO13" s="188"/>
      <c r="KP13" s="188"/>
      <c r="KQ13" s="188"/>
      <c r="KR13" s="188"/>
      <c r="KS13" s="189"/>
      <c r="KT13" s="187" t="s">
        <v>100</v>
      </c>
      <c r="KU13" s="188"/>
      <c r="KV13" s="188"/>
      <c r="KW13" s="188"/>
      <c r="KX13" s="188"/>
      <c r="KY13" s="188"/>
      <c r="KZ13" s="188"/>
      <c r="LA13" s="188"/>
      <c r="LB13" s="188"/>
      <c r="LC13" s="188"/>
      <c r="LD13" s="188"/>
      <c r="LE13" s="188"/>
      <c r="LF13" s="188"/>
      <c r="LG13" s="188"/>
      <c r="LH13" s="188"/>
      <c r="LI13" s="188"/>
      <c r="LJ13" s="188"/>
      <c r="LK13" s="188"/>
      <c r="LL13" s="188"/>
      <c r="LM13" s="188"/>
      <c r="LN13" s="188"/>
      <c r="LO13" s="188"/>
      <c r="LP13" s="188"/>
      <c r="LQ13" s="188"/>
      <c r="LR13" s="188"/>
      <c r="LS13" s="188"/>
      <c r="LT13" s="188"/>
      <c r="LU13" s="188"/>
      <c r="LV13" s="188"/>
      <c r="LW13" s="188"/>
      <c r="LX13" s="188"/>
      <c r="LY13" s="188"/>
      <c r="LZ13" s="188"/>
      <c r="MA13" s="188"/>
      <c r="MB13" s="188"/>
      <c r="MC13" s="188"/>
      <c r="MD13" s="188"/>
      <c r="ME13" s="188"/>
      <c r="MF13" s="188"/>
      <c r="MG13" s="188"/>
      <c r="MH13" s="188"/>
      <c r="MI13" s="188"/>
      <c r="MJ13" s="188"/>
      <c r="MK13" s="188"/>
      <c r="ML13" s="188"/>
      <c r="MM13" s="188"/>
      <c r="MN13" s="188"/>
      <c r="MO13" s="188"/>
      <c r="MP13" s="188"/>
      <c r="MQ13" s="188"/>
      <c r="MR13" s="188"/>
      <c r="MS13" s="188"/>
      <c r="MT13" s="188"/>
      <c r="MU13" s="188"/>
      <c r="MV13" s="188"/>
      <c r="MW13" s="188"/>
      <c r="MX13" s="188"/>
      <c r="MY13" s="188"/>
      <c r="MZ13" s="188"/>
      <c r="NA13" s="189"/>
      <c r="NB13" s="187" t="s">
        <v>99</v>
      </c>
      <c r="NC13" s="188"/>
      <c r="ND13" s="188"/>
      <c r="NE13" s="188"/>
      <c r="NF13" s="188"/>
      <c r="NG13" s="188"/>
      <c r="NH13" s="188"/>
      <c r="NI13" s="188"/>
      <c r="NJ13" s="188"/>
      <c r="NK13" s="188"/>
      <c r="NL13" s="188"/>
      <c r="NM13" s="188"/>
      <c r="NN13" s="188"/>
      <c r="NO13" s="188"/>
      <c r="NP13" s="188"/>
      <c r="NQ13" s="188"/>
      <c r="NR13" s="188"/>
      <c r="NS13" s="188"/>
      <c r="NT13" s="188"/>
      <c r="NU13" s="188"/>
      <c r="NV13" s="188"/>
      <c r="NW13" s="188"/>
      <c r="NX13" s="188"/>
      <c r="NY13" s="188"/>
      <c r="NZ13" s="188"/>
      <c r="OA13" s="188"/>
      <c r="OB13" s="188"/>
      <c r="OC13" s="188"/>
      <c r="OD13" s="188"/>
      <c r="OE13" s="188"/>
      <c r="OF13" s="188"/>
      <c r="OG13" s="188"/>
      <c r="OH13" s="188"/>
      <c r="OI13" s="188"/>
      <c r="OJ13" s="188"/>
      <c r="OK13" s="188"/>
      <c r="OL13" s="188"/>
      <c r="OM13" s="188"/>
      <c r="ON13" s="188"/>
      <c r="OO13" s="188"/>
      <c r="OP13" s="188"/>
      <c r="OQ13" s="188"/>
      <c r="OR13" s="188"/>
      <c r="OS13" s="188"/>
      <c r="OT13" s="188"/>
      <c r="OU13" s="188"/>
      <c r="OV13" s="188"/>
      <c r="OW13" s="188"/>
      <c r="OX13" s="188"/>
      <c r="OY13" s="188"/>
      <c r="OZ13" s="188"/>
      <c r="PA13" s="188"/>
      <c r="PB13" s="188"/>
      <c r="PC13" s="188"/>
      <c r="PD13" s="188"/>
      <c r="PE13" s="188"/>
      <c r="PF13" s="188"/>
      <c r="PG13" s="188"/>
      <c r="PH13" s="188"/>
      <c r="PI13" s="189"/>
      <c r="PJ13" s="187" t="s">
        <v>97</v>
      </c>
      <c r="PK13" s="188"/>
      <c r="PL13" s="188"/>
      <c r="PM13" s="188"/>
      <c r="PN13" s="188"/>
      <c r="PO13" s="188"/>
      <c r="PP13" s="188"/>
      <c r="PQ13" s="188"/>
      <c r="PR13" s="188"/>
      <c r="PS13" s="188"/>
      <c r="PT13" s="188"/>
      <c r="PU13" s="188"/>
      <c r="PV13" s="188"/>
      <c r="PW13" s="188"/>
      <c r="PX13" s="188"/>
      <c r="PY13" s="188"/>
      <c r="PZ13" s="188"/>
      <c r="QA13" s="188"/>
      <c r="QB13" s="188"/>
      <c r="QC13" s="188"/>
      <c r="QD13" s="188"/>
      <c r="QE13" s="188"/>
      <c r="QF13" s="188"/>
      <c r="QG13" s="188"/>
      <c r="QH13" s="188"/>
      <c r="QI13" s="188"/>
      <c r="QJ13" s="188"/>
      <c r="QK13" s="188"/>
      <c r="QL13" s="188"/>
      <c r="QM13" s="188"/>
      <c r="QN13" s="188"/>
      <c r="QO13" s="188"/>
      <c r="QP13" s="188"/>
      <c r="QQ13" s="188"/>
      <c r="QR13" s="188"/>
      <c r="QS13" s="188"/>
      <c r="QT13" s="188"/>
      <c r="QU13" s="188"/>
      <c r="QV13" s="188"/>
      <c r="QW13" s="188"/>
      <c r="QX13" s="188"/>
      <c r="QY13" s="188"/>
      <c r="QZ13" s="188"/>
      <c r="RA13" s="188"/>
      <c r="RB13" s="188"/>
      <c r="RC13" s="188"/>
      <c r="RD13" s="188"/>
      <c r="RE13" s="188"/>
      <c r="RF13" s="188"/>
      <c r="RG13" s="188"/>
      <c r="RH13" s="188"/>
      <c r="RI13" s="188"/>
      <c r="RJ13" s="188"/>
      <c r="RK13" s="188"/>
      <c r="RL13" s="188"/>
      <c r="RM13" s="188"/>
      <c r="RN13" s="188"/>
      <c r="RO13" s="188"/>
      <c r="RP13" s="188"/>
      <c r="RQ13" s="189"/>
      <c r="RR13" s="187" t="s">
        <v>96</v>
      </c>
      <c r="RS13" s="188"/>
      <c r="RT13" s="188"/>
      <c r="RU13" s="188"/>
      <c r="RV13" s="188"/>
      <c r="RW13" s="188"/>
      <c r="RX13" s="188"/>
      <c r="RY13" s="188"/>
      <c r="RZ13" s="188"/>
      <c r="SA13" s="188"/>
      <c r="SB13" s="188"/>
      <c r="SC13" s="188"/>
      <c r="SD13" s="188"/>
      <c r="SE13" s="188"/>
      <c r="SF13" s="188"/>
      <c r="SG13" s="188"/>
      <c r="SH13" s="188"/>
      <c r="SI13" s="188"/>
      <c r="SJ13" s="188"/>
      <c r="SK13" s="188"/>
      <c r="SL13" s="188"/>
      <c r="SM13" s="188"/>
      <c r="SN13" s="188"/>
      <c r="SO13" s="188"/>
      <c r="SP13" s="188"/>
      <c r="SQ13" s="188"/>
      <c r="SR13" s="188"/>
      <c r="SS13" s="188"/>
      <c r="ST13" s="188"/>
      <c r="SU13" s="188"/>
      <c r="SV13" s="188"/>
      <c r="SW13" s="188"/>
      <c r="SX13" s="188"/>
      <c r="SY13" s="188"/>
      <c r="SZ13" s="188"/>
      <c r="TA13" s="188"/>
      <c r="TB13" s="188"/>
      <c r="TC13" s="188"/>
      <c r="TD13" s="188"/>
      <c r="TE13" s="188"/>
      <c r="TF13" s="188"/>
      <c r="TG13" s="188"/>
      <c r="TH13" s="188"/>
      <c r="TI13" s="188"/>
      <c r="TJ13" s="188"/>
      <c r="TK13" s="188"/>
      <c r="TL13" s="188"/>
      <c r="TM13" s="188"/>
      <c r="TN13" s="188"/>
      <c r="TO13" s="188"/>
      <c r="TP13" s="188"/>
      <c r="TQ13" s="188"/>
      <c r="TR13" s="188"/>
      <c r="TS13" s="188"/>
      <c r="TT13" s="188"/>
      <c r="TU13" s="188"/>
      <c r="TV13" s="188"/>
      <c r="TW13" s="188"/>
      <c r="TX13" s="188"/>
      <c r="TY13" s="189"/>
      <c r="TZ13" s="187" t="s">
        <v>94</v>
      </c>
      <c r="UA13" s="188"/>
      <c r="UB13" s="188"/>
      <c r="UC13" s="188"/>
      <c r="UD13" s="188"/>
      <c r="UE13" s="188"/>
      <c r="UF13" s="188"/>
      <c r="UG13" s="188"/>
      <c r="UH13" s="188"/>
      <c r="UI13" s="188"/>
      <c r="UJ13" s="188"/>
      <c r="UK13" s="188"/>
      <c r="UL13" s="188"/>
      <c r="UM13" s="188"/>
      <c r="UN13" s="188"/>
      <c r="UO13" s="188"/>
      <c r="UP13" s="188"/>
      <c r="UQ13" s="188"/>
      <c r="UR13" s="188"/>
      <c r="US13" s="188"/>
      <c r="UT13" s="188"/>
      <c r="UU13" s="188"/>
      <c r="UV13" s="188"/>
      <c r="UW13" s="188"/>
      <c r="UX13" s="188"/>
      <c r="UY13" s="188"/>
      <c r="UZ13" s="188"/>
      <c r="VA13" s="188"/>
      <c r="VB13" s="188"/>
      <c r="VC13" s="188"/>
      <c r="VD13" s="188"/>
      <c r="VE13" s="188"/>
      <c r="VF13" s="188"/>
      <c r="VG13" s="188"/>
      <c r="VH13" s="188"/>
      <c r="VI13" s="188"/>
      <c r="VJ13" s="188"/>
      <c r="VK13" s="188"/>
      <c r="VL13" s="188"/>
      <c r="VM13" s="188"/>
      <c r="VN13" s="188"/>
      <c r="VO13" s="188"/>
      <c r="VP13" s="188"/>
      <c r="VQ13" s="188"/>
      <c r="VR13" s="188"/>
      <c r="VS13" s="188"/>
      <c r="VT13" s="188"/>
      <c r="VU13" s="188"/>
      <c r="VV13" s="188"/>
      <c r="VW13" s="188"/>
      <c r="VX13" s="188"/>
      <c r="VY13" s="188"/>
      <c r="VZ13" s="188"/>
      <c r="WA13" s="188"/>
      <c r="WB13" s="188"/>
      <c r="WC13" s="188"/>
      <c r="WD13" s="188"/>
      <c r="WE13" s="188"/>
      <c r="WF13" s="188"/>
      <c r="WG13" s="189"/>
      <c r="WH13" s="187" t="s">
        <v>93</v>
      </c>
      <c r="WI13" s="188"/>
      <c r="WJ13" s="188"/>
      <c r="WK13" s="188"/>
      <c r="WL13" s="188"/>
      <c r="WM13" s="188"/>
      <c r="WN13" s="188"/>
      <c r="WO13" s="188"/>
      <c r="WP13" s="188"/>
      <c r="WQ13" s="188"/>
      <c r="WR13" s="188"/>
      <c r="WS13" s="188"/>
      <c r="WT13" s="188"/>
      <c r="WU13" s="188"/>
      <c r="WV13" s="188"/>
      <c r="WW13" s="188"/>
      <c r="WX13" s="188"/>
      <c r="WY13" s="188"/>
      <c r="WZ13" s="188"/>
      <c r="XA13" s="188"/>
      <c r="XB13" s="188"/>
      <c r="XC13" s="188"/>
      <c r="XD13" s="188"/>
      <c r="XE13" s="188"/>
      <c r="XF13" s="188"/>
      <c r="XG13" s="188"/>
      <c r="XH13" s="188"/>
      <c r="XI13" s="188"/>
      <c r="XJ13" s="188"/>
      <c r="XK13" s="188"/>
      <c r="XL13" s="188"/>
      <c r="XM13" s="188"/>
      <c r="XN13" s="188"/>
      <c r="XO13" s="188"/>
      <c r="XP13" s="188"/>
      <c r="XQ13" s="188"/>
      <c r="XR13" s="188"/>
      <c r="XS13" s="188"/>
      <c r="XT13" s="188"/>
      <c r="XU13" s="188"/>
      <c r="XV13" s="188"/>
      <c r="XW13" s="188"/>
      <c r="XX13" s="188"/>
      <c r="XY13" s="188"/>
      <c r="XZ13" s="188"/>
      <c r="YA13" s="188"/>
      <c r="YB13" s="188"/>
      <c r="YC13" s="188"/>
      <c r="YD13" s="188"/>
      <c r="YE13" s="188"/>
      <c r="YF13" s="188"/>
      <c r="YG13" s="188"/>
      <c r="YH13" s="188"/>
      <c r="YI13" s="188"/>
      <c r="YJ13" s="188"/>
      <c r="YK13" s="188"/>
      <c r="YL13" s="188"/>
      <c r="YM13" s="188"/>
      <c r="YN13" s="188"/>
      <c r="YO13" s="189"/>
      <c r="YP13" s="187" t="s">
        <v>91</v>
      </c>
      <c r="YQ13" s="188"/>
      <c r="YR13" s="188"/>
      <c r="YS13" s="188"/>
      <c r="YT13" s="188"/>
      <c r="YU13" s="188"/>
      <c r="YV13" s="188"/>
      <c r="YW13" s="188"/>
      <c r="YX13" s="188"/>
      <c r="YY13" s="188"/>
      <c r="YZ13" s="188"/>
      <c r="ZA13" s="188"/>
      <c r="ZB13" s="188"/>
      <c r="ZC13" s="188"/>
      <c r="ZD13" s="188"/>
      <c r="ZE13" s="188"/>
      <c r="ZF13" s="188"/>
      <c r="ZG13" s="188"/>
      <c r="ZH13" s="188"/>
      <c r="ZI13" s="188"/>
      <c r="ZJ13" s="188"/>
      <c r="ZK13" s="188"/>
      <c r="ZL13" s="188"/>
      <c r="ZM13" s="188"/>
      <c r="ZN13" s="188"/>
      <c r="ZO13" s="188"/>
      <c r="ZP13" s="188"/>
      <c r="ZQ13" s="188"/>
      <c r="ZR13" s="188"/>
      <c r="ZS13" s="188"/>
      <c r="ZT13" s="188"/>
      <c r="ZU13" s="188"/>
      <c r="ZV13" s="188"/>
      <c r="ZW13" s="188"/>
      <c r="ZX13" s="188"/>
      <c r="ZY13" s="188"/>
      <c r="ZZ13" s="188"/>
      <c r="AAA13" s="188"/>
      <c r="AAB13" s="188"/>
      <c r="AAC13" s="188"/>
      <c r="AAD13" s="188"/>
      <c r="AAE13" s="188"/>
      <c r="AAF13" s="188"/>
      <c r="AAG13" s="188"/>
      <c r="AAH13" s="188"/>
      <c r="AAI13" s="188"/>
      <c r="AAJ13" s="188"/>
      <c r="AAK13" s="188"/>
      <c r="AAL13" s="188"/>
      <c r="AAM13" s="188"/>
      <c r="AAN13" s="188"/>
      <c r="AAO13" s="188"/>
      <c r="AAP13" s="188"/>
      <c r="AAQ13" s="188"/>
      <c r="AAR13" s="188"/>
      <c r="AAS13" s="188"/>
      <c r="AAT13" s="188"/>
      <c r="AAU13" s="188"/>
      <c r="AAV13" s="188"/>
      <c r="AAW13" s="189"/>
      <c r="AAX13" s="187" t="s">
        <v>90</v>
      </c>
      <c r="AAY13" s="188"/>
      <c r="AAZ13" s="188"/>
      <c r="ABA13" s="188"/>
      <c r="ABB13" s="188"/>
      <c r="ABC13" s="188"/>
      <c r="ABD13" s="188"/>
      <c r="ABE13" s="188"/>
      <c r="ABF13" s="188"/>
      <c r="ABG13" s="188"/>
      <c r="ABH13" s="188"/>
      <c r="ABI13" s="188"/>
      <c r="ABJ13" s="188"/>
      <c r="ABK13" s="188"/>
      <c r="ABL13" s="188"/>
      <c r="ABM13" s="188"/>
      <c r="ABN13" s="188"/>
      <c r="ABO13" s="188"/>
      <c r="ABP13" s="188"/>
      <c r="ABQ13" s="188"/>
      <c r="ABR13" s="188"/>
      <c r="ABS13" s="188"/>
      <c r="ABT13" s="188"/>
      <c r="ABU13" s="188"/>
      <c r="ABV13" s="188"/>
      <c r="ABW13" s="188"/>
      <c r="ABX13" s="188"/>
      <c r="ABY13" s="188"/>
      <c r="ABZ13" s="188"/>
      <c r="ACA13" s="188"/>
      <c r="ACB13" s="188"/>
      <c r="ACC13" s="188"/>
      <c r="ACD13" s="188"/>
      <c r="ACE13" s="188"/>
      <c r="ACF13" s="188"/>
      <c r="ACG13" s="188"/>
      <c r="ACH13" s="188"/>
      <c r="ACI13" s="188"/>
      <c r="ACJ13" s="188"/>
      <c r="ACK13" s="188"/>
      <c r="ACL13" s="188"/>
      <c r="ACM13" s="188"/>
      <c r="ACN13" s="188"/>
      <c r="ACO13" s="188"/>
      <c r="ACP13" s="188"/>
      <c r="ACQ13" s="188"/>
      <c r="ACR13" s="188"/>
      <c r="ACS13" s="188"/>
      <c r="ACT13" s="188"/>
      <c r="ACU13" s="188"/>
      <c r="ACV13" s="188"/>
      <c r="ACW13" s="188"/>
      <c r="ACX13" s="188"/>
      <c r="ACY13" s="188"/>
      <c r="ACZ13" s="188"/>
      <c r="ADA13" s="188"/>
      <c r="ADB13" s="188"/>
      <c r="ADC13" s="188"/>
      <c r="ADD13" s="188"/>
      <c r="ADE13" s="189"/>
      <c r="ADF13" s="187" t="s">
        <v>88</v>
      </c>
      <c r="ADG13" s="188"/>
      <c r="ADH13" s="188"/>
      <c r="ADI13" s="188"/>
      <c r="ADJ13" s="188"/>
      <c r="ADK13" s="188"/>
      <c r="ADL13" s="188"/>
      <c r="ADM13" s="188"/>
      <c r="ADN13" s="188"/>
      <c r="ADO13" s="188"/>
      <c r="ADP13" s="188"/>
      <c r="ADQ13" s="188"/>
      <c r="ADR13" s="188"/>
      <c r="ADS13" s="188"/>
      <c r="ADT13" s="188"/>
      <c r="ADU13" s="188"/>
      <c r="ADV13" s="188"/>
      <c r="ADW13" s="188"/>
      <c r="ADX13" s="188"/>
      <c r="ADY13" s="188"/>
      <c r="ADZ13" s="188"/>
      <c r="AEA13" s="188"/>
      <c r="AEB13" s="188"/>
      <c r="AEC13" s="188"/>
      <c r="AED13" s="188"/>
      <c r="AEE13" s="188"/>
      <c r="AEF13" s="188"/>
      <c r="AEG13" s="188"/>
      <c r="AEH13" s="188"/>
      <c r="AEI13" s="188"/>
      <c r="AEJ13" s="188"/>
      <c r="AEK13" s="188"/>
      <c r="AEL13" s="188"/>
      <c r="AEM13" s="188"/>
      <c r="AEN13" s="188"/>
      <c r="AEO13" s="188"/>
      <c r="AEP13" s="188"/>
      <c r="AEQ13" s="188"/>
      <c r="AER13" s="188"/>
      <c r="AES13" s="188"/>
      <c r="AET13" s="188"/>
      <c r="AEU13" s="188"/>
      <c r="AEV13" s="188"/>
      <c r="AEW13" s="188"/>
      <c r="AEX13" s="188"/>
      <c r="AEY13" s="188"/>
      <c r="AEZ13" s="188"/>
      <c r="AFA13" s="188"/>
      <c r="AFB13" s="188"/>
      <c r="AFC13" s="188"/>
      <c r="AFD13" s="188"/>
      <c r="AFE13" s="188"/>
      <c r="AFF13" s="188"/>
      <c r="AFG13" s="188"/>
      <c r="AFH13" s="188"/>
      <c r="AFI13" s="188"/>
      <c r="AFJ13" s="188"/>
      <c r="AFK13" s="188"/>
      <c r="AFL13" s="188"/>
      <c r="AFM13" s="189"/>
      <c r="AFN13" s="187" t="s">
        <v>86</v>
      </c>
      <c r="AFO13" s="188"/>
      <c r="AFP13" s="188"/>
      <c r="AFQ13" s="188"/>
      <c r="AFR13" s="188"/>
      <c r="AFS13" s="188"/>
      <c r="AFT13" s="188"/>
      <c r="AFU13" s="188"/>
      <c r="AFV13" s="188"/>
      <c r="AFW13" s="188"/>
      <c r="AFX13" s="188"/>
      <c r="AFY13" s="188"/>
      <c r="AFZ13" s="188"/>
      <c r="AGA13" s="188"/>
      <c r="AGB13" s="188"/>
      <c r="AGC13" s="188"/>
      <c r="AGD13" s="188"/>
      <c r="AGE13" s="188"/>
      <c r="AGF13" s="188"/>
      <c r="AGG13" s="188"/>
      <c r="AGH13" s="188"/>
      <c r="AGI13" s="188"/>
      <c r="AGJ13" s="188"/>
      <c r="AGK13" s="188"/>
      <c r="AGL13" s="188"/>
      <c r="AGM13" s="188"/>
      <c r="AGN13" s="188"/>
      <c r="AGO13" s="188"/>
      <c r="AGP13" s="188"/>
      <c r="AGQ13" s="188"/>
      <c r="AGR13" s="188"/>
      <c r="AGS13" s="188"/>
      <c r="AGT13" s="188"/>
      <c r="AGU13" s="188"/>
      <c r="AGV13" s="188"/>
      <c r="AGW13" s="188"/>
      <c r="AGX13" s="188"/>
      <c r="AGY13" s="188"/>
      <c r="AGZ13" s="188"/>
      <c r="AHA13" s="188"/>
      <c r="AHB13" s="188"/>
      <c r="AHC13" s="188"/>
      <c r="AHD13" s="188"/>
      <c r="AHE13" s="188"/>
      <c r="AHF13" s="188"/>
      <c r="AHG13" s="188"/>
      <c r="AHH13" s="188"/>
      <c r="AHI13" s="188"/>
      <c r="AHJ13" s="188"/>
      <c r="AHK13" s="188"/>
      <c r="AHL13" s="188"/>
      <c r="AHM13" s="188"/>
      <c r="AHN13" s="188"/>
      <c r="AHO13" s="188"/>
      <c r="AHP13" s="188"/>
      <c r="AHQ13" s="188"/>
      <c r="AHR13" s="188"/>
      <c r="AHS13" s="188"/>
      <c r="AHT13" s="188"/>
      <c r="AHU13" s="189"/>
      <c r="AHV13" s="187" t="s">
        <v>85</v>
      </c>
      <c r="AHW13" s="188"/>
      <c r="AHX13" s="188"/>
      <c r="AHY13" s="188"/>
      <c r="AHZ13" s="188"/>
      <c r="AIA13" s="188"/>
      <c r="AIB13" s="188"/>
      <c r="AIC13" s="188"/>
      <c r="AID13" s="188"/>
      <c r="AIE13" s="188"/>
      <c r="AIF13" s="188"/>
      <c r="AIG13" s="188"/>
      <c r="AIH13" s="188"/>
      <c r="AII13" s="188"/>
      <c r="AIJ13" s="188"/>
      <c r="AIK13" s="188"/>
      <c r="AIL13" s="188"/>
      <c r="AIM13" s="188"/>
      <c r="AIN13" s="188"/>
      <c r="AIO13" s="188"/>
      <c r="AIP13" s="188"/>
      <c r="AIQ13" s="188"/>
      <c r="AIR13" s="188"/>
      <c r="AIS13" s="188"/>
      <c r="AIT13" s="188"/>
      <c r="AIU13" s="188"/>
      <c r="AIV13" s="188"/>
      <c r="AIW13" s="188"/>
      <c r="AIX13" s="188"/>
      <c r="AIY13" s="188"/>
      <c r="AIZ13" s="188"/>
      <c r="AJA13" s="188"/>
      <c r="AJB13" s="188"/>
      <c r="AJC13" s="188"/>
      <c r="AJD13" s="188"/>
      <c r="AJE13" s="188"/>
      <c r="AJF13" s="188"/>
      <c r="AJG13" s="188"/>
      <c r="AJH13" s="188"/>
      <c r="AJI13" s="188"/>
      <c r="AJJ13" s="188"/>
      <c r="AJK13" s="188"/>
      <c r="AJL13" s="188"/>
      <c r="AJM13" s="188"/>
      <c r="AJN13" s="188"/>
      <c r="AJO13" s="188"/>
      <c r="AJP13" s="188"/>
      <c r="AJQ13" s="188"/>
      <c r="AJR13" s="188"/>
      <c r="AJS13" s="188"/>
      <c r="AJT13" s="188"/>
      <c r="AJU13" s="188"/>
      <c r="AJV13" s="188"/>
      <c r="AJW13" s="188"/>
      <c r="AJX13" s="188"/>
      <c r="AJY13" s="188"/>
      <c r="AJZ13" s="188"/>
      <c r="AKA13" s="188"/>
      <c r="AKB13" s="188"/>
      <c r="AKC13" s="189"/>
      <c r="AKD13" s="187" t="s">
        <v>83</v>
      </c>
      <c r="AKE13" s="188"/>
      <c r="AKF13" s="188"/>
      <c r="AKG13" s="188"/>
      <c r="AKH13" s="188"/>
      <c r="AKI13" s="188"/>
      <c r="AKJ13" s="188"/>
      <c r="AKK13" s="188"/>
      <c r="AKL13" s="188"/>
      <c r="AKM13" s="188"/>
      <c r="AKN13" s="188"/>
      <c r="AKO13" s="188"/>
      <c r="AKP13" s="188"/>
      <c r="AKQ13" s="188"/>
      <c r="AKR13" s="188"/>
      <c r="AKS13" s="188"/>
      <c r="AKT13" s="188"/>
      <c r="AKU13" s="188"/>
      <c r="AKV13" s="188"/>
      <c r="AKW13" s="188"/>
      <c r="AKX13" s="188"/>
      <c r="AKY13" s="188"/>
      <c r="AKZ13" s="188"/>
      <c r="ALA13" s="188"/>
      <c r="ALB13" s="188"/>
      <c r="ALC13" s="188"/>
      <c r="ALD13" s="188"/>
      <c r="ALE13" s="188"/>
      <c r="ALF13" s="188"/>
      <c r="ALG13" s="188"/>
      <c r="ALH13" s="188"/>
      <c r="ALI13" s="188"/>
      <c r="ALJ13" s="188"/>
      <c r="ALK13" s="188"/>
      <c r="ALL13" s="188"/>
      <c r="ALM13" s="188"/>
      <c r="ALN13" s="188"/>
      <c r="ALO13" s="188"/>
      <c r="ALP13" s="188"/>
      <c r="ALQ13" s="188"/>
      <c r="ALR13" s="188"/>
      <c r="ALS13" s="188"/>
      <c r="ALT13" s="188"/>
      <c r="ALU13" s="188"/>
      <c r="ALV13" s="188"/>
      <c r="ALW13" s="188"/>
      <c r="ALX13" s="188"/>
      <c r="ALY13" s="188"/>
      <c r="ALZ13" s="188"/>
      <c r="AMA13" s="188"/>
      <c r="AMB13" s="188"/>
      <c r="AMC13" s="188"/>
      <c r="AMD13" s="188"/>
      <c r="AME13" s="188"/>
      <c r="AMF13" s="188"/>
      <c r="AMG13" s="188"/>
      <c r="AMH13" s="188"/>
      <c r="AMI13" s="188"/>
      <c r="AMJ13" s="188"/>
      <c r="AMK13" s="189"/>
      <c r="AML13" s="187" t="s">
        <v>82</v>
      </c>
      <c r="AMM13" s="188"/>
      <c r="AMN13" s="188"/>
      <c r="AMO13" s="188"/>
      <c r="AMP13" s="188"/>
      <c r="AMQ13" s="188"/>
      <c r="AMR13" s="188"/>
      <c r="AMS13" s="188"/>
      <c r="AMT13" s="188"/>
      <c r="AMU13" s="188"/>
      <c r="AMV13" s="188"/>
      <c r="AMW13" s="188"/>
      <c r="AMX13" s="188"/>
      <c r="AMY13" s="188"/>
      <c r="AMZ13" s="188"/>
      <c r="ANA13" s="188"/>
      <c r="ANB13" s="188"/>
      <c r="ANC13" s="188"/>
      <c r="AND13" s="188"/>
      <c r="ANE13" s="188"/>
      <c r="ANF13" s="188"/>
      <c r="ANG13" s="188"/>
      <c r="ANH13" s="188"/>
      <c r="ANI13" s="188"/>
      <c r="ANJ13" s="188"/>
      <c r="ANK13" s="188"/>
      <c r="ANL13" s="188"/>
      <c r="ANM13" s="188"/>
      <c r="ANN13" s="188"/>
      <c r="ANO13" s="188"/>
      <c r="ANP13" s="188"/>
      <c r="ANQ13" s="188"/>
      <c r="ANR13" s="188"/>
      <c r="ANS13" s="188"/>
      <c r="ANT13" s="188"/>
      <c r="ANU13" s="188"/>
      <c r="ANV13" s="188"/>
      <c r="ANW13" s="188"/>
      <c r="ANX13" s="188"/>
      <c r="ANY13" s="188"/>
      <c r="ANZ13" s="188"/>
      <c r="AOA13" s="188"/>
      <c r="AOB13" s="188"/>
      <c r="AOC13" s="188"/>
      <c r="AOD13" s="188"/>
      <c r="AOE13" s="188"/>
      <c r="AOF13" s="188"/>
      <c r="AOG13" s="188"/>
      <c r="AOH13" s="188"/>
      <c r="AOI13" s="188"/>
      <c r="AOJ13" s="188"/>
      <c r="AOK13" s="188"/>
      <c r="AOL13" s="188"/>
      <c r="AOM13" s="188"/>
      <c r="AON13" s="188"/>
      <c r="AOO13" s="188"/>
      <c r="AOP13" s="188"/>
      <c r="AOQ13" s="188"/>
      <c r="AOR13" s="188"/>
      <c r="AOS13" s="189"/>
      <c r="AOT13" s="187" t="s">
        <v>80</v>
      </c>
      <c r="AOU13" s="188"/>
      <c r="AOV13" s="188"/>
      <c r="AOW13" s="188"/>
      <c r="AOX13" s="188"/>
      <c r="AOY13" s="188"/>
      <c r="AOZ13" s="188"/>
      <c r="APA13" s="188"/>
      <c r="APB13" s="188"/>
      <c r="APC13" s="188"/>
      <c r="APD13" s="188"/>
      <c r="APE13" s="188"/>
      <c r="APF13" s="188"/>
      <c r="APG13" s="188"/>
      <c r="APH13" s="188"/>
      <c r="API13" s="188"/>
      <c r="APJ13" s="188"/>
      <c r="APK13" s="188"/>
      <c r="APL13" s="188"/>
      <c r="APM13" s="188"/>
      <c r="APN13" s="188"/>
      <c r="APO13" s="188"/>
      <c r="APP13" s="188"/>
      <c r="APQ13" s="188"/>
      <c r="APR13" s="188"/>
      <c r="APS13" s="188"/>
      <c r="APT13" s="188"/>
      <c r="APU13" s="188"/>
      <c r="APV13" s="188"/>
      <c r="APW13" s="188"/>
      <c r="APX13" s="188"/>
      <c r="APY13" s="188"/>
      <c r="APZ13" s="188"/>
      <c r="AQA13" s="188"/>
      <c r="AQB13" s="188"/>
      <c r="AQC13" s="188"/>
      <c r="AQD13" s="188"/>
      <c r="AQE13" s="188"/>
      <c r="AQF13" s="188"/>
      <c r="AQG13" s="188"/>
      <c r="AQH13" s="188"/>
      <c r="AQI13" s="188"/>
      <c r="AQJ13" s="188"/>
      <c r="AQK13" s="188"/>
      <c r="AQL13" s="188"/>
      <c r="AQM13" s="188"/>
      <c r="AQN13" s="188"/>
      <c r="AQO13" s="188"/>
      <c r="AQP13" s="188"/>
      <c r="AQQ13" s="188"/>
      <c r="AQR13" s="188"/>
      <c r="AQS13" s="188"/>
      <c r="AQT13" s="188"/>
      <c r="AQU13" s="188"/>
      <c r="AQV13" s="188"/>
      <c r="AQW13" s="188"/>
      <c r="AQX13" s="188"/>
      <c r="AQY13" s="188"/>
      <c r="AQZ13" s="188"/>
      <c r="ARA13" s="189"/>
      <c r="ARB13" s="187" t="s">
        <v>79</v>
      </c>
      <c r="ARC13" s="188"/>
      <c r="ARD13" s="188"/>
      <c r="ARE13" s="188"/>
      <c r="ARF13" s="188"/>
      <c r="ARG13" s="188"/>
      <c r="ARH13" s="188"/>
      <c r="ARI13" s="188"/>
      <c r="ARJ13" s="188"/>
      <c r="ARK13" s="188"/>
      <c r="ARL13" s="188"/>
      <c r="ARM13" s="188"/>
      <c r="ARN13" s="188"/>
      <c r="ARO13" s="188"/>
      <c r="ARP13" s="188"/>
      <c r="ARQ13" s="188"/>
      <c r="ARR13" s="188"/>
      <c r="ARS13" s="188"/>
      <c r="ART13" s="188"/>
      <c r="ARU13" s="188"/>
      <c r="ARV13" s="188"/>
      <c r="ARW13" s="188"/>
      <c r="ARX13" s="188"/>
      <c r="ARY13" s="188"/>
      <c r="ARZ13" s="188"/>
      <c r="ASA13" s="188"/>
      <c r="ASB13" s="188"/>
      <c r="ASC13" s="188"/>
      <c r="ASD13" s="188"/>
      <c r="ASE13" s="188"/>
      <c r="ASF13" s="188"/>
      <c r="ASG13" s="188"/>
      <c r="ASH13" s="188"/>
      <c r="ASI13" s="188"/>
      <c r="ASJ13" s="188"/>
      <c r="ASK13" s="188"/>
      <c r="ASL13" s="188"/>
      <c r="ASM13" s="188"/>
      <c r="ASN13" s="188"/>
      <c r="ASO13" s="188"/>
      <c r="ASP13" s="188"/>
      <c r="ASQ13" s="188"/>
      <c r="ASR13" s="188"/>
      <c r="ASS13" s="188"/>
      <c r="AST13" s="188"/>
      <c r="ASU13" s="188"/>
      <c r="ASV13" s="188"/>
      <c r="ASW13" s="188"/>
      <c r="ASX13" s="188"/>
      <c r="ASY13" s="188"/>
      <c r="ASZ13" s="188"/>
      <c r="ATA13" s="188"/>
      <c r="ATB13" s="188"/>
      <c r="ATC13" s="188"/>
      <c r="ATD13" s="188"/>
      <c r="ATE13" s="188"/>
      <c r="ATF13" s="188"/>
      <c r="ATG13" s="188"/>
      <c r="ATH13" s="188"/>
      <c r="ATI13" s="189"/>
      <c r="ATJ13" s="187" t="s">
        <v>77</v>
      </c>
      <c r="ATK13" s="188"/>
      <c r="ATL13" s="188"/>
      <c r="ATM13" s="188"/>
      <c r="ATN13" s="188"/>
      <c r="ATO13" s="188"/>
      <c r="ATP13" s="188"/>
      <c r="ATQ13" s="188"/>
      <c r="ATR13" s="188"/>
      <c r="ATS13" s="188"/>
      <c r="ATT13" s="188"/>
      <c r="ATU13" s="188"/>
      <c r="ATV13" s="188"/>
      <c r="ATW13" s="188"/>
      <c r="ATX13" s="188"/>
      <c r="ATY13" s="188"/>
      <c r="ATZ13" s="188"/>
      <c r="AUA13" s="188"/>
      <c r="AUB13" s="188"/>
      <c r="AUC13" s="188"/>
      <c r="AUD13" s="188"/>
      <c r="AUE13" s="188"/>
      <c r="AUF13" s="188"/>
      <c r="AUG13" s="188"/>
      <c r="AUH13" s="188"/>
      <c r="AUI13" s="188"/>
      <c r="AUJ13" s="188"/>
      <c r="AUK13" s="188"/>
      <c r="AUL13" s="188"/>
      <c r="AUM13" s="188"/>
      <c r="AUN13" s="188"/>
      <c r="AUO13" s="188"/>
      <c r="AUP13" s="188"/>
      <c r="AUQ13" s="188"/>
      <c r="AUR13" s="188"/>
      <c r="AUS13" s="188"/>
      <c r="AUT13" s="188"/>
      <c r="AUU13" s="188"/>
      <c r="AUV13" s="188"/>
      <c r="AUW13" s="188"/>
      <c r="AUX13" s="188"/>
      <c r="AUY13" s="188"/>
      <c r="AUZ13" s="188"/>
      <c r="AVA13" s="188"/>
      <c r="AVB13" s="188"/>
      <c r="AVC13" s="188"/>
      <c r="AVD13" s="188"/>
      <c r="AVE13" s="188"/>
      <c r="AVF13" s="188"/>
      <c r="AVG13" s="188"/>
      <c r="AVH13" s="188"/>
      <c r="AVI13" s="188"/>
      <c r="AVJ13" s="188"/>
      <c r="AVK13" s="188"/>
      <c r="AVL13" s="188"/>
      <c r="AVM13" s="188"/>
      <c r="AVN13" s="188"/>
      <c r="AVO13" s="188"/>
      <c r="AVP13" s="188"/>
      <c r="AVQ13" s="189"/>
      <c r="AVR13" s="187" t="s">
        <v>75</v>
      </c>
      <c r="AVS13" s="188"/>
      <c r="AVT13" s="188"/>
      <c r="AVU13" s="188"/>
      <c r="AVV13" s="188"/>
      <c r="AVW13" s="188"/>
      <c r="AVX13" s="188"/>
      <c r="AVY13" s="188"/>
      <c r="AVZ13" s="188"/>
      <c r="AWA13" s="188"/>
      <c r="AWB13" s="188"/>
      <c r="AWC13" s="188"/>
      <c r="AWD13" s="188"/>
      <c r="AWE13" s="188"/>
      <c r="AWF13" s="188"/>
      <c r="AWG13" s="188"/>
      <c r="AWH13" s="188"/>
      <c r="AWI13" s="188"/>
      <c r="AWJ13" s="188"/>
      <c r="AWK13" s="188"/>
      <c r="AWL13" s="188"/>
      <c r="AWM13" s="188"/>
      <c r="AWN13" s="188"/>
      <c r="AWO13" s="188"/>
      <c r="AWP13" s="188"/>
      <c r="AWQ13" s="188"/>
      <c r="AWR13" s="188"/>
      <c r="AWS13" s="188"/>
      <c r="AWT13" s="188"/>
      <c r="AWU13" s="188"/>
      <c r="AWV13" s="188"/>
      <c r="AWW13" s="188"/>
      <c r="AWX13" s="188"/>
      <c r="AWY13" s="188"/>
      <c r="AWZ13" s="188"/>
      <c r="AXA13" s="188"/>
      <c r="AXB13" s="188"/>
      <c r="AXC13" s="188"/>
      <c r="AXD13" s="188"/>
      <c r="AXE13" s="188"/>
      <c r="AXF13" s="188"/>
      <c r="AXG13" s="188"/>
      <c r="AXH13" s="188"/>
      <c r="AXI13" s="188"/>
      <c r="AXJ13" s="188"/>
      <c r="AXK13" s="188"/>
      <c r="AXL13" s="188"/>
      <c r="AXM13" s="188"/>
      <c r="AXN13" s="188"/>
      <c r="AXO13" s="188"/>
      <c r="AXP13" s="188"/>
      <c r="AXQ13" s="188"/>
      <c r="AXR13" s="188"/>
      <c r="AXS13" s="188"/>
      <c r="AXT13" s="188"/>
      <c r="AXU13" s="188"/>
      <c r="AXV13" s="188"/>
      <c r="AXW13" s="188"/>
      <c r="AXX13" s="188"/>
      <c r="AXY13" s="189"/>
      <c r="AXZ13" s="187" t="s">
        <v>74</v>
      </c>
      <c r="AYA13" s="188"/>
      <c r="AYB13" s="188"/>
      <c r="AYC13" s="188"/>
      <c r="AYD13" s="188"/>
      <c r="AYE13" s="188"/>
      <c r="AYF13" s="188"/>
      <c r="AYG13" s="188"/>
      <c r="AYH13" s="188"/>
      <c r="AYI13" s="188"/>
      <c r="AYJ13" s="188"/>
      <c r="AYK13" s="188"/>
      <c r="AYL13" s="188"/>
      <c r="AYM13" s="188"/>
      <c r="AYN13" s="188"/>
      <c r="AYO13" s="188"/>
      <c r="AYP13" s="188"/>
      <c r="AYQ13" s="188"/>
      <c r="AYR13" s="188"/>
      <c r="AYS13" s="188"/>
      <c r="AYT13" s="188"/>
      <c r="AYU13" s="188"/>
      <c r="AYV13" s="188"/>
      <c r="AYW13" s="188"/>
      <c r="AYX13" s="188"/>
      <c r="AYY13" s="188"/>
      <c r="AYZ13" s="188"/>
      <c r="AZA13" s="188"/>
      <c r="AZB13" s="188"/>
      <c r="AZC13" s="188"/>
      <c r="AZD13" s="188"/>
      <c r="AZE13" s="188"/>
      <c r="AZF13" s="188"/>
      <c r="AZG13" s="188"/>
      <c r="AZH13" s="188"/>
      <c r="AZI13" s="188"/>
      <c r="AZJ13" s="188"/>
      <c r="AZK13" s="188"/>
      <c r="AZL13" s="188"/>
      <c r="AZM13" s="188"/>
      <c r="AZN13" s="188"/>
      <c r="AZO13" s="188"/>
      <c r="AZP13" s="188"/>
      <c r="AZQ13" s="188"/>
      <c r="AZR13" s="188"/>
      <c r="AZS13" s="188"/>
      <c r="AZT13" s="188"/>
      <c r="AZU13" s="188"/>
      <c r="AZV13" s="188"/>
      <c r="AZW13" s="188"/>
      <c r="AZX13" s="188"/>
      <c r="AZY13" s="188"/>
      <c r="AZZ13" s="188"/>
      <c r="BAA13" s="188"/>
      <c r="BAB13" s="188"/>
      <c r="BAC13" s="188"/>
      <c r="BAD13" s="188"/>
      <c r="BAE13" s="188"/>
      <c r="BAF13" s="188"/>
      <c r="BAG13" s="189"/>
      <c r="BAH13" s="187" t="s">
        <v>72</v>
      </c>
      <c r="BAI13" s="188"/>
      <c r="BAJ13" s="188"/>
      <c r="BAK13" s="188"/>
      <c r="BAL13" s="188"/>
      <c r="BAM13" s="188"/>
      <c r="BAN13" s="188"/>
      <c r="BAO13" s="188"/>
      <c r="BAP13" s="188"/>
      <c r="BAQ13" s="188"/>
      <c r="BAR13" s="188"/>
      <c r="BAS13" s="188"/>
      <c r="BAT13" s="188"/>
      <c r="BAU13" s="188"/>
      <c r="BAV13" s="188"/>
      <c r="BAW13" s="188"/>
      <c r="BAX13" s="188"/>
      <c r="BAY13" s="188"/>
      <c r="BAZ13" s="188"/>
      <c r="BBA13" s="188"/>
      <c r="BBB13" s="188"/>
      <c r="BBC13" s="188"/>
      <c r="BBD13" s="188"/>
      <c r="BBE13" s="188"/>
      <c r="BBF13" s="188"/>
      <c r="BBG13" s="188"/>
      <c r="BBH13" s="188"/>
      <c r="BBI13" s="188"/>
      <c r="BBJ13" s="188"/>
      <c r="BBK13" s="188"/>
      <c r="BBL13" s="188"/>
      <c r="BBM13" s="188"/>
      <c r="BBN13" s="188"/>
      <c r="BBO13" s="188"/>
      <c r="BBP13" s="188"/>
      <c r="BBQ13" s="188"/>
      <c r="BBR13" s="188"/>
      <c r="BBS13" s="188"/>
      <c r="BBT13" s="188"/>
      <c r="BBU13" s="188"/>
      <c r="BBV13" s="188"/>
      <c r="BBW13" s="188"/>
      <c r="BBX13" s="188"/>
      <c r="BBY13" s="188"/>
      <c r="BBZ13" s="188"/>
      <c r="BCA13" s="188"/>
      <c r="BCB13" s="188"/>
      <c r="BCC13" s="188"/>
      <c r="BCD13" s="188"/>
      <c r="BCE13" s="188"/>
      <c r="BCF13" s="188"/>
      <c r="BCG13" s="188"/>
      <c r="BCH13" s="188"/>
      <c r="BCI13" s="188"/>
      <c r="BCJ13" s="188"/>
      <c r="BCK13" s="188"/>
      <c r="BCL13" s="188"/>
      <c r="BCM13" s="188"/>
      <c r="BCN13" s="188"/>
      <c r="BCO13" s="189"/>
      <c r="BCP13" s="187" t="s">
        <v>71</v>
      </c>
      <c r="BCQ13" s="188"/>
      <c r="BCR13" s="188"/>
      <c r="BCS13" s="188"/>
      <c r="BCT13" s="188"/>
      <c r="BCU13" s="188"/>
      <c r="BCV13" s="188"/>
      <c r="BCW13" s="188"/>
      <c r="BCX13" s="188"/>
      <c r="BCY13" s="188"/>
      <c r="BCZ13" s="188"/>
      <c r="BDA13" s="188"/>
      <c r="BDB13" s="188"/>
      <c r="BDC13" s="188"/>
      <c r="BDD13" s="188"/>
      <c r="BDE13" s="188"/>
      <c r="BDF13" s="188"/>
      <c r="BDG13" s="188"/>
      <c r="BDH13" s="188"/>
      <c r="BDI13" s="188"/>
      <c r="BDJ13" s="188"/>
      <c r="BDK13" s="188"/>
      <c r="BDL13" s="188"/>
      <c r="BDM13" s="188"/>
      <c r="BDN13" s="188"/>
      <c r="BDO13" s="188"/>
      <c r="BDP13" s="188"/>
      <c r="BDQ13" s="188"/>
      <c r="BDR13" s="188"/>
      <c r="BDS13" s="188"/>
      <c r="BDT13" s="188"/>
      <c r="BDU13" s="188"/>
      <c r="BDV13" s="188"/>
      <c r="BDW13" s="188"/>
      <c r="BDX13" s="188"/>
      <c r="BDY13" s="188"/>
      <c r="BDZ13" s="188"/>
      <c r="BEA13" s="188"/>
      <c r="BEB13" s="188"/>
      <c r="BEC13" s="188"/>
      <c r="BED13" s="188"/>
      <c r="BEE13" s="188"/>
      <c r="BEF13" s="188"/>
      <c r="BEG13" s="188"/>
      <c r="BEH13" s="188"/>
      <c r="BEI13" s="188"/>
      <c r="BEJ13" s="188"/>
      <c r="BEK13" s="188"/>
      <c r="BEL13" s="188"/>
      <c r="BEM13" s="188"/>
      <c r="BEN13" s="188"/>
      <c r="BEO13" s="188"/>
      <c r="BEP13" s="188"/>
      <c r="BEQ13" s="188"/>
      <c r="BER13" s="188"/>
      <c r="BES13" s="188"/>
      <c r="BET13" s="188"/>
      <c r="BEU13" s="188"/>
      <c r="BEV13" s="188"/>
      <c r="BEW13" s="189"/>
      <c r="BEX13" s="187" t="s">
        <v>69</v>
      </c>
      <c r="BEY13" s="188"/>
      <c r="BEZ13" s="188"/>
      <c r="BFA13" s="188"/>
      <c r="BFB13" s="188"/>
      <c r="BFC13" s="188"/>
      <c r="BFD13" s="188"/>
      <c r="BFE13" s="188"/>
      <c r="BFF13" s="188"/>
      <c r="BFG13" s="188"/>
      <c r="BFH13" s="188"/>
      <c r="BFI13" s="188"/>
      <c r="BFJ13" s="188"/>
      <c r="BFK13" s="188"/>
      <c r="BFL13" s="188"/>
      <c r="BFM13" s="188"/>
      <c r="BFN13" s="188"/>
      <c r="BFO13" s="188"/>
      <c r="BFP13" s="188"/>
      <c r="BFQ13" s="188"/>
      <c r="BFR13" s="188"/>
      <c r="BFS13" s="188"/>
      <c r="BFT13" s="188"/>
      <c r="BFU13" s="188"/>
      <c r="BFV13" s="188"/>
      <c r="BFW13" s="188"/>
      <c r="BFX13" s="188"/>
      <c r="BFY13" s="188"/>
      <c r="BFZ13" s="188"/>
      <c r="BGA13" s="188"/>
      <c r="BGB13" s="188"/>
      <c r="BGC13" s="188"/>
      <c r="BGD13" s="188"/>
      <c r="BGE13" s="188"/>
      <c r="BGF13" s="188"/>
      <c r="BGG13" s="188"/>
      <c r="BGH13" s="188"/>
      <c r="BGI13" s="188"/>
      <c r="BGJ13" s="188"/>
      <c r="BGK13" s="188"/>
      <c r="BGL13" s="188"/>
      <c r="BGM13" s="188"/>
      <c r="BGN13" s="188"/>
      <c r="BGO13" s="188"/>
      <c r="BGP13" s="188"/>
      <c r="BGQ13" s="188"/>
      <c r="BGR13" s="188"/>
      <c r="BGS13" s="188"/>
      <c r="BGT13" s="188"/>
      <c r="BGU13" s="188"/>
      <c r="BGV13" s="188"/>
      <c r="BGW13" s="188"/>
      <c r="BGX13" s="188"/>
      <c r="BGY13" s="188"/>
      <c r="BGZ13" s="188"/>
      <c r="BHA13" s="188"/>
      <c r="BHB13" s="188"/>
      <c r="BHC13" s="188"/>
      <c r="BHD13" s="188"/>
      <c r="BHE13" s="189"/>
      <c r="BHF13" s="187" t="s">
        <v>68</v>
      </c>
      <c r="BHG13" s="188"/>
      <c r="BHH13" s="188"/>
      <c r="BHI13" s="188"/>
      <c r="BHJ13" s="188"/>
      <c r="BHK13" s="188"/>
      <c r="BHL13" s="188"/>
      <c r="BHM13" s="188"/>
      <c r="BHN13" s="188"/>
      <c r="BHO13" s="188"/>
      <c r="BHP13" s="188"/>
      <c r="BHQ13" s="188"/>
      <c r="BHR13" s="188"/>
      <c r="BHS13" s="188"/>
      <c r="BHT13" s="188"/>
      <c r="BHU13" s="188"/>
      <c r="BHV13" s="188"/>
      <c r="BHW13" s="188"/>
      <c r="BHX13" s="188"/>
      <c r="BHY13" s="188"/>
      <c r="BHZ13" s="188"/>
      <c r="BIA13" s="188"/>
      <c r="BIB13" s="188"/>
      <c r="BIC13" s="188"/>
      <c r="BID13" s="188"/>
      <c r="BIE13" s="188"/>
      <c r="BIF13" s="188"/>
      <c r="BIG13" s="188"/>
      <c r="BIH13" s="188"/>
      <c r="BII13" s="188"/>
      <c r="BIJ13" s="188"/>
      <c r="BIK13" s="188"/>
      <c r="BIL13" s="188"/>
      <c r="BIM13" s="188"/>
      <c r="BIN13" s="188"/>
      <c r="BIO13" s="188"/>
      <c r="BIP13" s="188"/>
      <c r="BIQ13" s="188"/>
      <c r="BIR13" s="188"/>
      <c r="BIS13" s="188"/>
      <c r="BIT13" s="188"/>
      <c r="BIU13" s="188"/>
      <c r="BIV13" s="188"/>
      <c r="BIW13" s="188"/>
      <c r="BIX13" s="188"/>
      <c r="BIY13" s="188"/>
      <c r="BIZ13" s="188"/>
      <c r="BJA13" s="188"/>
      <c r="BJB13" s="188"/>
      <c r="BJC13" s="188"/>
      <c r="BJD13" s="188"/>
      <c r="BJE13" s="188"/>
      <c r="BJF13" s="188"/>
      <c r="BJG13" s="188"/>
      <c r="BJH13" s="188"/>
      <c r="BJI13" s="188"/>
      <c r="BJJ13" s="188"/>
      <c r="BJK13" s="188"/>
      <c r="BJL13" s="188"/>
      <c r="BJM13" s="189"/>
      <c r="BJN13" s="187" t="s">
        <v>66</v>
      </c>
      <c r="BJO13" s="188"/>
      <c r="BJP13" s="188"/>
      <c r="BJQ13" s="188"/>
      <c r="BJR13" s="188"/>
      <c r="BJS13" s="188"/>
      <c r="BJT13" s="188"/>
      <c r="BJU13" s="188"/>
      <c r="BJV13" s="188"/>
      <c r="BJW13" s="188"/>
      <c r="BJX13" s="188"/>
      <c r="BJY13" s="188"/>
      <c r="BJZ13" s="188"/>
      <c r="BKA13" s="188"/>
      <c r="BKB13" s="188"/>
      <c r="BKC13" s="188"/>
      <c r="BKD13" s="188"/>
      <c r="BKE13" s="188"/>
      <c r="BKF13" s="188"/>
      <c r="BKG13" s="188"/>
      <c r="BKH13" s="188"/>
      <c r="BKI13" s="188"/>
      <c r="BKJ13" s="188"/>
      <c r="BKK13" s="188"/>
      <c r="BKL13" s="188"/>
      <c r="BKM13" s="188"/>
      <c r="BKN13" s="188"/>
      <c r="BKO13" s="188"/>
      <c r="BKP13" s="188"/>
      <c r="BKQ13" s="188"/>
      <c r="BKR13" s="188"/>
      <c r="BKS13" s="188"/>
      <c r="BKT13" s="188"/>
      <c r="BKU13" s="188"/>
      <c r="BKV13" s="188"/>
      <c r="BKW13" s="188"/>
      <c r="BKX13" s="188"/>
      <c r="BKY13" s="188"/>
      <c r="BKZ13" s="188"/>
      <c r="BLA13" s="188"/>
      <c r="BLB13" s="188"/>
      <c r="BLC13" s="188"/>
      <c r="BLD13" s="188"/>
      <c r="BLE13" s="188"/>
      <c r="BLF13" s="188"/>
      <c r="BLG13" s="188"/>
      <c r="BLH13" s="188"/>
      <c r="BLI13" s="188"/>
      <c r="BLJ13" s="188"/>
      <c r="BLK13" s="188"/>
      <c r="BLL13" s="188"/>
      <c r="BLM13" s="188"/>
      <c r="BLN13" s="188"/>
      <c r="BLO13" s="188"/>
      <c r="BLP13" s="188"/>
      <c r="BLQ13" s="188"/>
      <c r="BLR13" s="188"/>
      <c r="BLS13" s="188"/>
      <c r="BLT13" s="188"/>
      <c r="BLU13" s="189"/>
      <c r="BLV13" s="187" t="s">
        <v>64</v>
      </c>
      <c r="BLW13" s="188"/>
      <c r="BLX13" s="188"/>
      <c r="BLY13" s="188"/>
      <c r="BLZ13" s="188"/>
      <c r="BMA13" s="188"/>
      <c r="BMB13" s="188"/>
      <c r="BMC13" s="188"/>
      <c r="BMD13" s="188"/>
      <c r="BME13" s="188"/>
      <c r="BMF13" s="188"/>
      <c r="BMG13" s="188"/>
      <c r="BMH13" s="188"/>
      <c r="BMI13" s="188"/>
      <c r="BMJ13" s="188"/>
      <c r="BMK13" s="188"/>
      <c r="BML13" s="188"/>
      <c r="BMM13" s="188"/>
      <c r="BMN13" s="188"/>
      <c r="BMO13" s="188"/>
      <c r="BMP13" s="188"/>
      <c r="BMQ13" s="188"/>
      <c r="BMR13" s="188"/>
      <c r="BMS13" s="188"/>
      <c r="BMT13" s="188"/>
      <c r="BMU13" s="188"/>
      <c r="BMV13" s="188"/>
      <c r="BMW13" s="188"/>
      <c r="BMX13" s="188"/>
      <c r="BMY13" s="188"/>
      <c r="BMZ13" s="188"/>
      <c r="BNA13" s="188"/>
      <c r="BNB13" s="188"/>
      <c r="BNC13" s="188"/>
      <c r="BND13" s="188"/>
      <c r="BNE13" s="188"/>
      <c r="BNF13" s="188"/>
      <c r="BNG13" s="188"/>
      <c r="BNH13" s="188"/>
      <c r="BNI13" s="188"/>
      <c r="BNJ13" s="188"/>
      <c r="BNK13" s="188"/>
      <c r="BNL13" s="188"/>
      <c r="BNM13" s="188"/>
      <c r="BNN13" s="188"/>
      <c r="BNO13" s="188"/>
      <c r="BNP13" s="188"/>
      <c r="BNQ13" s="188"/>
      <c r="BNR13" s="188"/>
      <c r="BNS13" s="188"/>
      <c r="BNT13" s="188"/>
      <c r="BNU13" s="188"/>
      <c r="BNV13" s="188"/>
      <c r="BNW13" s="188"/>
      <c r="BNX13" s="188"/>
      <c r="BNY13" s="188"/>
      <c r="BNZ13" s="188"/>
      <c r="BOA13" s="188"/>
      <c r="BOB13" s="188"/>
      <c r="BOC13" s="189"/>
      <c r="BOD13" s="187" t="s">
        <v>63</v>
      </c>
      <c r="BOE13" s="188"/>
      <c r="BOF13" s="188"/>
      <c r="BOG13" s="188"/>
      <c r="BOH13" s="188"/>
      <c r="BOI13" s="188"/>
      <c r="BOJ13" s="188"/>
      <c r="BOK13" s="188"/>
      <c r="BOL13" s="188"/>
      <c r="BOM13" s="188"/>
      <c r="BON13" s="188"/>
      <c r="BOO13" s="188"/>
      <c r="BOP13" s="188"/>
      <c r="BOQ13" s="188"/>
      <c r="BOR13" s="188"/>
      <c r="BOS13" s="188"/>
      <c r="BOT13" s="188"/>
      <c r="BOU13" s="188"/>
      <c r="BOV13" s="188"/>
      <c r="BOW13" s="188"/>
      <c r="BOX13" s="188"/>
      <c r="BOY13" s="188"/>
      <c r="BOZ13" s="188"/>
      <c r="BPA13" s="188"/>
      <c r="BPB13" s="188"/>
      <c r="BPC13" s="188"/>
      <c r="BPD13" s="188"/>
      <c r="BPE13" s="188"/>
      <c r="BPF13" s="188"/>
      <c r="BPG13" s="188"/>
      <c r="BPH13" s="188"/>
      <c r="BPI13" s="188"/>
      <c r="BPJ13" s="188"/>
      <c r="BPK13" s="188"/>
      <c r="BPL13" s="188"/>
      <c r="BPM13" s="188"/>
      <c r="BPN13" s="188"/>
      <c r="BPO13" s="188"/>
      <c r="BPP13" s="188"/>
      <c r="BPQ13" s="188"/>
      <c r="BPR13" s="188"/>
      <c r="BPS13" s="188"/>
      <c r="BPT13" s="188"/>
      <c r="BPU13" s="188"/>
      <c r="BPV13" s="188"/>
      <c r="BPW13" s="188"/>
      <c r="BPX13" s="188"/>
      <c r="BPY13" s="188"/>
      <c r="BPZ13" s="188"/>
      <c r="BQA13" s="188"/>
      <c r="BQB13" s="188"/>
      <c r="BQC13" s="188"/>
      <c r="BQD13" s="188"/>
      <c r="BQE13" s="188"/>
      <c r="BQF13" s="188"/>
      <c r="BQG13" s="188"/>
      <c r="BQH13" s="188"/>
      <c r="BQI13" s="188"/>
      <c r="BQJ13" s="188"/>
      <c r="BQK13" s="189"/>
      <c r="BQL13" s="187" t="s">
        <v>61</v>
      </c>
      <c r="BQM13" s="188"/>
      <c r="BQN13" s="188"/>
      <c r="BQO13" s="188"/>
      <c r="BQP13" s="188"/>
      <c r="BQQ13" s="188"/>
      <c r="BQR13" s="188"/>
      <c r="BQS13" s="188"/>
      <c r="BQT13" s="188"/>
      <c r="BQU13" s="188"/>
      <c r="BQV13" s="188"/>
      <c r="BQW13" s="188"/>
      <c r="BQX13" s="188"/>
      <c r="BQY13" s="188"/>
      <c r="BQZ13" s="188"/>
      <c r="BRA13" s="188"/>
      <c r="BRB13" s="188"/>
      <c r="BRC13" s="188"/>
      <c r="BRD13" s="188"/>
      <c r="BRE13" s="188"/>
      <c r="BRF13" s="188"/>
      <c r="BRG13" s="188"/>
      <c r="BRH13" s="188"/>
      <c r="BRI13" s="188"/>
      <c r="BRJ13" s="188"/>
      <c r="BRK13" s="188"/>
      <c r="BRL13" s="188"/>
      <c r="BRM13" s="188"/>
      <c r="BRN13" s="188"/>
      <c r="BRO13" s="188"/>
      <c r="BRP13" s="188"/>
      <c r="BRQ13" s="188"/>
      <c r="BRR13" s="188"/>
      <c r="BRS13" s="188"/>
      <c r="BRT13" s="188"/>
      <c r="BRU13" s="188"/>
      <c r="BRV13" s="188"/>
      <c r="BRW13" s="188"/>
      <c r="BRX13" s="188"/>
      <c r="BRY13" s="188"/>
      <c r="BRZ13" s="188"/>
      <c r="BSA13" s="188"/>
      <c r="BSB13" s="188"/>
      <c r="BSC13" s="188"/>
      <c r="BSD13" s="188"/>
      <c r="BSE13" s="188"/>
      <c r="BSF13" s="188"/>
      <c r="BSG13" s="188"/>
      <c r="BSH13" s="188"/>
      <c r="BSI13" s="188"/>
      <c r="BSJ13" s="188"/>
      <c r="BSK13" s="188"/>
      <c r="BSL13" s="188"/>
      <c r="BSM13" s="188"/>
      <c r="BSN13" s="188"/>
      <c r="BSO13" s="188"/>
      <c r="BSP13" s="188"/>
      <c r="BSQ13" s="188"/>
      <c r="BSR13" s="188"/>
      <c r="BSS13" s="189"/>
      <c r="BST13" s="187" t="s">
        <v>60</v>
      </c>
      <c r="BSU13" s="188"/>
      <c r="BSV13" s="188"/>
      <c r="BSW13" s="188"/>
      <c r="BSX13" s="188"/>
      <c r="BSY13" s="188"/>
      <c r="BSZ13" s="188"/>
      <c r="BTA13" s="188"/>
      <c r="BTB13" s="188"/>
      <c r="BTC13" s="188"/>
      <c r="BTD13" s="188"/>
      <c r="BTE13" s="188"/>
      <c r="BTF13" s="188"/>
      <c r="BTG13" s="188"/>
      <c r="BTH13" s="188"/>
      <c r="BTI13" s="188"/>
      <c r="BTJ13" s="188"/>
      <c r="BTK13" s="188"/>
      <c r="BTL13" s="188"/>
      <c r="BTM13" s="188"/>
      <c r="BTN13" s="188"/>
      <c r="BTO13" s="188"/>
      <c r="BTP13" s="188"/>
      <c r="BTQ13" s="188"/>
      <c r="BTR13" s="188"/>
      <c r="BTS13" s="188"/>
      <c r="BTT13" s="188"/>
      <c r="BTU13" s="188"/>
      <c r="BTV13" s="188"/>
      <c r="BTW13" s="188"/>
      <c r="BTX13" s="188"/>
      <c r="BTY13" s="188"/>
      <c r="BTZ13" s="188"/>
      <c r="BUA13" s="188"/>
      <c r="BUB13" s="188"/>
      <c r="BUC13" s="188"/>
      <c r="BUD13" s="188"/>
      <c r="BUE13" s="188"/>
      <c r="BUF13" s="188"/>
      <c r="BUG13" s="188"/>
      <c r="BUH13" s="188"/>
      <c r="BUI13" s="188"/>
      <c r="BUJ13" s="188"/>
      <c r="BUK13" s="188"/>
      <c r="BUL13" s="188"/>
      <c r="BUM13" s="188"/>
      <c r="BUN13" s="188"/>
      <c r="BUO13" s="188"/>
      <c r="BUP13" s="188"/>
      <c r="BUQ13" s="188"/>
      <c r="BUR13" s="188"/>
      <c r="BUS13" s="188"/>
      <c r="BUT13" s="188"/>
      <c r="BUU13" s="188"/>
      <c r="BUV13" s="188"/>
      <c r="BUW13" s="188"/>
      <c r="BUX13" s="188"/>
      <c r="BUY13" s="188"/>
      <c r="BUZ13" s="188"/>
      <c r="BVA13" s="189"/>
      <c r="BVB13" s="187" t="s">
        <v>58</v>
      </c>
      <c r="BVC13" s="188"/>
      <c r="BVD13" s="188"/>
      <c r="BVE13" s="188"/>
      <c r="BVF13" s="188"/>
      <c r="BVG13" s="188"/>
      <c r="BVH13" s="188"/>
      <c r="BVI13" s="188"/>
      <c r="BVJ13" s="188"/>
      <c r="BVK13" s="188"/>
      <c r="BVL13" s="188"/>
      <c r="BVM13" s="188"/>
      <c r="BVN13" s="188"/>
      <c r="BVO13" s="188"/>
      <c r="BVP13" s="188"/>
      <c r="BVQ13" s="188"/>
      <c r="BVR13" s="188"/>
      <c r="BVS13" s="188"/>
      <c r="BVT13" s="188"/>
      <c r="BVU13" s="188"/>
      <c r="BVV13" s="188"/>
      <c r="BVW13" s="188"/>
      <c r="BVX13" s="188"/>
      <c r="BVY13" s="188"/>
      <c r="BVZ13" s="188"/>
      <c r="BWA13" s="188"/>
      <c r="BWB13" s="188"/>
      <c r="BWC13" s="188"/>
      <c r="BWD13" s="188"/>
      <c r="BWE13" s="188"/>
      <c r="BWF13" s="188"/>
      <c r="BWG13" s="188"/>
      <c r="BWH13" s="188"/>
      <c r="BWI13" s="188"/>
      <c r="BWJ13" s="188"/>
      <c r="BWK13" s="188"/>
      <c r="BWL13" s="188"/>
      <c r="BWM13" s="188"/>
      <c r="BWN13" s="188"/>
      <c r="BWO13" s="188"/>
      <c r="BWP13" s="188"/>
      <c r="BWQ13" s="188"/>
      <c r="BWR13" s="188"/>
      <c r="BWS13" s="188"/>
      <c r="BWT13" s="188"/>
      <c r="BWU13" s="188"/>
      <c r="BWV13" s="188"/>
      <c r="BWW13" s="188"/>
      <c r="BWX13" s="188"/>
      <c r="BWY13" s="188"/>
      <c r="BWZ13" s="188"/>
      <c r="BXA13" s="188"/>
      <c r="BXB13" s="188"/>
      <c r="BXC13" s="188"/>
      <c r="BXD13" s="188"/>
      <c r="BXE13" s="188"/>
      <c r="BXF13" s="188"/>
      <c r="BXG13" s="188"/>
      <c r="BXH13" s="188"/>
      <c r="BXI13" s="189"/>
      <c r="BXJ13" s="187" t="s">
        <v>56</v>
      </c>
      <c r="BXK13" s="188"/>
      <c r="BXL13" s="188"/>
      <c r="BXM13" s="188"/>
      <c r="BXN13" s="188"/>
      <c r="BXO13" s="188"/>
      <c r="BXP13" s="188"/>
      <c r="BXQ13" s="188"/>
      <c r="BXR13" s="188"/>
      <c r="BXS13" s="188"/>
      <c r="BXT13" s="188"/>
      <c r="BXU13" s="188"/>
      <c r="BXV13" s="188"/>
      <c r="BXW13" s="188"/>
      <c r="BXX13" s="188"/>
      <c r="BXY13" s="188"/>
      <c r="BXZ13" s="188"/>
      <c r="BYA13" s="188"/>
      <c r="BYB13" s="188"/>
      <c r="BYC13" s="188"/>
      <c r="BYD13" s="188"/>
      <c r="BYE13" s="188"/>
      <c r="BYF13" s="188"/>
      <c r="BYG13" s="188"/>
      <c r="BYH13" s="188"/>
      <c r="BYI13" s="188"/>
      <c r="BYJ13" s="188"/>
      <c r="BYK13" s="188"/>
      <c r="BYL13" s="188"/>
      <c r="BYM13" s="188"/>
      <c r="BYN13" s="188"/>
      <c r="BYO13" s="188"/>
      <c r="BYP13" s="188"/>
      <c r="BYQ13" s="188"/>
      <c r="BYR13" s="188"/>
      <c r="BYS13" s="188"/>
      <c r="BYT13" s="188"/>
      <c r="BYU13" s="188"/>
      <c r="BYV13" s="188"/>
      <c r="BYW13" s="188"/>
      <c r="BYX13" s="188"/>
      <c r="BYY13" s="188"/>
      <c r="BYZ13" s="188"/>
      <c r="BZA13" s="188"/>
      <c r="BZB13" s="188"/>
      <c r="BZC13" s="188"/>
      <c r="BZD13" s="188"/>
      <c r="BZE13" s="188"/>
      <c r="BZF13" s="188"/>
      <c r="BZG13" s="188"/>
      <c r="BZH13" s="188"/>
      <c r="BZI13" s="188"/>
      <c r="BZJ13" s="188"/>
      <c r="BZK13" s="188"/>
      <c r="BZL13" s="188"/>
      <c r="BZM13" s="188"/>
      <c r="BZN13" s="188"/>
      <c r="BZO13" s="188"/>
      <c r="BZP13" s="188"/>
      <c r="BZQ13" s="189"/>
      <c r="BZR13" s="187" t="s">
        <v>14</v>
      </c>
      <c r="BZS13" s="188"/>
      <c r="BZT13" s="188"/>
      <c r="BZU13" s="188"/>
      <c r="BZV13" s="188"/>
      <c r="BZW13" s="188"/>
      <c r="BZX13" s="188"/>
      <c r="BZY13" s="188"/>
      <c r="BZZ13" s="188"/>
      <c r="CAA13" s="188"/>
      <c r="CAB13" s="188"/>
      <c r="CAC13" s="188"/>
      <c r="CAD13" s="188"/>
      <c r="CAE13" s="188"/>
      <c r="CAF13" s="188"/>
      <c r="CAG13" s="188"/>
      <c r="CAH13" s="188"/>
      <c r="CAI13" s="188"/>
      <c r="CAJ13" s="188"/>
      <c r="CAK13" s="188"/>
      <c r="CAL13" s="188"/>
      <c r="CAM13" s="188"/>
      <c r="CAN13" s="188"/>
      <c r="CAO13" s="188"/>
      <c r="CAP13" s="188"/>
      <c r="CAQ13" s="188"/>
      <c r="CAR13" s="188"/>
      <c r="CAS13" s="188"/>
      <c r="CAT13" s="188"/>
      <c r="CAU13" s="188"/>
      <c r="CAV13" s="188"/>
      <c r="CAW13" s="188"/>
      <c r="CAX13" s="188"/>
      <c r="CAY13" s="188"/>
      <c r="CAZ13" s="188"/>
      <c r="CBA13" s="188"/>
      <c r="CBB13" s="188"/>
      <c r="CBC13" s="188"/>
      <c r="CBD13" s="188"/>
      <c r="CBE13" s="188"/>
      <c r="CBF13" s="188"/>
      <c r="CBG13" s="188"/>
      <c r="CBH13" s="188"/>
      <c r="CBI13" s="188"/>
      <c r="CBJ13" s="188"/>
      <c r="CBK13" s="188"/>
      <c r="CBL13" s="188"/>
      <c r="CBM13" s="188"/>
      <c r="CBN13" s="188"/>
      <c r="CBO13" s="188"/>
      <c r="CBP13" s="188"/>
      <c r="CBQ13" s="188"/>
      <c r="CBR13" s="188"/>
      <c r="CBS13" s="188"/>
      <c r="CBT13" s="188"/>
      <c r="CBU13" s="188"/>
      <c r="CBV13" s="188"/>
      <c r="CBW13" s="188"/>
      <c r="CBX13" s="188"/>
      <c r="CBY13" s="189"/>
      <c r="CBZ13" s="90"/>
    </row>
    <row r="14" spans="1:2106" ht="12.75" customHeight="1" thickBot="1" x14ac:dyDescent="0.35">
      <c r="B14" s="96"/>
      <c r="C14" s="175"/>
      <c r="D14" s="146"/>
      <c r="E14" s="177"/>
      <c r="F14" s="103"/>
      <c r="G14" s="104"/>
      <c r="H14" s="104"/>
      <c r="I14" s="104"/>
      <c r="J14" s="190" t="s">
        <v>38</v>
      </c>
      <c r="K14" s="190"/>
      <c r="L14" s="190"/>
      <c r="M14" s="190"/>
      <c r="N14" s="104"/>
      <c r="O14" s="104"/>
      <c r="P14" s="191" t="s">
        <v>26</v>
      </c>
      <c r="Q14" s="191"/>
      <c r="R14" s="191"/>
      <c r="S14" s="191"/>
      <c r="T14" s="129"/>
      <c r="U14" s="129"/>
      <c r="V14" s="190" t="s">
        <v>39</v>
      </c>
      <c r="W14" s="190"/>
      <c r="X14" s="190"/>
      <c r="Y14" s="190"/>
      <c r="Z14" s="104"/>
      <c r="AA14" s="104"/>
      <c r="AB14" s="191" t="s">
        <v>27</v>
      </c>
      <c r="AC14" s="191"/>
      <c r="AD14" s="191"/>
      <c r="AE14" s="191"/>
      <c r="AF14" s="129"/>
      <c r="AG14" s="129"/>
      <c r="AH14" s="190" t="s">
        <v>40</v>
      </c>
      <c r="AI14" s="190"/>
      <c r="AJ14" s="190"/>
      <c r="AK14" s="190"/>
      <c r="AL14" s="104"/>
      <c r="AM14" s="104"/>
      <c r="AN14" s="191" t="s">
        <v>28</v>
      </c>
      <c r="AO14" s="191"/>
      <c r="AP14" s="191"/>
      <c r="AQ14" s="191"/>
      <c r="AR14" s="129"/>
      <c r="AS14" s="129"/>
      <c r="AT14" s="190" t="s">
        <v>41</v>
      </c>
      <c r="AU14" s="190"/>
      <c r="AV14" s="190"/>
      <c r="AW14" s="190"/>
      <c r="AX14" s="104"/>
      <c r="AY14" s="104"/>
      <c r="AZ14" s="191" t="s">
        <v>29</v>
      </c>
      <c r="BA14" s="191"/>
      <c r="BB14" s="191"/>
      <c r="BC14" s="191"/>
      <c r="BD14" s="129"/>
      <c r="BE14" s="129"/>
      <c r="BF14" s="190" t="s">
        <v>42</v>
      </c>
      <c r="BG14" s="190"/>
      <c r="BH14" s="190"/>
      <c r="BI14" s="190"/>
      <c r="BJ14" s="104"/>
      <c r="BK14" s="104"/>
      <c r="BL14" s="104"/>
      <c r="BM14" s="105"/>
      <c r="BN14" s="103"/>
      <c r="BO14" s="104"/>
      <c r="BP14" s="104"/>
      <c r="BQ14" s="104"/>
      <c r="BR14" s="190" t="s">
        <v>38</v>
      </c>
      <c r="BS14" s="190"/>
      <c r="BT14" s="190"/>
      <c r="BU14" s="190"/>
      <c r="BV14" s="104"/>
      <c r="BW14" s="104"/>
      <c r="BX14" s="191" t="s">
        <v>26</v>
      </c>
      <c r="BY14" s="191"/>
      <c r="BZ14" s="191"/>
      <c r="CA14" s="191"/>
      <c r="CB14" s="129"/>
      <c r="CC14" s="129"/>
      <c r="CD14" s="190" t="s">
        <v>39</v>
      </c>
      <c r="CE14" s="190"/>
      <c r="CF14" s="190"/>
      <c r="CG14" s="190"/>
      <c r="CH14" s="104"/>
      <c r="CI14" s="104"/>
      <c r="CJ14" s="191" t="s">
        <v>27</v>
      </c>
      <c r="CK14" s="191"/>
      <c r="CL14" s="191"/>
      <c r="CM14" s="191"/>
      <c r="CN14" s="129"/>
      <c r="CO14" s="129"/>
      <c r="CP14" s="190" t="s">
        <v>40</v>
      </c>
      <c r="CQ14" s="190"/>
      <c r="CR14" s="190"/>
      <c r="CS14" s="190"/>
      <c r="CT14" s="104"/>
      <c r="CU14" s="104"/>
      <c r="CV14" s="191" t="s">
        <v>28</v>
      </c>
      <c r="CW14" s="191"/>
      <c r="CX14" s="191"/>
      <c r="CY14" s="191"/>
      <c r="CZ14" s="129"/>
      <c r="DA14" s="129"/>
      <c r="DB14" s="190" t="s">
        <v>41</v>
      </c>
      <c r="DC14" s="190"/>
      <c r="DD14" s="190"/>
      <c r="DE14" s="190"/>
      <c r="DF14" s="104"/>
      <c r="DG14" s="104"/>
      <c r="DH14" s="191" t="s">
        <v>29</v>
      </c>
      <c r="DI14" s="191"/>
      <c r="DJ14" s="191"/>
      <c r="DK14" s="191"/>
      <c r="DL14" s="129"/>
      <c r="DM14" s="129"/>
      <c r="DN14" s="190" t="s">
        <v>42</v>
      </c>
      <c r="DO14" s="190"/>
      <c r="DP14" s="190"/>
      <c r="DQ14" s="190"/>
      <c r="DR14" s="104"/>
      <c r="DS14" s="104"/>
      <c r="DT14" s="104"/>
      <c r="DU14" s="105"/>
      <c r="DV14" s="103"/>
      <c r="DW14" s="104"/>
      <c r="DX14" s="104"/>
      <c r="DY14" s="104"/>
      <c r="DZ14" s="190" t="s">
        <v>38</v>
      </c>
      <c r="EA14" s="190"/>
      <c r="EB14" s="190"/>
      <c r="EC14" s="190"/>
      <c r="ED14" s="104"/>
      <c r="EE14" s="104"/>
      <c r="EF14" s="191" t="s">
        <v>26</v>
      </c>
      <c r="EG14" s="191"/>
      <c r="EH14" s="191"/>
      <c r="EI14" s="191"/>
      <c r="EJ14" s="129"/>
      <c r="EK14" s="129"/>
      <c r="EL14" s="190" t="s">
        <v>39</v>
      </c>
      <c r="EM14" s="190"/>
      <c r="EN14" s="190"/>
      <c r="EO14" s="190"/>
      <c r="EP14" s="104"/>
      <c r="EQ14" s="104"/>
      <c r="ER14" s="191" t="s">
        <v>27</v>
      </c>
      <c r="ES14" s="191"/>
      <c r="ET14" s="191"/>
      <c r="EU14" s="191"/>
      <c r="EV14" s="129"/>
      <c r="EW14" s="129"/>
      <c r="EX14" s="190" t="s">
        <v>40</v>
      </c>
      <c r="EY14" s="190"/>
      <c r="EZ14" s="190"/>
      <c r="FA14" s="190"/>
      <c r="FB14" s="104"/>
      <c r="FC14" s="104"/>
      <c r="FD14" s="191" t="s">
        <v>28</v>
      </c>
      <c r="FE14" s="191"/>
      <c r="FF14" s="191"/>
      <c r="FG14" s="191"/>
      <c r="FH14" s="129"/>
      <c r="FI14" s="129"/>
      <c r="FJ14" s="190" t="s">
        <v>41</v>
      </c>
      <c r="FK14" s="190"/>
      <c r="FL14" s="190"/>
      <c r="FM14" s="190"/>
      <c r="FN14" s="104"/>
      <c r="FO14" s="104"/>
      <c r="FP14" s="191" t="s">
        <v>29</v>
      </c>
      <c r="FQ14" s="191"/>
      <c r="FR14" s="191"/>
      <c r="FS14" s="191"/>
      <c r="FT14" s="129"/>
      <c r="FU14" s="129"/>
      <c r="FV14" s="190" t="s">
        <v>42</v>
      </c>
      <c r="FW14" s="190"/>
      <c r="FX14" s="190"/>
      <c r="FY14" s="190"/>
      <c r="FZ14" s="104"/>
      <c r="GA14" s="104"/>
      <c r="GB14" s="104"/>
      <c r="GC14" s="105"/>
      <c r="GD14" s="103"/>
      <c r="GE14" s="104"/>
      <c r="GF14" s="104"/>
      <c r="GG14" s="104"/>
      <c r="GH14" s="190" t="s">
        <v>38</v>
      </c>
      <c r="GI14" s="190"/>
      <c r="GJ14" s="190"/>
      <c r="GK14" s="190"/>
      <c r="GL14" s="104"/>
      <c r="GM14" s="104"/>
      <c r="GN14" s="191" t="s">
        <v>26</v>
      </c>
      <c r="GO14" s="191"/>
      <c r="GP14" s="191"/>
      <c r="GQ14" s="191"/>
      <c r="GR14" s="129"/>
      <c r="GS14" s="129"/>
      <c r="GT14" s="190" t="s">
        <v>39</v>
      </c>
      <c r="GU14" s="190"/>
      <c r="GV14" s="190"/>
      <c r="GW14" s="190"/>
      <c r="GX14" s="104"/>
      <c r="GY14" s="104"/>
      <c r="GZ14" s="191" t="s">
        <v>27</v>
      </c>
      <c r="HA14" s="191"/>
      <c r="HB14" s="191"/>
      <c r="HC14" s="191"/>
      <c r="HD14" s="129"/>
      <c r="HE14" s="129"/>
      <c r="HF14" s="190" t="s">
        <v>40</v>
      </c>
      <c r="HG14" s="190"/>
      <c r="HH14" s="190"/>
      <c r="HI14" s="190"/>
      <c r="HJ14" s="104"/>
      <c r="HK14" s="104"/>
      <c r="HL14" s="191" t="s">
        <v>28</v>
      </c>
      <c r="HM14" s="191"/>
      <c r="HN14" s="191"/>
      <c r="HO14" s="191"/>
      <c r="HP14" s="129"/>
      <c r="HQ14" s="129"/>
      <c r="HR14" s="190" t="s">
        <v>41</v>
      </c>
      <c r="HS14" s="190"/>
      <c r="HT14" s="190"/>
      <c r="HU14" s="190"/>
      <c r="HV14" s="104"/>
      <c r="HW14" s="104"/>
      <c r="HX14" s="191" t="s">
        <v>29</v>
      </c>
      <c r="HY14" s="191"/>
      <c r="HZ14" s="191"/>
      <c r="IA14" s="191"/>
      <c r="IB14" s="129"/>
      <c r="IC14" s="129"/>
      <c r="ID14" s="190" t="s">
        <v>42</v>
      </c>
      <c r="IE14" s="190"/>
      <c r="IF14" s="190"/>
      <c r="IG14" s="190"/>
      <c r="IH14" s="104"/>
      <c r="II14" s="104"/>
      <c r="IJ14" s="104"/>
      <c r="IK14" s="105"/>
      <c r="IL14" s="103"/>
      <c r="IM14" s="104"/>
      <c r="IN14" s="104"/>
      <c r="IO14" s="104"/>
      <c r="IP14" s="190" t="s">
        <v>38</v>
      </c>
      <c r="IQ14" s="190"/>
      <c r="IR14" s="190"/>
      <c r="IS14" s="190"/>
      <c r="IT14" s="104"/>
      <c r="IU14" s="104"/>
      <c r="IV14" s="191" t="s">
        <v>26</v>
      </c>
      <c r="IW14" s="191"/>
      <c r="IX14" s="191"/>
      <c r="IY14" s="191"/>
      <c r="IZ14" s="129"/>
      <c r="JA14" s="129"/>
      <c r="JB14" s="190" t="s">
        <v>39</v>
      </c>
      <c r="JC14" s="190"/>
      <c r="JD14" s="190"/>
      <c r="JE14" s="190"/>
      <c r="JF14" s="104"/>
      <c r="JG14" s="104"/>
      <c r="JH14" s="191" t="s">
        <v>27</v>
      </c>
      <c r="JI14" s="191"/>
      <c r="JJ14" s="191"/>
      <c r="JK14" s="191"/>
      <c r="JL14" s="129"/>
      <c r="JM14" s="129"/>
      <c r="JN14" s="190" t="s">
        <v>40</v>
      </c>
      <c r="JO14" s="190"/>
      <c r="JP14" s="190"/>
      <c r="JQ14" s="190"/>
      <c r="JR14" s="104"/>
      <c r="JS14" s="104"/>
      <c r="JT14" s="191" t="s">
        <v>28</v>
      </c>
      <c r="JU14" s="191"/>
      <c r="JV14" s="191"/>
      <c r="JW14" s="191"/>
      <c r="JX14" s="129"/>
      <c r="JY14" s="129"/>
      <c r="JZ14" s="190" t="s">
        <v>41</v>
      </c>
      <c r="KA14" s="190"/>
      <c r="KB14" s="190"/>
      <c r="KC14" s="190"/>
      <c r="KD14" s="104"/>
      <c r="KE14" s="104"/>
      <c r="KF14" s="191" t="s">
        <v>29</v>
      </c>
      <c r="KG14" s="191"/>
      <c r="KH14" s="191"/>
      <c r="KI14" s="191"/>
      <c r="KJ14" s="129"/>
      <c r="KK14" s="129"/>
      <c r="KL14" s="190" t="s">
        <v>42</v>
      </c>
      <c r="KM14" s="190"/>
      <c r="KN14" s="190"/>
      <c r="KO14" s="190"/>
      <c r="KP14" s="104"/>
      <c r="KQ14" s="104"/>
      <c r="KR14" s="104"/>
      <c r="KS14" s="105"/>
      <c r="KT14" s="103"/>
      <c r="KU14" s="104"/>
      <c r="KV14" s="104"/>
      <c r="KW14" s="104"/>
      <c r="KX14" s="190" t="s">
        <v>38</v>
      </c>
      <c r="KY14" s="190"/>
      <c r="KZ14" s="190"/>
      <c r="LA14" s="190"/>
      <c r="LB14" s="104"/>
      <c r="LC14" s="104"/>
      <c r="LD14" s="191" t="s">
        <v>26</v>
      </c>
      <c r="LE14" s="191"/>
      <c r="LF14" s="191"/>
      <c r="LG14" s="191"/>
      <c r="LH14" s="129"/>
      <c r="LI14" s="129"/>
      <c r="LJ14" s="190" t="s">
        <v>39</v>
      </c>
      <c r="LK14" s="190"/>
      <c r="LL14" s="190"/>
      <c r="LM14" s="190"/>
      <c r="LN14" s="104"/>
      <c r="LO14" s="104"/>
      <c r="LP14" s="191" t="s">
        <v>27</v>
      </c>
      <c r="LQ14" s="191"/>
      <c r="LR14" s="191"/>
      <c r="LS14" s="191"/>
      <c r="LT14" s="129"/>
      <c r="LU14" s="129"/>
      <c r="LV14" s="190" t="s">
        <v>40</v>
      </c>
      <c r="LW14" s="190"/>
      <c r="LX14" s="190"/>
      <c r="LY14" s="190"/>
      <c r="LZ14" s="104"/>
      <c r="MA14" s="104"/>
      <c r="MB14" s="191" t="s">
        <v>28</v>
      </c>
      <c r="MC14" s="191"/>
      <c r="MD14" s="191"/>
      <c r="ME14" s="191"/>
      <c r="MF14" s="129"/>
      <c r="MG14" s="129"/>
      <c r="MH14" s="190" t="s">
        <v>41</v>
      </c>
      <c r="MI14" s="190"/>
      <c r="MJ14" s="190"/>
      <c r="MK14" s="190"/>
      <c r="ML14" s="104"/>
      <c r="MM14" s="104"/>
      <c r="MN14" s="191" t="s">
        <v>29</v>
      </c>
      <c r="MO14" s="191"/>
      <c r="MP14" s="191"/>
      <c r="MQ14" s="191"/>
      <c r="MR14" s="129"/>
      <c r="MS14" s="129"/>
      <c r="MT14" s="190" t="s">
        <v>42</v>
      </c>
      <c r="MU14" s="190"/>
      <c r="MV14" s="190"/>
      <c r="MW14" s="190"/>
      <c r="MX14" s="104"/>
      <c r="MY14" s="104"/>
      <c r="MZ14" s="104"/>
      <c r="NA14" s="105"/>
      <c r="NB14" s="103"/>
      <c r="NC14" s="104"/>
      <c r="ND14" s="104"/>
      <c r="NE14" s="104"/>
      <c r="NF14" s="190" t="s">
        <v>38</v>
      </c>
      <c r="NG14" s="190"/>
      <c r="NH14" s="190"/>
      <c r="NI14" s="190"/>
      <c r="NJ14" s="104"/>
      <c r="NK14" s="104"/>
      <c r="NL14" s="191" t="s">
        <v>26</v>
      </c>
      <c r="NM14" s="191"/>
      <c r="NN14" s="191"/>
      <c r="NO14" s="191"/>
      <c r="NP14" s="129"/>
      <c r="NQ14" s="129"/>
      <c r="NR14" s="190" t="s">
        <v>39</v>
      </c>
      <c r="NS14" s="190"/>
      <c r="NT14" s="190"/>
      <c r="NU14" s="190"/>
      <c r="NV14" s="104"/>
      <c r="NW14" s="104"/>
      <c r="NX14" s="191" t="s">
        <v>27</v>
      </c>
      <c r="NY14" s="191"/>
      <c r="NZ14" s="191"/>
      <c r="OA14" s="191"/>
      <c r="OB14" s="129"/>
      <c r="OC14" s="129"/>
      <c r="OD14" s="190" t="s">
        <v>40</v>
      </c>
      <c r="OE14" s="190"/>
      <c r="OF14" s="190"/>
      <c r="OG14" s="190"/>
      <c r="OH14" s="104"/>
      <c r="OI14" s="104"/>
      <c r="OJ14" s="191" t="s">
        <v>28</v>
      </c>
      <c r="OK14" s="191"/>
      <c r="OL14" s="191"/>
      <c r="OM14" s="191"/>
      <c r="ON14" s="129"/>
      <c r="OO14" s="129"/>
      <c r="OP14" s="190" t="s">
        <v>41</v>
      </c>
      <c r="OQ14" s="190"/>
      <c r="OR14" s="190"/>
      <c r="OS14" s="190"/>
      <c r="OT14" s="104"/>
      <c r="OU14" s="104"/>
      <c r="OV14" s="191" t="s">
        <v>29</v>
      </c>
      <c r="OW14" s="191"/>
      <c r="OX14" s="191"/>
      <c r="OY14" s="191"/>
      <c r="OZ14" s="129"/>
      <c r="PA14" s="129"/>
      <c r="PB14" s="190" t="s">
        <v>42</v>
      </c>
      <c r="PC14" s="190"/>
      <c r="PD14" s="190"/>
      <c r="PE14" s="190"/>
      <c r="PF14" s="104"/>
      <c r="PG14" s="104"/>
      <c r="PH14" s="104"/>
      <c r="PI14" s="105"/>
      <c r="PJ14" s="103"/>
      <c r="PK14" s="104"/>
      <c r="PL14" s="104"/>
      <c r="PM14" s="104"/>
      <c r="PN14" s="190" t="s">
        <v>38</v>
      </c>
      <c r="PO14" s="190"/>
      <c r="PP14" s="190"/>
      <c r="PQ14" s="190"/>
      <c r="PR14" s="104"/>
      <c r="PS14" s="104"/>
      <c r="PT14" s="191" t="s">
        <v>26</v>
      </c>
      <c r="PU14" s="191"/>
      <c r="PV14" s="191"/>
      <c r="PW14" s="191"/>
      <c r="PX14" s="129"/>
      <c r="PY14" s="129"/>
      <c r="PZ14" s="190" t="s">
        <v>39</v>
      </c>
      <c r="QA14" s="190"/>
      <c r="QB14" s="190"/>
      <c r="QC14" s="190"/>
      <c r="QD14" s="104"/>
      <c r="QE14" s="104"/>
      <c r="QF14" s="191" t="s">
        <v>27</v>
      </c>
      <c r="QG14" s="191"/>
      <c r="QH14" s="191"/>
      <c r="QI14" s="191"/>
      <c r="QJ14" s="129"/>
      <c r="QK14" s="129"/>
      <c r="QL14" s="190" t="s">
        <v>40</v>
      </c>
      <c r="QM14" s="190"/>
      <c r="QN14" s="190"/>
      <c r="QO14" s="190"/>
      <c r="QP14" s="104"/>
      <c r="QQ14" s="104"/>
      <c r="QR14" s="191" t="s">
        <v>28</v>
      </c>
      <c r="QS14" s="191"/>
      <c r="QT14" s="191"/>
      <c r="QU14" s="191"/>
      <c r="QV14" s="129"/>
      <c r="QW14" s="129"/>
      <c r="QX14" s="190" t="s">
        <v>41</v>
      </c>
      <c r="QY14" s="190"/>
      <c r="QZ14" s="190"/>
      <c r="RA14" s="190"/>
      <c r="RB14" s="104"/>
      <c r="RC14" s="104"/>
      <c r="RD14" s="191" t="s">
        <v>29</v>
      </c>
      <c r="RE14" s="191"/>
      <c r="RF14" s="191"/>
      <c r="RG14" s="191"/>
      <c r="RH14" s="129"/>
      <c r="RI14" s="129"/>
      <c r="RJ14" s="190" t="s">
        <v>42</v>
      </c>
      <c r="RK14" s="190"/>
      <c r="RL14" s="190"/>
      <c r="RM14" s="190"/>
      <c r="RN14" s="104"/>
      <c r="RO14" s="104"/>
      <c r="RP14" s="104"/>
      <c r="RQ14" s="105"/>
      <c r="RR14" s="103"/>
      <c r="RS14" s="104"/>
      <c r="RT14" s="104"/>
      <c r="RU14" s="104"/>
      <c r="RV14" s="190" t="s">
        <v>38</v>
      </c>
      <c r="RW14" s="190"/>
      <c r="RX14" s="190"/>
      <c r="RY14" s="190"/>
      <c r="RZ14" s="104"/>
      <c r="SA14" s="104"/>
      <c r="SB14" s="191" t="s">
        <v>26</v>
      </c>
      <c r="SC14" s="191"/>
      <c r="SD14" s="191"/>
      <c r="SE14" s="191"/>
      <c r="SF14" s="129"/>
      <c r="SG14" s="129"/>
      <c r="SH14" s="190" t="s">
        <v>39</v>
      </c>
      <c r="SI14" s="190"/>
      <c r="SJ14" s="190"/>
      <c r="SK14" s="190"/>
      <c r="SL14" s="104"/>
      <c r="SM14" s="104"/>
      <c r="SN14" s="191" t="s">
        <v>27</v>
      </c>
      <c r="SO14" s="191"/>
      <c r="SP14" s="191"/>
      <c r="SQ14" s="191"/>
      <c r="SR14" s="129"/>
      <c r="SS14" s="129"/>
      <c r="ST14" s="190" t="s">
        <v>40</v>
      </c>
      <c r="SU14" s="190"/>
      <c r="SV14" s="190"/>
      <c r="SW14" s="190"/>
      <c r="SX14" s="104"/>
      <c r="SY14" s="104"/>
      <c r="SZ14" s="191" t="s">
        <v>28</v>
      </c>
      <c r="TA14" s="191"/>
      <c r="TB14" s="191"/>
      <c r="TC14" s="191"/>
      <c r="TD14" s="129"/>
      <c r="TE14" s="129"/>
      <c r="TF14" s="190" t="s">
        <v>41</v>
      </c>
      <c r="TG14" s="190"/>
      <c r="TH14" s="190"/>
      <c r="TI14" s="190"/>
      <c r="TJ14" s="104"/>
      <c r="TK14" s="104"/>
      <c r="TL14" s="191" t="s">
        <v>29</v>
      </c>
      <c r="TM14" s="191"/>
      <c r="TN14" s="191"/>
      <c r="TO14" s="191"/>
      <c r="TP14" s="129"/>
      <c r="TQ14" s="129"/>
      <c r="TR14" s="190" t="s">
        <v>42</v>
      </c>
      <c r="TS14" s="190"/>
      <c r="TT14" s="190"/>
      <c r="TU14" s="190"/>
      <c r="TV14" s="104"/>
      <c r="TW14" s="104"/>
      <c r="TX14" s="104"/>
      <c r="TY14" s="105"/>
      <c r="TZ14" s="103"/>
      <c r="UA14" s="104"/>
      <c r="UB14" s="104"/>
      <c r="UC14" s="104"/>
      <c r="UD14" s="190" t="s">
        <v>38</v>
      </c>
      <c r="UE14" s="190"/>
      <c r="UF14" s="190"/>
      <c r="UG14" s="190"/>
      <c r="UH14" s="104"/>
      <c r="UI14" s="104"/>
      <c r="UJ14" s="191" t="s">
        <v>26</v>
      </c>
      <c r="UK14" s="191"/>
      <c r="UL14" s="191"/>
      <c r="UM14" s="191"/>
      <c r="UN14" s="129"/>
      <c r="UO14" s="129"/>
      <c r="UP14" s="190" t="s">
        <v>39</v>
      </c>
      <c r="UQ14" s="190"/>
      <c r="UR14" s="190"/>
      <c r="US14" s="190"/>
      <c r="UT14" s="104"/>
      <c r="UU14" s="104"/>
      <c r="UV14" s="191" t="s">
        <v>27</v>
      </c>
      <c r="UW14" s="191"/>
      <c r="UX14" s="191"/>
      <c r="UY14" s="191"/>
      <c r="UZ14" s="129"/>
      <c r="VA14" s="129"/>
      <c r="VB14" s="190" t="s">
        <v>40</v>
      </c>
      <c r="VC14" s="190"/>
      <c r="VD14" s="190"/>
      <c r="VE14" s="190"/>
      <c r="VF14" s="104"/>
      <c r="VG14" s="104"/>
      <c r="VH14" s="191" t="s">
        <v>28</v>
      </c>
      <c r="VI14" s="191"/>
      <c r="VJ14" s="191"/>
      <c r="VK14" s="191"/>
      <c r="VL14" s="129"/>
      <c r="VM14" s="129"/>
      <c r="VN14" s="190" t="s">
        <v>41</v>
      </c>
      <c r="VO14" s="190"/>
      <c r="VP14" s="190"/>
      <c r="VQ14" s="190"/>
      <c r="VR14" s="104"/>
      <c r="VS14" s="104"/>
      <c r="VT14" s="191" t="s">
        <v>29</v>
      </c>
      <c r="VU14" s="191"/>
      <c r="VV14" s="191"/>
      <c r="VW14" s="191"/>
      <c r="VX14" s="129"/>
      <c r="VY14" s="129"/>
      <c r="VZ14" s="190" t="s">
        <v>42</v>
      </c>
      <c r="WA14" s="190"/>
      <c r="WB14" s="190"/>
      <c r="WC14" s="190"/>
      <c r="WD14" s="104"/>
      <c r="WE14" s="104"/>
      <c r="WF14" s="104"/>
      <c r="WG14" s="105"/>
      <c r="WH14" s="103"/>
      <c r="WI14" s="104"/>
      <c r="WJ14" s="104"/>
      <c r="WK14" s="104"/>
      <c r="WL14" s="190" t="s">
        <v>38</v>
      </c>
      <c r="WM14" s="190"/>
      <c r="WN14" s="190"/>
      <c r="WO14" s="190"/>
      <c r="WP14" s="104"/>
      <c r="WQ14" s="104"/>
      <c r="WR14" s="191" t="s">
        <v>26</v>
      </c>
      <c r="WS14" s="191"/>
      <c r="WT14" s="191"/>
      <c r="WU14" s="191"/>
      <c r="WV14" s="129"/>
      <c r="WW14" s="129"/>
      <c r="WX14" s="190" t="s">
        <v>39</v>
      </c>
      <c r="WY14" s="190"/>
      <c r="WZ14" s="190"/>
      <c r="XA14" s="190"/>
      <c r="XB14" s="104"/>
      <c r="XC14" s="104"/>
      <c r="XD14" s="191" t="s">
        <v>27</v>
      </c>
      <c r="XE14" s="191"/>
      <c r="XF14" s="191"/>
      <c r="XG14" s="191"/>
      <c r="XH14" s="129"/>
      <c r="XI14" s="129"/>
      <c r="XJ14" s="190" t="s">
        <v>40</v>
      </c>
      <c r="XK14" s="190"/>
      <c r="XL14" s="190"/>
      <c r="XM14" s="190"/>
      <c r="XN14" s="104"/>
      <c r="XO14" s="104"/>
      <c r="XP14" s="191" t="s">
        <v>28</v>
      </c>
      <c r="XQ14" s="191"/>
      <c r="XR14" s="191"/>
      <c r="XS14" s="191"/>
      <c r="XT14" s="129"/>
      <c r="XU14" s="129"/>
      <c r="XV14" s="190" t="s">
        <v>41</v>
      </c>
      <c r="XW14" s="190"/>
      <c r="XX14" s="190"/>
      <c r="XY14" s="190"/>
      <c r="XZ14" s="104"/>
      <c r="YA14" s="104"/>
      <c r="YB14" s="191" t="s">
        <v>29</v>
      </c>
      <c r="YC14" s="191"/>
      <c r="YD14" s="191"/>
      <c r="YE14" s="191"/>
      <c r="YF14" s="129"/>
      <c r="YG14" s="129"/>
      <c r="YH14" s="190" t="s">
        <v>42</v>
      </c>
      <c r="YI14" s="190"/>
      <c r="YJ14" s="190"/>
      <c r="YK14" s="190"/>
      <c r="YL14" s="104"/>
      <c r="YM14" s="104"/>
      <c r="YN14" s="104"/>
      <c r="YO14" s="105"/>
      <c r="YP14" s="103"/>
      <c r="YQ14" s="104"/>
      <c r="YR14" s="104"/>
      <c r="YS14" s="104"/>
      <c r="YT14" s="190" t="s">
        <v>38</v>
      </c>
      <c r="YU14" s="190"/>
      <c r="YV14" s="190"/>
      <c r="YW14" s="190"/>
      <c r="YX14" s="104"/>
      <c r="YY14" s="104"/>
      <c r="YZ14" s="191" t="s">
        <v>26</v>
      </c>
      <c r="ZA14" s="191"/>
      <c r="ZB14" s="191"/>
      <c r="ZC14" s="191"/>
      <c r="ZD14" s="129"/>
      <c r="ZE14" s="129"/>
      <c r="ZF14" s="190" t="s">
        <v>39</v>
      </c>
      <c r="ZG14" s="190"/>
      <c r="ZH14" s="190"/>
      <c r="ZI14" s="190"/>
      <c r="ZJ14" s="104"/>
      <c r="ZK14" s="104"/>
      <c r="ZL14" s="191" t="s">
        <v>27</v>
      </c>
      <c r="ZM14" s="191"/>
      <c r="ZN14" s="191"/>
      <c r="ZO14" s="191"/>
      <c r="ZP14" s="129"/>
      <c r="ZQ14" s="129"/>
      <c r="ZR14" s="190" t="s">
        <v>40</v>
      </c>
      <c r="ZS14" s="190"/>
      <c r="ZT14" s="190"/>
      <c r="ZU14" s="190"/>
      <c r="ZV14" s="104"/>
      <c r="ZW14" s="104"/>
      <c r="ZX14" s="191" t="s">
        <v>28</v>
      </c>
      <c r="ZY14" s="191"/>
      <c r="ZZ14" s="191"/>
      <c r="AAA14" s="191"/>
      <c r="AAB14" s="129"/>
      <c r="AAC14" s="129"/>
      <c r="AAD14" s="190" t="s">
        <v>41</v>
      </c>
      <c r="AAE14" s="190"/>
      <c r="AAF14" s="190"/>
      <c r="AAG14" s="190"/>
      <c r="AAH14" s="104"/>
      <c r="AAI14" s="104"/>
      <c r="AAJ14" s="191" t="s">
        <v>29</v>
      </c>
      <c r="AAK14" s="191"/>
      <c r="AAL14" s="191"/>
      <c r="AAM14" s="191"/>
      <c r="AAN14" s="129"/>
      <c r="AAO14" s="129"/>
      <c r="AAP14" s="190" t="s">
        <v>42</v>
      </c>
      <c r="AAQ14" s="190"/>
      <c r="AAR14" s="190"/>
      <c r="AAS14" s="190"/>
      <c r="AAT14" s="104"/>
      <c r="AAU14" s="104"/>
      <c r="AAV14" s="104"/>
      <c r="AAW14" s="105"/>
      <c r="AAX14" s="103"/>
      <c r="AAY14" s="104"/>
      <c r="AAZ14" s="104"/>
      <c r="ABA14" s="104"/>
      <c r="ABB14" s="190" t="s">
        <v>38</v>
      </c>
      <c r="ABC14" s="190"/>
      <c r="ABD14" s="190"/>
      <c r="ABE14" s="190"/>
      <c r="ABF14" s="104"/>
      <c r="ABG14" s="104"/>
      <c r="ABH14" s="191" t="s">
        <v>26</v>
      </c>
      <c r="ABI14" s="191"/>
      <c r="ABJ14" s="191"/>
      <c r="ABK14" s="191"/>
      <c r="ABL14" s="129"/>
      <c r="ABM14" s="129"/>
      <c r="ABN14" s="190" t="s">
        <v>39</v>
      </c>
      <c r="ABO14" s="190"/>
      <c r="ABP14" s="190"/>
      <c r="ABQ14" s="190"/>
      <c r="ABR14" s="104"/>
      <c r="ABS14" s="104"/>
      <c r="ABT14" s="191" t="s">
        <v>27</v>
      </c>
      <c r="ABU14" s="191"/>
      <c r="ABV14" s="191"/>
      <c r="ABW14" s="191"/>
      <c r="ABX14" s="129"/>
      <c r="ABY14" s="129"/>
      <c r="ABZ14" s="190" t="s">
        <v>40</v>
      </c>
      <c r="ACA14" s="190"/>
      <c r="ACB14" s="190"/>
      <c r="ACC14" s="190"/>
      <c r="ACD14" s="104"/>
      <c r="ACE14" s="104"/>
      <c r="ACF14" s="191" t="s">
        <v>28</v>
      </c>
      <c r="ACG14" s="191"/>
      <c r="ACH14" s="191"/>
      <c r="ACI14" s="191"/>
      <c r="ACJ14" s="129"/>
      <c r="ACK14" s="129"/>
      <c r="ACL14" s="190" t="s">
        <v>41</v>
      </c>
      <c r="ACM14" s="190"/>
      <c r="ACN14" s="190"/>
      <c r="ACO14" s="190"/>
      <c r="ACP14" s="104"/>
      <c r="ACQ14" s="104"/>
      <c r="ACR14" s="191" t="s">
        <v>29</v>
      </c>
      <c r="ACS14" s="191"/>
      <c r="ACT14" s="191"/>
      <c r="ACU14" s="191"/>
      <c r="ACV14" s="129"/>
      <c r="ACW14" s="129"/>
      <c r="ACX14" s="190" t="s">
        <v>42</v>
      </c>
      <c r="ACY14" s="190"/>
      <c r="ACZ14" s="190"/>
      <c r="ADA14" s="190"/>
      <c r="ADB14" s="104"/>
      <c r="ADC14" s="104"/>
      <c r="ADD14" s="104"/>
      <c r="ADE14" s="105"/>
      <c r="ADF14" s="103"/>
      <c r="ADG14" s="104"/>
      <c r="ADH14" s="104"/>
      <c r="ADI14" s="104"/>
      <c r="ADJ14" s="190" t="s">
        <v>38</v>
      </c>
      <c r="ADK14" s="190"/>
      <c r="ADL14" s="190"/>
      <c r="ADM14" s="190"/>
      <c r="ADN14" s="104"/>
      <c r="ADO14" s="104"/>
      <c r="ADP14" s="191" t="s">
        <v>26</v>
      </c>
      <c r="ADQ14" s="191"/>
      <c r="ADR14" s="191"/>
      <c r="ADS14" s="191"/>
      <c r="ADT14" s="129"/>
      <c r="ADU14" s="129"/>
      <c r="ADV14" s="190" t="s">
        <v>39</v>
      </c>
      <c r="ADW14" s="190"/>
      <c r="ADX14" s="190"/>
      <c r="ADY14" s="190"/>
      <c r="ADZ14" s="104"/>
      <c r="AEA14" s="104"/>
      <c r="AEB14" s="191" t="s">
        <v>27</v>
      </c>
      <c r="AEC14" s="191"/>
      <c r="AED14" s="191"/>
      <c r="AEE14" s="191"/>
      <c r="AEF14" s="129"/>
      <c r="AEG14" s="129"/>
      <c r="AEH14" s="190" t="s">
        <v>40</v>
      </c>
      <c r="AEI14" s="190"/>
      <c r="AEJ14" s="190"/>
      <c r="AEK14" s="190"/>
      <c r="AEL14" s="104"/>
      <c r="AEM14" s="104"/>
      <c r="AEN14" s="191" t="s">
        <v>28</v>
      </c>
      <c r="AEO14" s="191"/>
      <c r="AEP14" s="191"/>
      <c r="AEQ14" s="191"/>
      <c r="AER14" s="129"/>
      <c r="AES14" s="129"/>
      <c r="AET14" s="190" t="s">
        <v>41</v>
      </c>
      <c r="AEU14" s="190"/>
      <c r="AEV14" s="190"/>
      <c r="AEW14" s="190"/>
      <c r="AEX14" s="104"/>
      <c r="AEY14" s="104"/>
      <c r="AEZ14" s="191" t="s">
        <v>29</v>
      </c>
      <c r="AFA14" s="191"/>
      <c r="AFB14" s="191"/>
      <c r="AFC14" s="191"/>
      <c r="AFD14" s="129"/>
      <c r="AFE14" s="129"/>
      <c r="AFF14" s="190" t="s">
        <v>42</v>
      </c>
      <c r="AFG14" s="190"/>
      <c r="AFH14" s="190"/>
      <c r="AFI14" s="190"/>
      <c r="AFJ14" s="104"/>
      <c r="AFK14" s="104"/>
      <c r="AFL14" s="104"/>
      <c r="AFM14" s="105"/>
      <c r="AFN14" s="103"/>
      <c r="AFO14" s="104"/>
      <c r="AFP14" s="104"/>
      <c r="AFQ14" s="104"/>
      <c r="AFR14" s="190" t="s">
        <v>38</v>
      </c>
      <c r="AFS14" s="190"/>
      <c r="AFT14" s="190"/>
      <c r="AFU14" s="190"/>
      <c r="AFV14" s="104"/>
      <c r="AFW14" s="104"/>
      <c r="AFX14" s="191" t="s">
        <v>26</v>
      </c>
      <c r="AFY14" s="191"/>
      <c r="AFZ14" s="191"/>
      <c r="AGA14" s="191"/>
      <c r="AGB14" s="129"/>
      <c r="AGC14" s="129"/>
      <c r="AGD14" s="190" t="s">
        <v>39</v>
      </c>
      <c r="AGE14" s="190"/>
      <c r="AGF14" s="190"/>
      <c r="AGG14" s="190"/>
      <c r="AGH14" s="104"/>
      <c r="AGI14" s="104"/>
      <c r="AGJ14" s="191" t="s">
        <v>27</v>
      </c>
      <c r="AGK14" s="191"/>
      <c r="AGL14" s="191"/>
      <c r="AGM14" s="191"/>
      <c r="AGN14" s="129"/>
      <c r="AGO14" s="129"/>
      <c r="AGP14" s="190" t="s">
        <v>40</v>
      </c>
      <c r="AGQ14" s="190"/>
      <c r="AGR14" s="190"/>
      <c r="AGS14" s="190"/>
      <c r="AGT14" s="104"/>
      <c r="AGU14" s="104"/>
      <c r="AGV14" s="191" t="s">
        <v>28</v>
      </c>
      <c r="AGW14" s="191"/>
      <c r="AGX14" s="191"/>
      <c r="AGY14" s="191"/>
      <c r="AGZ14" s="129"/>
      <c r="AHA14" s="129"/>
      <c r="AHB14" s="190" t="s">
        <v>41</v>
      </c>
      <c r="AHC14" s="190"/>
      <c r="AHD14" s="190"/>
      <c r="AHE14" s="190"/>
      <c r="AHF14" s="104"/>
      <c r="AHG14" s="104"/>
      <c r="AHH14" s="191" t="s">
        <v>29</v>
      </c>
      <c r="AHI14" s="191"/>
      <c r="AHJ14" s="191"/>
      <c r="AHK14" s="191"/>
      <c r="AHL14" s="129"/>
      <c r="AHM14" s="129"/>
      <c r="AHN14" s="190" t="s">
        <v>42</v>
      </c>
      <c r="AHO14" s="190"/>
      <c r="AHP14" s="190"/>
      <c r="AHQ14" s="190"/>
      <c r="AHR14" s="104"/>
      <c r="AHS14" s="104"/>
      <c r="AHT14" s="104"/>
      <c r="AHU14" s="105"/>
      <c r="AHV14" s="103"/>
      <c r="AHW14" s="104"/>
      <c r="AHX14" s="104"/>
      <c r="AHY14" s="104"/>
      <c r="AHZ14" s="190" t="s">
        <v>38</v>
      </c>
      <c r="AIA14" s="190"/>
      <c r="AIB14" s="190"/>
      <c r="AIC14" s="190"/>
      <c r="AID14" s="104"/>
      <c r="AIE14" s="104"/>
      <c r="AIF14" s="191" t="s">
        <v>26</v>
      </c>
      <c r="AIG14" s="191"/>
      <c r="AIH14" s="191"/>
      <c r="AII14" s="191"/>
      <c r="AIJ14" s="129"/>
      <c r="AIK14" s="129"/>
      <c r="AIL14" s="190" t="s">
        <v>39</v>
      </c>
      <c r="AIM14" s="190"/>
      <c r="AIN14" s="190"/>
      <c r="AIO14" s="190"/>
      <c r="AIP14" s="104"/>
      <c r="AIQ14" s="104"/>
      <c r="AIR14" s="191" t="s">
        <v>27</v>
      </c>
      <c r="AIS14" s="191"/>
      <c r="AIT14" s="191"/>
      <c r="AIU14" s="191"/>
      <c r="AIV14" s="129"/>
      <c r="AIW14" s="129"/>
      <c r="AIX14" s="190" t="s">
        <v>40</v>
      </c>
      <c r="AIY14" s="190"/>
      <c r="AIZ14" s="190"/>
      <c r="AJA14" s="190"/>
      <c r="AJB14" s="104"/>
      <c r="AJC14" s="104"/>
      <c r="AJD14" s="191" t="s">
        <v>28</v>
      </c>
      <c r="AJE14" s="191"/>
      <c r="AJF14" s="191"/>
      <c r="AJG14" s="191"/>
      <c r="AJH14" s="129"/>
      <c r="AJI14" s="129"/>
      <c r="AJJ14" s="190" t="s">
        <v>41</v>
      </c>
      <c r="AJK14" s="190"/>
      <c r="AJL14" s="190"/>
      <c r="AJM14" s="190"/>
      <c r="AJN14" s="104"/>
      <c r="AJO14" s="104"/>
      <c r="AJP14" s="191" t="s">
        <v>29</v>
      </c>
      <c r="AJQ14" s="191"/>
      <c r="AJR14" s="191"/>
      <c r="AJS14" s="191"/>
      <c r="AJT14" s="129"/>
      <c r="AJU14" s="129"/>
      <c r="AJV14" s="190" t="s">
        <v>42</v>
      </c>
      <c r="AJW14" s="190"/>
      <c r="AJX14" s="190"/>
      <c r="AJY14" s="190"/>
      <c r="AJZ14" s="104"/>
      <c r="AKA14" s="104"/>
      <c r="AKB14" s="104"/>
      <c r="AKC14" s="105"/>
      <c r="AKD14" s="103"/>
      <c r="AKE14" s="104"/>
      <c r="AKF14" s="104"/>
      <c r="AKG14" s="104"/>
      <c r="AKH14" s="190" t="s">
        <v>38</v>
      </c>
      <c r="AKI14" s="190"/>
      <c r="AKJ14" s="190"/>
      <c r="AKK14" s="190"/>
      <c r="AKL14" s="104"/>
      <c r="AKM14" s="104"/>
      <c r="AKN14" s="191" t="s">
        <v>26</v>
      </c>
      <c r="AKO14" s="191"/>
      <c r="AKP14" s="191"/>
      <c r="AKQ14" s="191"/>
      <c r="AKR14" s="129"/>
      <c r="AKS14" s="129"/>
      <c r="AKT14" s="190" t="s">
        <v>39</v>
      </c>
      <c r="AKU14" s="190"/>
      <c r="AKV14" s="190"/>
      <c r="AKW14" s="190"/>
      <c r="AKX14" s="104"/>
      <c r="AKY14" s="104"/>
      <c r="AKZ14" s="191" t="s">
        <v>27</v>
      </c>
      <c r="ALA14" s="191"/>
      <c r="ALB14" s="191"/>
      <c r="ALC14" s="191"/>
      <c r="ALD14" s="129"/>
      <c r="ALE14" s="129"/>
      <c r="ALF14" s="190" t="s">
        <v>40</v>
      </c>
      <c r="ALG14" s="190"/>
      <c r="ALH14" s="190"/>
      <c r="ALI14" s="190"/>
      <c r="ALJ14" s="104"/>
      <c r="ALK14" s="104"/>
      <c r="ALL14" s="191" t="s">
        <v>28</v>
      </c>
      <c r="ALM14" s="191"/>
      <c r="ALN14" s="191"/>
      <c r="ALO14" s="191"/>
      <c r="ALP14" s="129"/>
      <c r="ALQ14" s="129"/>
      <c r="ALR14" s="190" t="s">
        <v>41</v>
      </c>
      <c r="ALS14" s="190"/>
      <c r="ALT14" s="190"/>
      <c r="ALU14" s="190"/>
      <c r="ALV14" s="104"/>
      <c r="ALW14" s="104"/>
      <c r="ALX14" s="191" t="s">
        <v>29</v>
      </c>
      <c r="ALY14" s="191"/>
      <c r="ALZ14" s="191"/>
      <c r="AMA14" s="191"/>
      <c r="AMB14" s="129"/>
      <c r="AMC14" s="129"/>
      <c r="AMD14" s="190" t="s">
        <v>42</v>
      </c>
      <c r="AME14" s="190"/>
      <c r="AMF14" s="190"/>
      <c r="AMG14" s="190"/>
      <c r="AMH14" s="104"/>
      <c r="AMI14" s="104"/>
      <c r="AMJ14" s="104"/>
      <c r="AMK14" s="105"/>
      <c r="AML14" s="103"/>
      <c r="AMM14" s="104"/>
      <c r="AMN14" s="104"/>
      <c r="AMO14" s="104"/>
      <c r="AMP14" s="190" t="s">
        <v>38</v>
      </c>
      <c r="AMQ14" s="190"/>
      <c r="AMR14" s="190"/>
      <c r="AMS14" s="190"/>
      <c r="AMT14" s="104"/>
      <c r="AMU14" s="104"/>
      <c r="AMV14" s="191" t="s">
        <v>26</v>
      </c>
      <c r="AMW14" s="191"/>
      <c r="AMX14" s="191"/>
      <c r="AMY14" s="191"/>
      <c r="AMZ14" s="129"/>
      <c r="ANA14" s="129"/>
      <c r="ANB14" s="190" t="s">
        <v>39</v>
      </c>
      <c r="ANC14" s="190"/>
      <c r="AND14" s="190"/>
      <c r="ANE14" s="190"/>
      <c r="ANF14" s="104"/>
      <c r="ANG14" s="104"/>
      <c r="ANH14" s="191" t="s">
        <v>27</v>
      </c>
      <c r="ANI14" s="191"/>
      <c r="ANJ14" s="191"/>
      <c r="ANK14" s="191"/>
      <c r="ANL14" s="129"/>
      <c r="ANM14" s="129"/>
      <c r="ANN14" s="190" t="s">
        <v>40</v>
      </c>
      <c r="ANO14" s="190"/>
      <c r="ANP14" s="190"/>
      <c r="ANQ14" s="190"/>
      <c r="ANR14" s="104"/>
      <c r="ANS14" s="104"/>
      <c r="ANT14" s="191" t="s">
        <v>28</v>
      </c>
      <c r="ANU14" s="191"/>
      <c r="ANV14" s="191"/>
      <c r="ANW14" s="191"/>
      <c r="ANX14" s="129"/>
      <c r="ANY14" s="129"/>
      <c r="ANZ14" s="190" t="s">
        <v>41</v>
      </c>
      <c r="AOA14" s="190"/>
      <c r="AOB14" s="190"/>
      <c r="AOC14" s="190"/>
      <c r="AOD14" s="104"/>
      <c r="AOE14" s="104"/>
      <c r="AOF14" s="191" t="s">
        <v>29</v>
      </c>
      <c r="AOG14" s="191"/>
      <c r="AOH14" s="191"/>
      <c r="AOI14" s="191"/>
      <c r="AOJ14" s="129"/>
      <c r="AOK14" s="129"/>
      <c r="AOL14" s="190" t="s">
        <v>42</v>
      </c>
      <c r="AOM14" s="190"/>
      <c r="AON14" s="190"/>
      <c r="AOO14" s="190"/>
      <c r="AOP14" s="104"/>
      <c r="AOQ14" s="104"/>
      <c r="AOR14" s="104"/>
      <c r="AOS14" s="105"/>
      <c r="AOT14" s="103"/>
      <c r="AOU14" s="104"/>
      <c r="AOV14" s="104"/>
      <c r="AOW14" s="104"/>
      <c r="AOX14" s="190" t="s">
        <v>38</v>
      </c>
      <c r="AOY14" s="190"/>
      <c r="AOZ14" s="190"/>
      <c r="APA14" s="190"/>
      <c r="APB14" s="104"/>
      <c r="APC14" s="104"/>
      <c r="APD14" s="191" t="s">
        <v>26</v>
      </c>
      <c r="APE14" s="191"/>
      <c r="APF14" s="191"/>
      <c r="APG14" s="191"/>
      <c r="APH14" s="129"/>
      <c r="API14" s="129"/>
      <c r="APJ14" s="190" t="s">
        <v>39</v>
      </c>
      <c r="APK14" s="190"/>
      <c r="APL14" s="190"/>
      <c r="APM14" s="190"/>
      <c r="APN14" s="104"/>
      <c r="APO14" s="104"/>
      <c r="APP14" s="191" t="s">
        <v>27</v>
      </c>
      <c r="APQ14" s="191"/>
      <c r="APR14" s="191"/>
      <c r="APS14" s="191"/>
      <c r="APT14" s="129"/>
      <c r="APU14" s="129"/>
      <c r="APV14" s="190" t="s">
        <v>40</v>
      </c>
      <c r="APW14" s="190"/>
      <c r="APX14" s="190"/>
      <c r="APY14" s="190"/>
      <c r="APZ14" s="104"/>
      <c r="AQA14" s="104"/>
      <c r="AQB14" s="191" t="s">
        <v>28</v>
      </c>
      <c r="AQC14" s="191"/>
      <c r="AQD14" s="191"/>
      <c r="AQE14" s="191"/>
      <c r="AQF14" s="129"/>
      <c r="AQG14" s="129"/>
      <c r="AQH14" s="190" t="s">
        <v>41</v>
      </c>
      <c r="AQI14" s="190"/>
      <c r="AQJ14" s="190"/>
      <c r="AQK14" s="190"/>
      <c r="AQL14" s="104"/>
      <c r="AQM14" s="104"/>
      <c r="AQN14" s="191" t="s">
        <v>29</v>
      </c>
      <c r="AQO14" s="191"/>
      <c r="AQP14" s="191"/>
      <c r="AQQ14" s="191"/>
      <c r="AQR14" s="129"/>
      <c r="AQS14" s="129"/>
      <c r="AQT14" s="190" t="s">
        <v>42</v>
      </c>
      <c r="AQU14" s="190"/>
      <c r="AQV14" s="190"/>
      <c r="AQW14" s="190"/>
      <c r="AQX14" s="104"/>
      <c r="AQY14" s="104"/>
      <c r="AQZ14" s="104"/>
      <c r="ARA14" s="105"/>
      <c r="ARB14" s="103"/>
      <c r="ARC14" s="104"/>
      <c r="ARD14" s="104"/>
      <c r="ARE14" s="104"/>
      <c r="ARF14" s="190" t="s">
        <v>38</v>
      </c>
      <c r="ARG14" s="190"/>
      <c r="ARH14" s="190"/>
      <c r="ARI14" s="190"/>
      <c r="ARJ14" s="104"/>
      <c r="ARK14" s="104"/>
      <c r="ARL14" s="191" t="s">
        <v>26</v>
      </c>
      <c r="ARM14" s="191"/>
      <c r="ARN14" s="191"/>
      <c r="ARO14" s="191"/>
      <c r="ARP14" s="129"/>
      <c r="ARQ14" s="129"/>
      <c r="ARR14" s="190" t="s">
        <v>39</v>
      </c>
      <c r="ARS14" s="190"/>
      <c r="ART14" s="190"/>
      <c r="ARU14" s="190"/>
      <c r="ARV14" s="104"/>
      <c r="ARW14" s="104"/>
      <c r="ARX14" s="191" t="s">
        <v>27</v>
      </c>
      <c r="ARY14" s="191"/>
      <c r="ARZ14" s="191"/>
      <c r="ASA14" s="191"/>
      <c r="ASB14" s="129"/>
      <c r="ASC14" s="129"/>
      <c r="ASD14" s="190" t="s">
        <v>40</v>
      </c>
      <c r="ASE14" s="190"/>
      <c r="ASF14" s="190"/>
      <c r="ASG14" s="190"/>
      <c r="ASH14" s="104"/>
      <c r="ASI14" s="104"/>
      <c r="ASJ14" s="191" t="s">
        <v>28</v>
      </c>
      <c r="ASK14" s="191"/>
      <c r="ASL14" s="191"/>
      <c r="ASM14" s="191"/>
      <c r="ASN14" s="129"/>
      <c r="ASO14" s="129"/>
      <c r="ASP14" s="190" t="s">
        <v>41</v>
      </c>
      <c r="ASQ14" s="190"/>
      <c r="ASR14" s="190"/>
      <c r="ASS14" s="190"/>
      <c r="AST14" s="104"/>
      <c r="ASU14" s="104"/>
      <c r="ASV14" s="191" t="s">
        <v>29</v>
      </c>
      <c r="ASW14" s="191"/>
      <c r="ASX14" s="191"/>
      <c r="ASY14" s="191"/>
      <c r="ASZ14" s="129"/>
      <c r="ATA14" s="129"/>
      <c r="ATB14" s="190" t="s">
        <v>42</v>
      </c>
      <c r="ATC14" s="190"/>
      <c r="ATD14" s="190"/>
      <c r="ATE14" s="190"/>
      <c r="ATF14" s="104"/>
      <c r="ATG14" s="104"/>
      <c r="ATH14" s="104"/>
      <c r="ATI14" s="105"/>
      <c r="ATJ14" s="103"/>
      <c r="ATK14" s="104"/>
      <c r="ATL14" s="104"/>
      <c r="ATM14" s="104"/>
      <c r="ATN14" s="190" t="s">
        <v>38</v>
      </c>
      <c r="ATO14" s="190"/>
      <c r="ATP14" s="190"/>
      <c r="ATQ14" s="190"/>
      <c r="ATR14" s="104"/>
      <c r="ATS14" s="104"/>
      <c r="ATT14" s="191" t="s">
        <v>26</v>
      </c>
      <c r="ATU14" s="191"/>
      <c r="ATV14" s="191"/>
      <c r="ATW14" s="191"/>
      <c r="ATX14" s="129"/>
      <c r="ATY14" s="129"/>
      <c r="ATZ14" s="190" t="s">
        <v>39</v>
      </c>
      <c r="AUA14" s="190"/>
      <c r="AUB14" s="190"/>
      <c r="AUC14" s="190"/>
      <c r="AUD14" s="104"/>
      <c r="AUE14" s="104"/>
      <c r="AUF14" s="191" t="s">
        <v>27</v>
      </c>
      <c r="AUG14" s="191"/>
      <c r="AUH14" s="191"/>
      <c r="AUI14" s="191"/>
      <c r="AUJ14" s="129"/>
      <c r="AUK14" s="129"/>
      <c r="AUL14" s="190" t="s">
        <v>40</v>
      </c>
      <c r="AUM14" s="190"/>
      <c r="AUN14" s="190"/>
      <c r="AUO14" s="190"/>
      <c r="AUP14" s="104"/>
      <c r="AUQ14" s="104"/>
      <c r="AUR14" s="191" t="s">
        <v>28</v>
      </c>
      <c r="AUS14" s="191"/>
      <c r="AUT14" s="191"/>
      <c r="AUU14" s="191"/>
      <c r="AUV14" s="129"/>
      <c r="AUW14" s="129"/>
      <c r="AUX14" s="190" t="s">
        <v>41</v>
      </c>
      <c r="AUY14" s="190"/>
      <c r="AUZ14" s="190"/>
      <c r="AVA14" s="190"/>
      <c r="AVB14" s="104"/>
      <c r="AVC14" s="104"/>
      <c r="AVD14" s="191" t="s">
        <v>29</v>
      </c>
      <c r="AVE14" s="191"/>
      <c r="AVF14" s="191"/>
      <c r="AVG14" s="191"/>
      <c r="AVH14" s="129"/>
      <c r="AVI14" s="129"/>
      <c r="AVJ14" s="190" t="s">
        <v>42</v>
      </c>
      <c r="AVK14" s="190"/>
      <c r="AVL14" s="190"/>
      <c r="AVM14" s="190"/>
      <c r="AVN14" s="104"/>
      <c r="AVO14" s="104"/>
      <c r="AVP14" s="104"/>
      <c r="AVQ14" s="105"/>
      <c r="AVR14" s="103"/>
      <c r="AVS14" s="104"/>
      <c r="AVT14" s="104"/>
      <c r="AVU14" s="104"/>
      <c r="AVV14" s="190" t="s">
        <v>38</v>
      </c>
      <c r="AVW14" s="190"/>
      <c r="AVX14" s="190"/>
      <c r="AVY14" s="190"/>
      <c r="AVZ14" s="104"/>
      <c r="AWA14" s="104"/>
      <c r="AWB14" s="191" t="s">
        <v>26</v>
      </c>
      <c r="AWC14" s="191"/>
      <c r="AWD14" s="191"/>
      <c r="AWE14" s="191"/>
      <c r="AWF14" s="129"/>
      <c r="AWG14" s="129"/>
      <c r="AWH14" s="190" t="s">
        <v>39</v>
      </c>
      <c r="AWI14" s="190"/>
      <c r="AWJ14" s="190"/>
      <c r="AWK14" s="190"/>
      <c r="AWL14" s="104"/>
      <c r="AWM14" s="104"/>
      <c r="AWN14" s="191" t="s">
        <v>27</v>
      </c>
      <c r="AWO14" s="191"/>
      <c r="AWP14" s="191"/>
      <c r="AWQ14" s="191"/>
      <c r="AWR14" s="129"/>
      <c r="AWS14" s="129"/>
      <c r="AWT14" s="190" t="s">
        <v>40</v>
      </c>
      <c r="AWU14" s="190"/>
      <c r="AWV14" s="190"/>
      <c r="AWW14" s="190"/>
      <c r="AWX14" s="104"/>
      <c r="AWY14" s="104"/>
      <c r="AWZ14" s="191" t="s">
        <v>28</v>
      </c>
      <c r="AXA14" s="191"/>
      <c r="AXB14" s="191"/>
      <c r="AXC14" s="191"/>
      <c r="AXD14" s="129"/>
      <c r="AXE14" s="129"/>
      <c r="AXF14" s="190" t="s">
        <v>41</v>
      </c>
      <c r="AXG14" s="190"/>
      <c r="AXH14" s="190"/>
      <c r="AXI14" s="190"/>
      <c r="AXJ14" s="104"/>
      <c r="AXK14" s="104"/>
      <c r="AXL14" s="191" t="s">
        <v>29</v>
      </c>
      <c r="AXM14" s="191"/>
      <c r="AXN14" s="191"/>
      <c r="AXO14" s="191"/>
      <c r="AXP14" s="129"/>
      <c r="AXQ14" s="129"/>
      <c r="AXR14" s="190" t="s">
        <v>42</v>
      </c>
      <c r="AXS14" s="190"/>
      <c r="AXT14" s="190"/>
      <c r="AXU14" s="190"/>
      <c r="AXV14" s="104"/>
      <c r="AXW14" s="104"/>
      <c r="AXX14" s="104"/>
      <c r="AXY14" s="105"/>
      <c r="AXZ14" s="103"/>
      <c r="AYA14" s="104"/>
      <c r="AYB14" s="104"/>
      <c r="AYC14" s="104"/>
      <c r="AYD14" s="190" t="s">
        <v>38</v>
      </c>
      <c r="AYE14" s="190"/>
      <c r="AYF14" s="190"/>
      <c r="AYG14" s="190"/>
      <c r="AYH14" s="104"/>
      <c r="AYI14" s="104"/>
      <c r="AYJ14" s="191" t="s">
        <v>26</v>
      </c>
      <c r="AYK14" s="191"/>
      <c r="AYL14" s="191"/>
      <c r="AYM14" s="191"/>
      <c r="AYN14" s="129"/>
      <c r="AYO14" s="129"/>
      <c r="AYP14" s="190" t="s">
        <v>39</v>
      </c>
      <c r="AYQ14" s="190"/>
      <c r="AYR14" s="190"/>
      <c r="AYS14" s="190"/>
      <c r="AYT14" s="104"/>
      <c r="AYU14" s="104"/>
      <c r="AYV14" s="191" t="s">
        <v>27</v>
      </c>
      <c r="AYW14" s="191"/>
      <c r="AYX14" s="191"/>
      <c r="AYY14" s="191"/>
      <c r="AYZ14" s="129"/>
      <c r="AZA14" s="129"/>
      <c r="AZB14" s="190" t="s">
        <v>40</v>
      </c>
      <c r="AZC14" s="190"/>
      <c r="AZD14" s="190"/>
      <c r="AZE14" s="190"/>
      <c r="AZF14" s="104"/>
      <c r="AZG14" s="104"/>
      <c r="AZH14" s="191" t="s">
        <v>28</v>
      </c>
      <c r="AZI14" s="191"/>
      <c r="AZJ14" s="191"/>
      <c r="AZK14" s="191"/>
      <c r="AZL14" s="129"/>
      <c r="AZM14" s="129"/>
      <c r="AZN14" s="190" t="s">
        <v>41</v>
      </c>
      <c r="AZO14" s="190"/>
      <c r="AZP14" s="190"/>
      <c r="AZQ14" s="190"/>
      <c r="AZR14" s="104"/>
      <c r="AZS14" s="104"/>
      <c r="AZT14" s="191" t="s">
        <v>29</v>
      </c>
      <c r="AZU14" s="191"/>
      <c r="AZV14" s="191"/>
      <c r="AZW14" s="191"/>
      <c r="AZX14" s="129"/>
      <c r="AZY14" s="129"/>
      <c r="AZZ14" s="190" t="s">
        <v>42</v>
      </c>
      <c r="BAA14" s="190"/>
      <c r="BAB14" s="190"/>
      <c r="BAC14" s="190"/>
      <c r="BAD14" s="104"/>
      <c r="BAE14" s="104"/>
      <c r="BAF14" s="104"/>
      <c r="BAG14" s="105"/>
      <c r="BAH14" s="103"/>
      <c r="BAI14" s="104"/>
      <c r="BAJ14" s="104"/>
      <c r="BAK14" s="104"/>
      <c r="BAL14" s="190" t="s">
        <v>38</v>
      </c>
      <c r="BAM14" s="190"/>
      <c r="BAN14" s="190"/>
      <c r="BAO14" s="190"/>
      <c r="BAP14" s="104"/>
      <c r="BAQ14" s="104"/>
      <c r="BAR14" s="191" t="s">
        <v>26</v>
      </c>
      <c r="BAS14" s="191"/>
      <c r="BAT14" s="191"/>
      <c r="BAU14" s="191"/>
      <c r="BAV14" s="129"/>
      <c r="BAW14" s="129"/>
      <c r="BAX14" s="190" t="s">
        <v>39</v>
      </c>
      <c r="BAY14" s="190"/>
      <c r="BAZ14" s="190"/>
      <c r="BBA14" s="190"/>
      <c r="BBB14" s="104"/>
      <c r="BBC14" s="104"/>
      <c r="BBD14" s="191" t="s">
        <v>27</v>
      </c>
      <c r="BBE14" s="191"/>
      <c r="BBF14" s="191"/>
      <c r="BBG14" s="191"/>
      <c r="BBH14" s="129"/>
      <c r="BBI14" s="129"/>
      <c r="BBJ14" s="190" t="s">
        <v>40</v>
      </c>
      <c r="BBK14" s="190"/>
      <c r="BBL14" s="190"/>
      <c r="BBM14" s="190"/>
      <c r="BBN14" s="104"/>
      <c r="BBO14" s="104"/>
      <c r="BBP14" s="191" t="s">
        <v>28</v>
      </c>
      <c r="BBQ14" s="191"/>
      <c r="BBR14" s="191"/>
      <c r="BBS14" s="191"/>
      <c r="BBT14" s="129"/>
      <c r="BBU14" s="129"/>
      <c r="BBV14" s="190" t="s">
        <v>41</v>
      </c>
      <c r="BBW14" s="190"/>
      <c r="BBX14" s="190"/>
      <c r="BBY14" s="190"/>
      <c r="BBZ14" s="104"/>
      <c r="BCA14" s="104"/>
      <c r="BCB14" s="191" t="s">
        <v>29</v>
      </c>
      <c r="BCC14" s="191"/>
      <c r="BCD14" s="191"/>
      <c r="BCE14" s="191"/>
      <c r="BCF14" s="129"/>
      <c r="BCG14" s="129"/>
      <c r="BCH14" s="190" t="s">
        <v>42</v>
      </c>
      <c r="BCI14" s="190"/>
      <c r="BCJ14" s="190"/>
      <c r="BCK14" s="190"/>
      <c r="BCL14" s="104"/>
      <c r="BCM14" s="104"/>
      <c r="BCN14" s="104"/>
      <c r="BCO14" s="105"/>
      <c r="BCP14" s="103"/>
      <c r="BCQ14" s="104"/>
      <c r="BCR14" s="104"/>
      <c r="BCS14" s="104"/>
      <c r="BCT14" s="190" t="s">
        <v>38</v>
      </c>
      <c r="BCU14" s="190"/>
      <c r="BCV14" s="190"/>
      <c r="BCW14" s="190"/>
      <c r="BCX14" s="104"/>
      <c r="BCY14" s="104"/>
      <c r="BCZ14" s="191" t="s">
        <v>26</v>
      </c>
      <c r="BDA14" s="191"/>
      <c r="BDB14" s="191"/>
      <c r="BDC14" s="191"/>
      <c r="BDD14" s="129"/>
      <c r="BDE14" s="129"/>
      <c r="BDF14" s="190" t="s">
        <v>39</v>
      </c>
      <c r="BDG14" s="190"/>
      <c r="BDH14" s="190"/>
      <c r="BDI14" s="190"/>
      <c r="BDJ14" s="104"/>
      <c r="BDK14" s="104"/>
      <c r="BDL14" s="191" t="s">
        <v>27</v>
      </c>
      <c r="BDM14" s="191"/>
      <c r="BDN14" s="191"/>
      <c r="BDO14" s="191"/>
      <c r="BDP14" s="129"/>
      <c r="BDQ14" s="129"/>
      <c r="BDR14" s="190" t="s">
        <v>40</v>
      </c>
      <c r="BDS14" s="190"/>
      <c r="BDT14" s="190"/>
      <c r="BDU14" s="190"/>
      <c r="BDV14" s="104"/>
      <c r="BDW14" s="104"/>
      <c r="BDX14" s="191" t="s">
        <v>28</v>
      </c>
      <c r="BDY14" s="191"/>
      <c r="BDZ14" s="191"/>
      <c r="BEA14" s="191"/>
      <c r="BEB14" s="129"/>
      <c r="BEC14" s="129"/>
      <c r="BED14" s="190" t="s">
        <v>41</v>
      </c>
      <c r="BEE14" s="190"/>
      <c r="BEF14" s="190"/>
      <c r="BEG14" s="190"/>
      <c r="BEH14" s="104"/>
      <c r="BEI14" s="104"/>
      <c r="BEJ14" s="191" t="s">
        <v>29</v>
      </c>
      <c r="BEK14" s="191"/>
      <c r="BEL14" s="191"/>
      <c r="BEM14" s="191"/>
      <c r="BEN14" s="129"/>
      <c r="BEO14" s="129"/>
      <c r="BEP14" s="190" t="s">
        <v>42</v>
      </c>
      <c r="BEQ14" s="190"/>
      <c r="BER14" s="190"/>
      <c r="BES14" s="190"/>
      <c r="BET14" s="104"/>
      <c r="BEU14" s="104"/>
      <c r="BEV14" s="104"/>
      <c r="BEW14" s="105"/>
      <c r="BEX14" s="103"/>
      <c r="BEY14" s="104"/>
      <c r="BEZ14" s="104"/>
      <c r="BFA14" s="104"/>
      <c r="BFB14" s="190" t="s">
        <v>38</v>
      </c>
      <c r="BFC14" s="190"/>
      <c r="BFD14" s="190"/>
      <c r="BFE14" s="190"/>
      <c r="BFF14" s="104"/>
      <c r="BFG14" s="104"/>
      <c r="BFH14" s="191" t="s">
        <v>26</v>
      </c>
      <c r="BFI14" s="191"/>
      <c r="BFJ14" s="191"/>
      <c r="BFK14" s="191"/>
      <c r="BFL14" s="129"/>
      <c r="BFM14" s="129"/>
      <c r="BFN14" s="190" t="s">
        <v>39</v>
      </c>
      <c r="BFO14" s="190"/>
      <c r="BFP14" s="190"/>
      <c r="BFQ14" s="190"/>
      <c r="BFR14" s="104"/>
      <c r="BFS14" s="104"/>
      <c r="BFT14" s="191" t="s">
        <v>27</v>
      </c>
      <c r="BFU14" s="191"/>
      <c r="BFV14" s="191"/>
      <c r="BFW14" s="191"/>
      <c r="BFX14" s="129"/>
      <c r="BFY14" s="129"/>
      <c r="BFZ14" s="190" t="s">
        <v>40</v>
      </c>
      <c r="BGA14" s="190"/>
      <c r="BGB14" s="190"/>
      <c r="BGC14" s="190"/>
      <c r="BGD14" s="104"/>
      <c r="BGE14" s="104"/>
      <c r="BGF14" s="191" t="s">
        <v>28</v>
      </c>
      <c r="BGG14" s="191"/>
      <c r="BGH14" s="191"/>
      <c r="BGI14" s="191"/>
      <c r="BGJ14" s="129"/>
      <c r="BGK14" s="129"/>
      <c r="BGL14" s="190" t="s">
        <v>41</v>
      </c>
      <c r="BGM14" s="190"/>
      <c r="BGN14" s="190"/>
      <c r="BGO14" s="190"/>
      <c r="BGP14" s="104"/>
      <c r="BGQ14" s="104"/>
      <c r="BGR14" s="191" t="s">
        <v>29</v>
      </c>
      <c r="BGS14" s="191"/>
      <c r="BGT14" s="191"/>
      <c r="BGU14" s="191"/>
      <c r="BGV14" s="129"/>
      <c r="BGW14" s="129"/>
      <c r="BGX14" s="190" t="s">
        <v>42</v>
      </c>
      <c r="BGY14" s="190"/>
      <c r="BGZ14" s="190"/>
      <c r="BHA14" s="190"/>
      <c r="BHB14" s="104"/>
      <c r="BHC14" s="104"/>
      <c r="BHD14" s="104"/>
      <c r="BHE14" s="105"/>
      <c r="BHF14" s="103"/>
      <c r="BHG14" s="104"/>
      <c r="BHH14" s="104"/>
      <c r="BHI14" s="104"/>
      <c r="BHJ14" s="190" t="s">
        <v>38</v>
      </c>
      <c r="BHK14" s="190"/>
      <c r="BHL14" s="190"/>
      <c r="BHM14" s="190"/>
      <c r="BHN14" s="104"/>
      <c r="BHO14" s="104"/>
      <c r="BHP14" s="191" t="s">
        <v>26</v>
      </c>
      <c r="BHQ14" s="191"/>
      <c r="BHR14" s="191"/>
      <c r="BHS14" s="191"/>
      <c r="BHT14" s="129"/>
      <c r="BHU14" s="129"/>
      <c r="BHV14" s="190" t="s">
        <v>39</v>
      </c>
      <c r="BHW14" s="190"/>
      <c r="BHX14" s="190"/>
      <c r="BHY14" s="190"/>
      <c r="BHZ14" s="104"/>
      <c r="BIA14" s="104"/>
      <c r="BIB14" s="191" t="s">
        <v>27</v>
      </c>
      <c r="BIC14" s="191"/>
      <c r="BID14" s="191"/>
      <c r="BIE14" s="191"/>
      <c r="BIF14" s="129"/>
      <c r="BIG14" s="129"/>
      <c r="BIH14" s="190" t="s">
        <v>40</v>
      </c>
      <c r="BII14" s="190"/>
      <c r="BIJ14" s="190"/>
      <c r="BIK14" s="190"/>
      <c r="BIL14" s="104"/>
      <c r="BIM14" s="104"/>
      <c r="BIN14" s="191" t="s">
        <v>28</v>
      </c>
      <c r="BIO14" s="191"/>
      <c r="BIP14" s="191"/>
      <c r="BIQ14" s="191"/>
      <c r="BIR14" s="129"/>
      <c r="BIS14" s="129"/>
      <c r="BIT14" s="190" t="s">
        <v>41</v>
      </c>
      <c r="BIU14" s="190"/>
      <c r="BIV14" s="190"/>
      <c r="BIW14" s="190"/>
      <c r="BIX14" s="104"/>
      <c r="BIY14" s="104"/>
      <c r="BIZ14" s="191" t="s">
        <v>29</v>
      </c>
      <c r="BJA14" s="191"/>
      <c r="BJB14" s="191"/>
      <c r="BJC14" s="191"/>
      <c r="BJD14" s="129"/>
      <c r="BJE14" s="129"/>
      <c r="BJF14" s="190" t="s">
        <v>42</v>
      </c>
      <c r="BJG14" s="190"/>
      <c r="BJH14" s="190"/>
      <c r="BJI14" s="190"/>
      <c r="BJJ14" s="104"/>
      <c r="BJK14" s="104"/>
      <c r="BJL14" s="104"/>
      <c r="BJM14" s="105"/>
      <c r="BJN14" s="103"/>
      <c r="BJO14" s="104"/>
      <c r="BJP14" s="104"/>
      <c r="BJQ14" s="104"/>
      <c r="BJR14" s="190" t="s">
        <v>38</v>
      </c>
      <c r="BJS14" s="190"/>
      <c r="BJT14" s="190"/>
      <c r="BJU14" s="190"/>
      <c r="BJV14" s="104"/>
      <c r="BJW14" s="104"/>
      <c r="BJX14" s="191" t="s">
        <v>26</v>
      </c>
      <c r="BJY14" s="191"/>
      <c r="BJZ14" s="191"/>
      <c r="BKA14" s="191"/>
      <c r="BKB14" s="129"/>
      <c r="BKC14" s="129"/>
      <c r="BKD14" s="190" t="s">
        <v>39</v>
      </c>
      <c r="BKE14" s="190"/>
      <c r="BKF14" s="190"/>
      <c r="BKG14" s="190"/>
      <c r="BKH14" s="104"/>
      <c r="BKI14" s="104"/>
      <c r="BKJ14" s="191" t="s">
        <v>27</v>
      </c>
      <c r="BKK14" s="191"/>
      <c r="BKL14" s="191"/>
      <c r="BKM14" s="191"/>
      <c r="BKN14" s="129"/>
      <c r="BKO14" s="129"/>
      <c r="BKP14" s="190" t="s">
        <v>40</v>
      </c>
      <c r="BKQ14" s="190"/>
      <c r="BKR14" s="190"/>
      <c r="BKS14" s="190"/>
      <c r="BKT14" s="104"/>
      <c r="BKU14" s="104"/>
      <c r="BKV14" s="191" t="s">
        <v>28</v>
      </c>
      <c r="BKW14" s="191"/>
      <c r="BKX14" s="191"/>
      <c r="BKY14" s="191"/>
      <c r="BKZ14" s="129"/>
      <c r="BLA14" s="129"/>
      <c r="BLB14" s="190" t="s">
        <v>41</v>
      </c>
      <c r="BLC14" s="190"/>
      <c r="BLD14" s="190"/>
      <c r="BLE14" s="190"/>
      <c r="BLF14" s="104"/>
      <c r="BLG14" s="104"/>
      <c r="BLH14" s="191" t="s">
        <v>29</v>
      </c>
      <c r="BLI14" s="191"/>
      <c r="BLJ14" s="191"/>
      <c r="BLK14" s="191"/>
      <c r="BLL14" s="129"/>
      <c r="BLM14" s="129"/>
      <c r="BLN14" s="190" t="s">
        <v>42</v>
      </c>
      <c r="BLO14" s="190"/>
      <c r="BLP14" s="190"/>
      <c r="BLQ14" s="190"/>
      <c r="BLR14" s="104"/>
      <c r="BLS14" s="104"/>
      <c r="BLT14" s="104"/>
      <c r="BLU14" s="105"/>
      <c r="BLV14" s="103"/>
      <c r="BLW14" s="104"/>
      <c r="BLX14" s="104"/>
      <c r="BLY14" s="104"/>
      <c r="BLZ14" s="190" t="s">
        <v>38</v>
      </c>
      <c r="BMA14" s="190"/>
      <c r="BMB14" s="190"/>
      <c r="BMC14" s="190"/>
      <c r="BMD14" s="104"/>
      <c r="BME14" s="104"/>
      <c r="BMF14" s="191" t="s">
        <v>26</v>
      </c>
      <c r="BMG14" s="191"/>
      <c r="BMH14" s="191"/>
      <c r="BMI14" s="191"/>
      <c r="BMJ14" s="129"/>
      <c r="BMK14" s="129"/>
      <c r="BML14" s="190" t="s">
        <v>39</v>
      </c>
      <c r="BMM14" s="190"/>
      <c r="BMN14" s="190"/>
      <c r="BMO14" s="190"/>
      <c r="BMP14" s="104"/>
      <c r="BMQ14" s="104"/>
      <c r="BMR14" s="191" t="s">
        <v>27</v>
      </c>
      <c r="BMS14" s="191"/>
      <c r="BMT14" s="191"/>
      <c r="BMU14" s="191"/>
      <c r="BMV14" s="129"/>
      <c r="BMW14" s="129"/>
      <c r="BMX14" s="190" t="s">
        <v>40</v>
      </c>
      <c r="BMY14" s="190"/>
      <c r="BMZ14" s="190"/>
      <c r="BNA14" s="190"/>
      <c r="BNB14" s="104"/>
      <c r="BNC14" s="104"/>
      <c r="BND14" s="191" t="s">
        <v>28</v>
      </c>
      <c r="BNE14" s="191"/>
      <c r="BNF14" s="191"/>
      <c r="BNG14" s="191"/>
      <c r="BNH14" s="129"/>
      <c r="BNI14" s="129"/>
      <c r="BNJ14" s="190" t="s">
        <v>41</v>
      </c>
      <c r="BNK14" s="190"/>
      <c r="BNL14" s="190"/>
      <c r="BNM14" s="190"/>
      <c r="BNN14" s="104"/>
      <c r="BNO14" s="104"/>
      <c r="BNP14" s="191" t="s">
        <v>29</v>
      </c>
      <c r="BNQ14" s="191"/>
      <c r="BNR14" s="191"/>
      <c r="BNS14" s="191"/>
      <c r="BNT14" s="129"/>
      <c r="BNU14" s="129"/>
      <c r="BNV14" s="190" t="s">
        <v>42</v>
      </c>
      <c r="BNW14" s="190"/>
      <c r="BNX14" s="190"/>
      <c r="BNY14" s="190"/>
      <c r="BNZ14" s="104"/>
      <c r="BOA14" s="104"/>
      <c r="BOB14" s="104"/>
      <c r="BOC14" s="105"/>
      <c r="BOD14" s="103"/>
      <c r="BOE14" s="104"/>
      <c r="BOF14" s="104"/>
      <c r="BOG14" s="104"/>
      <c r="BOH14" s="190" t="s">
        <v>38</v>
      </c>
      <c r="BOI14" s="190"/>
      <c r="BOJ14" s="190"/>
      <c r="BOK14" s="190"/>
      <c r="BOL14" s="104"/>
      <c r="BOM14" s="104"/>
      <c r="BON14" s="191" t="s">
        <v>26</v>
      </c>
      <c r="BOO14" s="191"/>
      <c r="BOP14" s="191"/>
      <c r="BOQ14" s="191"/>
      <c r="BOR14" s="129"/>
      <c r="BOS14" s="129"/>
      <c r="BOT14" s="190" t="s">
        <v>39</v>
      </c>
      <c r="BOU14" s="190"/>
      <c r="BOV14" s="190"/>
      <c r="BOW14" s="190"/>
      <c r="BOX14" s="104"/>
      <c r="BOY14" s="104"/>
      <c r="BOZ14" s="191" t="s">
        <v>27</v>
      </c>
      <c r="BPA14" s="191"/>
      <c r="BPB14" s="191"/>
      <c r="BPC14" s="191"/>
      <c r="BPD14" s="129"/>
      <c r="BPE14" s="129"/>
      <c r="BPF14" s="190" t="s">
        <v>40</v>
      </c>
      <c r="BPG14" s="190"/>
      <c r="BPH14" s="190"/>
      <c r="BPI14" s="190"/>
      <c r="BPJ14" s="104"/>
      <c r="BPK14" s="104"/>
      <c r="BPL14" s="191" t="s">
        <v>28</v>
      </c>
      <c r="BPM14" s="191"/>
      <c r="BPN14" s="191"/>
      <c r="BPO14" s="191"/>
      <c r="BPP14" s="129"/>
      <c r="BPQ14" s="129"/>
      <c r="BPR14" s="190" t="s">
        <v>41</v>
      </c>
      <c r="BPS14" s="190"/>
      <c r="BPT14" s="190"/>
      <c r="BPU14" s="190"/>
      <c r="BPV14" s="104"/>
      <c r="BPW14" s="104"/>
      <c r="BPX14" s="191" t="s">
        <v>29</v>
      </c>
      <c r="BPY14" s="191"/>
      <c r="BPZ14" s="191"/>
      <c r="BQA14" s="191"/>
      <c r="BQB14" s="129"/>
      <c r="BQC14" s="129"/>
      <c r="BQD14" s="190" t="s">
        <v>42</v>
      </c>
      <c r="BQE14" s="190"/>
      <c r="BQF14" s="190"/>
      <c r="BQG14" s="190"/>
      <c r="BQH14" s="104"/>
      <c r="BQI14" s="104"/>
      <c r="BQJ14" s="104"/>
      <c r="BQK14" s="105"/>
      <c r="BQL14" s="103"/>
      <c r="BQM14" s="104"/>
      <c r="BQN14" s="104"/>
      <c r="BQO14" s="104"/>
      <c r="BQP14" s="190" t="s">
        <v>38</v>
      </c>
      <c r="BQQ14" s="190"/>
      <c r="BQR14" s="190"/>
      <c r="BQS14" s="190"/>
      <c r="BQT14" s="104"/>
      <c r="BQU14" s="104"/>
      <c r="BQV14" s="191" t="s">
        <v>26</v>
      </c>
      <c r="BQW14" s="191"/>
      <c r="BQX14" s="191"/>
      <c r="BQY14" s="191"/>
      <c r="BQZ14" s="129"/>
      <c r="BRA14" s="129"/>
      <c r="BRB14" s="190" t="s">
        <v>39</v>
      </c>
      <c r="BRC14" s="190"/>
      <c r="BRD14" s="190"/>
      <c r="BRE14" s="190"/>
      <c r="BRF14" s="104"/>
      <c r="BRG14" s="104"/>
      <c r="BRH14" s="191" t="s">
        <v>27</v>
      </c>
      <c r="BRI14" s="191"/>
      <c r="BRJ14" s="191"/>
      <c r="BRK14" s="191"/>
      <c r="BRL14" s="129"/>
      <c r="BRM14" s="129"/>
      <c r="BRN14" s="190" t="s">
        <v>40</v>
      </c>
      <c r="BRO14" s="190"/>
      <c r="BRP14" s="190"/>
      <c r="BRQ14" s="190"/>
      <c r="BRR14" s="104"/>
      <c r="BRS14" s="104"/>
      <c r="BRT14" s="191" t="s">
        <v>28</v>
      </c>
      <c r="BRU14" s="191"/>
      <c r="BRV14" s="191"/>
      <c r="BRW14" s="191"/>
      <c r="BRX14" s="129"/>
      <c r="BRY14" s="129"/>
      <c r="BRZ14" s="190" t="s">
        <v>41</v>
      </c>
      <c r="BSA14" s="190"/>
      <c r="BSB14" s="190"/>
      <c r="BSC14" s="190"/>
      <c r="BSD14" s="104"/>
      <c r="BSE14" s="104"/>
      <c r="BSF14" s="191" t="s">
        <v>29</v>
      </c>
      <c r="BSG14" s="191"/>
      <c r="BSH14" s="191"/>
      <c r="BSI14" s="191"/>
      <c r="BSJ14" s="129"/>
      <c r="BSK14" s="129"/>
      <c r="BSL14" s="190" t="s">
        <v>42</v>
      </c>
      <c r="BSM14" s="190"/>
      <c r="BSN14" s="190"/>
      <c r="BSO14" s="190"/>
      <c r="BSP14" s="104"/>
      <c r="BSQ14" s="104"/>
      <c r="BSR14" s="104"/>
      <c r="BSS14" s="105"/>
      <c r="BST14" s="103"/>
      <c r="BSU14" s="104"/>
      <c r="BSV14" s="104"/>
      <c r="BSW14" s="104"/>
      <c r="BSX14" s="190" t="s">
        <v>38</v>
      </c>
      <c r="BSY14" s="190"/>
      <c r="BSZ14" s="190"/>
      <c r="BTA14" s="190"/>
      <c r="BTB14" s="104"/>
      <c r="BTC14" s="104"/>
      <c r="BTD14" s="191" t="s">
        <v>26</v>
      </c>
      <c r="BTE14" s="191"/>
      <c r="BTF14" s="191"/>
      <c r="BTG14" s="191"/>
      <c r="BTH14" s="129"/>
      <c r="BTI14" s="129"/>
      <c r="BTJ14" s="190" t="s">
        <v>39</v>
      </c>
      <c r="BTK14" s="190"/>
      <c r="BTL14" s="190"/>
      <c r="BTM14" s="190"/>
      <c r="BTN14" s="104"/>
      <c r="BTO14" s="104"/>
      <c r="BTP14" s="191" t="s">
        <v>27</v>
      </c>
      <c r="BTQ14" s="191"/>
      <c r="BTR14" s="191"/>
      <c r="BTS14" s="191"/>
      <c r="BTT14" s="129"/>
      <c r="BTU14" s="129"/>
      <c r="BTV14" s="190" t="s">
        <v>40</v>
      </c>
      <c r="BTW14" s="190"/>
      <c r="BTX14" s="190"/>
      <c r="BTY14" s="190"/>
      <c r="BTZ14" s="104"/>
      <c r="BUA14" s="104"/>
      <c r="BUB14" s="191" t="s">
        <v>28</v>
      </c>
      <c r="BUC14" s="191"/>
      <c r="BUD14" s="191"/>
      <c r="BUE14" s="191"/>
      <c r="BUF14" s="129"/>
      <c r="BUG14" s="129"/>
      <c r="BUH14" s="190" t="s">
        <v>41</v>
      </c>
      <c r="BUI14" s="190"/>
      <c r="BUJ14" s="190"/>
      <c r="BUK14" s="190"/>
      <c r="BUL14" s="104"/>
      <c r="BUM14" s="104"/>
      <c r="BUN14" s="191" t="s">
        <v>29</v>
      </c>
      <c r="BUO14" s="191"/>
      <c r="BUP14" s="191"/>
      <c r="BUQ14" s="191"/>
      <c r="BUR14" s="129"/>
      <c r="BUS14" s="129"/>
      <c r="BUT14" s="190" t="s">
        <v>42</v>
      </c>
      <c r="BUU14" s="190"/>
      <c r="BUV14" s="190"/>
      <c r="BUW14" s="190"/>
      <c r="BUX14" s="104"/>
      <c r="BUY14" s="104"/>
      <c r="BUZ14" s="104"/>
      <c r="BVA14" s="105"/>
      <c r="BVB14" s="103"/>
      <c r="BVC14" s="104"/>
      <c r="BVD14" s="104"/>
      <c r="BVE14" s="104"/>
      <c r="BVF14" s="190" t="s">
        <v>38</v>
      </c>
      <c r="BVG14" s="190"/>
      <c r="BVH14" s="190"/>
      <c r="BVI14" s="190"/>
      <c r="BVJ14" s="104"/>
      <c r="BVK14" s="104"/>
      <c r="BVL14" s="191" t="s">
        <v>26</v>
      </c>
      <c r="BVM14" s="191"/>
      <c r="BVN14" s="191"/>
      <c r="BVO14" s="191"/>
      <c r="BVP14" s="129"/>
      <c r="BVQ14" s="129"/>
      <c r="BVR14" s="190" t="s">
        <v>39</v>
      </c>
      <c r="BVS14" s="190"/>
      <c r="BVT14" s="190"/>
      <c r="BVU14" s="190"/>
      <c r="BVV14" s="104"/>
      <c r="BVW14" s="104"/>
      <c r="BVX14" s="191" t="s">
        <v>27</v>
      </c>
      <c r="BVY14" s="191"/>
      <c r="BVZ14" s="191"/>
      <c r="BWA14" s="191"/>
      <c r="BWB14" s="129"/>
      <c r="BWC14" s="129"/>
      <c r="BWD14" s="190" t="s">
        <v>40</v>
      </c>
      <c r="BWE14" s="190"/>
      <c r="BWF14" s="190"/>
      <c r="BWG14" s="190"/>
      <c r="BWH14" s="104"/>
      <c r="BWI14" s="104"/>
      <c r="BWJ14" s="191" t="s">
        <v>28</v>
      </c>
      <c r="BWK14" s="191"/>
      <c r="BWL14" s="191"/>
      <c r="BWM14" s="191"/>
      <c r="BWN14" s="129"/>
      <c r="BWO14" s="129"/>
      <c r="BWP14" s="190" t="s">
        <v>41</v>
      </c>
      <c r="BWQ14" s="190"/>
      <c r="BWR14" s="190"/>
      <c r="BWS14" s="190"/>
      <c r="BWT14" s="104"/>
      <c r="BWU14" s="104"/>
      <c r="BWV14" s="191" t="s">
        <v>29</v>
      </c>
      <c r="BWW14" s="191"/>
      <c r="BWX14" s="191"/>
      <c r="BWY14" s="191"/>
      <c r="BWZ14" s="129"/>
      <c r="BXA14" s="129"/>
      <c r="BXB14" s="190" t="s">
        <v>42</v>
      </c>
      <c r="BXC14" s="190"/>
      <c r="BXD14" s="190"/>
      <c r="BXE14" s="190"/>
      <c r="BXF14" s="104"/>
      <c r="BXG14" s="104"/>
      <c r="BXH14" s="104"/>
      <c r="BXI14" s="105"/>
      <c r="BXJ14" s="103"/>
      <c r="BXK14" s="104"/>
      <c r="BXL14" s="104"/>
      <c r="BXM14" s="104"/>
      <c r="BXN14" s="190" t="s">
        <v>38</v>
      </c>
      <c r="BXO14" s="190"/>
      <c r="BXP14" s="190"/>
      <c r="BXQ14" s="190"/>
      <c r="BXR14" s="104"/>
      <c r="BXS14" s="104"/>
      <c r="BXT14" s="191" t="s">
        <v>26</v>
      </c>
      <c r="BXU14" s="191"/>
      <c r="BXV14" s="191"/>
      <c r="BXW14" s="191"/>
      <c r="BXX14" s="129"/>
      <c r="BXY14" s="129"/>
      <c r="BXZ14" s="190" t="s">
        <v>39</v>
      </c>
      <c r="BYA14" s="190"/>
      <c r="BYB14" s="190"/>
      <c r="BYC14" s="190"/>
      <c r="BYD14" s="104"/>
      <c r="BYE14" s="104"/>
      <c r="BYF14" s="191" t="s">
        <v>27</v>
      </c>
      <c r="BYG14" s="191"/>
      <c r="BYH14" s="191"/>
      <c r="BYI14" s="191"/>
      <c r="BYJ14" s="129"/>
      <c r="BYK14" s="129"/>
      <c r="BYL14" s="190" t="s">
        <v>40</v>
      </c>
      <c r="BYM14" s="190"/>
      <c r="BYN14" s="190"/>
      <c r="BYO14" s="190"/>
      <c r="BYP14" s="104"/>
      <c r="BYQ14" s="104"/>
      <c r="BYR14" s="191" t="s">
        <v>28</v>
      </c>
      <c r="BYS14" s="191"/>
      <c r="BYT14" s="191"/>
      <c r="BYU14" s="191"/>
      <c r="BYV14" s="129"/>
      <c r="BYW14" s="129"/>
      <c r="BYX14" s="190" t="s">
        <v>41</v>
      </c>
      <c r="BYY14" s="190"/>
      <c r="BYZ14" s="190"/>
      <c r="BZA14" s="190"/>
      <c r="BZB14" s="104"/>
      <c r="BZC14" s="104"/>
      <c r="BZD14" s="191" t="s">
        <v>29</v>
      </c>
      <c r="BZE14" s="191"/>
      <c r="BZF14" s="191"/>
      <c r="BZG14" s="191"/>
      <c r="BZH14" s="129"/>
      <c r="BZI14" s="129"/>
      <c r="BZJ14" s="190" t="s">
        <v>42</v>
      </c>
      <c r="BZK14" s="190"/>
      <c r="BZL14" s="190"/>
      <c r="BZM14" s="190"/>
      <c r="BZN14" s="104"/>
      <c r="BZO14" s="104"/>
      <c r="BZP14" s="104"/>
      <c r="BZQ14" s="105"/>
      <c r="BZR14" s="103"/>
      <c r="BZS14" s="104"/>
      <c r="BZT14" s="104"/>
      <c r="BZU14" s="104"/>
      <c r="BZV14" s="190" t="s">
        <v>38</v>
      </c>
      <c r="BZW14" s="190"/>
      <c r="BZX14" s="190"/>
      <c r="BZY14" s="190"/>
      <c r="BZZ14" s="104"/>
      <c r="CAA14" s="104"/>
      <c r="CAB14" s="191" t="s">
        <v>26</v>
      </c>
      <c r="CAC14" s="191"/>
      <c r="CAD14" s="191"/>
      <c r="CAE14" s="191"/>
      <c r="CAF14" s="129"/>
      <c r="CAG14" s="129"/>
      <c r="CAH14" s="190" t="s">
        <v>39</v>
      </c>
      <c r="CAI14" s="190"/>
      <c r="CAJ14" s="190"/>
      <c r="CAK14" s="190"/>
      <c r="CAL14" s="104"/>
      <c r="CAM14" s="104"/>
      <c r="CAN14" s="191" t="s">
        <v>27</v>
      </c>
      <c r="CAO14" s="191"/>
      <c r="CAP14" s="191"/>
      <c r="CAQ14" s="191"/>
      <c r="CAR14" s="129"/>
      <c r="CAS14" s="129"/>
      <c r="CAT14" s="190" t="s">
        <v>40</v>
      </c>
      <c r="CAU14" s="190"/>
      <c r="CAV14" s="190"/>
      <c r="CAW14" s="190"/>
      <c r="CAX14" s="104"/>
      <c r="CAY14" s="104"/>
      <c r="CAZ14" s="191" t="s">
        <v>28</v>
      </c>
      <c r="CBA14" s="191"/>
      <c r="CBB14" s="191"/>
      <c r="CBC14" s="191"/>
      <c r="CBD14" s="129"/>
      <c r="CBE14" s="129"/>
      <c r="CBF14" s="190" t="s">
        <v>41</v>
      </c>
      <c r="CBG14" s="190"/>
      <c r="CBH14" s="190"/>
      <c r="CBI14" s="190"/>
      <c r="CBJ14" s="104"/>
      <c r="CBK14" s="104"/>
      <c r="CBL14" s="191" t="s">
        <v>29</v>
      </c>
      <c r="CBM14" s="191"/>
      <c r="CBN14" s="191"/>
      <c r="CBO14" s="191"/>
      <c r="CBP14" s="129"/>
      <c r="CBQ14" s="129"/>
      <c r="CBR14" s="190" t="s">
        <v>42</v>
      </c>
      <c r="CBS14" s="190"/>
      <c r="CBT14" s="190"/>
      <c r="CBU14" s="190"/>
      <c r="CBV14" s="104"/>
      <c r="CBW14" s="104"/>
      <c r="CBX14" s="104"/>
      <c r="CBY14" s="105"/>
      <c r="CBZ14" s="90"/>
    </row>
    <row r="15" spans="1:2106" ht="20.100000000000001" customHeight="1" x14ac:dyDescent="0.25">
      <c r="A15" s="100" t="s">
        <v>22</v>
      </c>
      <c r="B15" s="63" t="str">
        <f>IF(LEN(C15)=0,"",C15)</f>
        <v xml:space="preserve">Absences - imprévus </v>
      </c>
      <c r="C15" s="170"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24"/>
      <c r="BLW15" s="68"/>
      <c r="BLX15" s="68"/>
      <c r="BLY15" s="68"/>
      <c r="BLZ15" s="25"/>
      <c r="BMA15" s="130"/>
      <c r="BMB15" s="25"/>
      <c r="BMC15" s="25"/>
      <c r="BMD15" s="25"/>
      <c r="BME15" s="25"/>
      <c r="BMF15" s="25"/>
      <c r="BMG15" s="135"/>
      <c r="BMH15" s="25"/>
      <c r="BMI15" s="25"/>
      <c r="BMJ15" s="25"/>
      <c r="BMK15" s="25"/>
      <c r="BML15" s="25"/>
      <c r="BMM15" s="72"/>
      <c r="BMN15" s="25"/>
      <c r="BMO15" s="25"/>
      <c r="BMP15" s="25"/>
      <c r="BMQ15" s="25"/>
      <c r="BMR15" s="25"/>
      <c r="BMS15" s="135"/>
      <c r="BMT15" s="25"/>
      <c r="BMU15" s="25"/>
      <c r="BMV15" s="25"/>
      <c r="BMW15" s="25"/>
      <c r="BMX15" s="25"/>
      <c r="BMY15" s="72"/>
      <c r="BMZ15" s="68"/>
      <c r="BNA15" s="68"/>
      <c r="BNB15" s="68"/>
      <c r="BNC15" s="68"/>
      <c r="BND15" s="25"/>
      <c r="BNE15" s="135"/>
      <c r="BNF15" s="25"/>
      <c r="BNG15" s="25"/>
      <c r="BNH15" s="25"/>
      <c r="BNI15" s="25"/>
      <c r="BNJ15" s="25"/>
      <c r="BNK15" s="72"/>
      <c r="BNL15" s="25"/>
      <c r="BNM15" s="25"/>
      <c r="BNN15" s="25"/>
      <c r="BNO15" s="25"/>
      <c r="BNP15" s="25"/>
      <c r="BNQ15" s="135"/>
      <c r="BNR15" s="25"/>
      <c r="BNS15" s="25"/>
      <c r="BNT15" s="25"/>
      <c r="BNU15" s="25"/>
      <c r="BNV15" s="25"/>
      <c r="BNW15" s="72"/>
      <c r="BNX15" s="25"/>
      <c r="BNY15" s="25"/>
      <c r="BNZ15" s="25"/>
      <c r="BOA15" s="25"/>
      <c r="BOB15" s="25"/>
      <c r="BOC15" s="26"/>
      <c r="BOD15" s="24"/>
      <c r="BOE15" s="68"/>
      <c r="BOF15" s="68"/>
      <c r="BOG15" s="68"/>
      <c r="BOH15" s="25"/>
      <c r="BOI15" s="130"/>
      <c r="BOJ15" s="25"/>
      <c r="BOK15" s="25"/>
      <c r="BOL15" s="25"/>
      <c r="BOM15" s="25"/>
      <c r="BON15" s="25"/>
      <c r="BOO15" s="135"/>
      <c r="BOP15" s="25"/>
      <c r="BOQ15" s="25"/>
      <c r="BOR15" s="25"/>
      <c r="BOS15" s="25"/>
      <c r="BOT15" s="25"/>
      <c r="BOU15" s="72"/>
      <c r="BOV15" s="25"/>
      <c r="BOW15" s="25"/>
      <c r="BOX15" s="25"/>
      <c r="BOY15" s="25"/>
      <c r="BOZ15" s="25"/>
      <c r="BPA15" s="135"/>
      <c r="BPB15" s="25"/>
      <c r="BPC15" s="25"/>
      <c r="BPD15" s="25"/>
      <c r="BPE15" s="25"/>
      <c r="BPF15" s="25"/>
      <c r="BPG15" s="72"/>
      <c r="BPH15" s="68"/>
      <c r="BPI15" s="68"/>
      <c r="BPJ15" s="68"/>
      <c r="BPK15" s="68"/>
      <c r="BPL15" s="25"/>
      <c r="BPM15" s="135"/>
      <c r="BPN15" s="25"/>
      <c r="BPO15" s="25"/>
      <c r="BPP15" s="25"/>
      <c r="BPQ15" s="25"/>
      <c r="BPR15" s="25"/>
      <c r="BPS15" s="72"/>
      <c r="BPT15" s="25"/>
      <c r="BPU15" s="25"/>
      <c r="BPV15" s="25"/>
      <c r="BPW15" s="25"/>
      <c r="BPX15" s="25"/>
      <c r="BPY15" s="135"/>
      <c r="BPZ15" s="25"/>
      <c r="BQA15" s="25"/>
      <c r="BQB15" s="25"/>
      <c r="BQC15" s="25"/>
      <c r="BQD15" s="25"/>
      <c r="BQE15" s="72"/>
      <c r="BQF15" s="25"/>
      <c r="BQG15" s="25"/>
      <c r="BQH15" s="25"/>
      <c r="BQI15" s="25"/>
      <c r="BQJ15" s="25"/>
      <c r="BQK15" s="26"/>
      <c r="BQL15" s="24"/>
      <c r="BQM15" s="68"/>
      <c r="BQN15" s="68"/>
      <c r="BQO15" s="68"/>
      <c r="BQP15" s="25"/>
      <c r="BQQ15" s="130"/>
      <c r="BQR15" s="25"/>
      <c r="BQS15" s="25"/>
      <c r="BQT15" s="25"/>
      <c r="BQU15" s="25"/>
      <c r="BQV15" s="25"/>
      <c r="BQW15" s="135"/>
      <c r="BQX15" s="25"/>
      <c r="BQY15" s="25"/>
      <c r="BQZ15" s="25"/>
      <c r="BRA15" s="25"/>
      <c r="BRB15" s="25"/>
      <c r="BRC15" s="72"/>
      <c r="BRD15" s="25"/>
      <c r="BRE15" s="25"/>
      <c r="BRF15" s="25"/>
      <c r="BRG15" s="25"/>
      <c r="BRH15" s="25"/>
      <c r="BRI15" s="135"/>
      <c r="BRJ15" s="25"/>
      <c r="BRK15" s="25"/>
      <c r="BRL15" s="25"/>
      <c r="BRM15" s="25"/>
      <c r="BRN15" s="25"/>
      <c r="BRO15" s="72"/>
      <c r="BRP15" s="68"/>
      <c r="BRQ15" s="68"/>
      <c r="BRR15" s="68"/>
      <c r="BRS15" s="68"/>
      <c r="BRT15" s="25"/>
      <c r="BRU15" s="135"/>
      <c r="BRV15" s="25"/>
      <c r="BRW15" s="25"/>
      <c r="BRX15" s="25"/>
      <c r="BRY15" s="25"/>
      <c r="BRZ15" s="25"/>
      <c r="BSA15" s="72"/>
      <c r="BSB15" s="25"/>
      <c r="BSC15" s="25"/>
      <c r="BSD15" s="25"/>
      <c r="BSE15" s="25"/>
      <c r="BSF15" s="25"/>
      <c r="BSG15" s="135"/>
      <c r="BSH15" s="25"/>
      <c r="BSI15" s="25"/>
      <c r="BSJ15" s="25"/>
      <c r="BSK15" s="25"/>
      <c r="BSL15" s="25"/>
      <c r="BSM15" s="72"/>
      <c r="BSN15" s="25"/>
      <c r="BSO15" s="25"/>
      <c r="BSP15" s="25"/>
      <c r="BSQ15" s="25"/>
      <c r="BSR15" s="25"/>
      <c r="BSS15" s="26"/>
      <c r="BST15" s="24"/>
      <c r="BSU15" s="68"/>
      <c r="BSV15" s="68"/>
      <c r="BSW15" s="68"/>
      <c r="BSX15" s="25"/>
      <c r="BSY15" s="130"/>
      <c r="BSZ15" s="25"/>
      <c r="BTA15" s="25"/>
      <c r="BTB15" s="25"/>
      <c r="BTC15" s="25"/>
      <c r="BTD15" s="25"/>
      <c r="BTE15" s="135"/>
      <c r="BTF15" s="25"/>
      <c r="BTG15" s="25"/>
      <c r="BTH15" s="25"/>
      <c r="BTI15" s="25"/>
      <c r="BTJ15" s="25"/>
      <c r="BTK15" s="72"/>
      <c r="BTL15" s="25"/>
      <c r="BTM15" s="25"/>
      <c r="BTN15" s="25"/>
      <c r="BTO15" s="25"/>
      <c r="BTP15" s="25"/>
      <c r="BTQ15" s="135"/>
      <c r="BTR15" s="25"/>
      <c r="BTS15" s="25"/>
      <c r="BTT15" s="25"/>
      <c r="BTU15" s="25"/>
      <c r="BTV15" s="25"/>
      <c r="BTW15" s="72"/>
      <c r="BTX15" s="68"/>
      <c r="BTY15" s="68"/>
      <c r="BTZ15" s="68"/>
      <c r="BUA15" s="68"/>
      <c r="BUB15" s="25"/>
      <c r="BUC15" s="135"/>
      <c r="BUD15" s="25"/>
      <c r="BUE15" s="25"/>
      <c r="BUF15" s="25"/>
      <c r="BUG15" s="25"/>
      <c r="BUH15" s="25"/>
      <c r="BUI15" s="72"/>
      <c r="BUJ15" s="25"/>
      <c r="BUK15" s="25"/>
      <c r="BUL15" s="25"/>
      <c r="BUM15" s="25"/>
      <c r="BUN15" s="25"/>
      <c r="BUO15" s="135"/>
      <c r="BUP15" s="25"/>
      <c r="BUQ15" s="25"/>
      <c r="BUR15" s="25"/>
      <c r="BUS15" s="25"/>
      <c r="BUT15" s="25"/>
      <c r="BUU15" s="72"/>
      <c r="BUV15" s="25"/>
      <c r="BUW15" s="25"/>
      <c r="BUX15" s="25"/>
      <c r="BUY15" s="25"/>
      <c r="BUZ15" s="25"/>
      <c r="BVA15" s="26"/>
      <c r="BVB15" s="24"/>
      <c r="BVC15" s="68"/>
      <c r="BVD15" s="68"/>
      <c r="BVE15" s="68"/>
      <c r="BVF15" s="25"/>
      <c r="BVG15" s="130"/>
      <c r="BVH15" s="25"/>
      <c r="BVI15" s="25"/>
      <c r="BVJ15" s="25"/>
      <c r="BVK15" s="25"/>
      <c r="BVL15" s="25"/>
      <c r="BVM15" s="135"/>
      <c r="BVN15" s="25"/>
      <c r="BVO15" s="25"/>
      <c r="BVP15" s="25"/>
      <c r="BVQ15" s="25"/>
      <c r="BVR15" s="25"/>
      <c r="BVS15" s="72"/>
      <c r="BVT15" s="25"/>
      <c r="BVU15" s="25"/>
      <c r="BVV15" s="25"/>
      <c r="BVW15" s="25"/>
      <c r="BVX15" s="25"/>
      <c r="BVY15" s="135"/>
      <c r="BVZ15" s="25"/>
      <c r="BWA15" s="25"/>
      <c r="BWB15" s="25"/>
      <c r="BWC15" s="25"/>
      <c r="BWD15" s="25"/>
      <c r="BWE15" s="72"/>
      <c r="BWF15" s="68"/>
      <c r="BWG15" s="68"/>
      <c r="BWH15" s="68"/>
      <c r="BWI15" s="68"/>
      <c r="BWJ15" s="25"/>
      <c r="BWK15" s="135"/>
      <c r="BWL15" s="25"/>
      <c r="BWM15" s="25"/>
      <c r="BWN15" s="25"/>
      <c r="BWO15" s="25"/>
      <c r="BWP15" s="25"/>
      <c r="BWQ15" s="72"/>
      <c r="BWR15" s="25"/>
      <c r="BWS15" s="25"/>
      <c r="BWT15" s="25"/>
      <c r="BWU15" s="25"/>
      <c r="BWV15" s="25"/>
      <c r="BWW15" s="135"/>
      <c r="BWX15" s="25"/>
      <c r="BWY15" s="25"/>
      <c r="BWZ15" s="25"/>
      <c r="BXA15" s="25"/>
      <c r="BXB15" s="25"/>
      <c r="BXC15" s="72"/>
      <c r="BXD15" s="25"/>
      <c r="BXE15" s="25"/>
      <c r="BXF15" s="25"/>
      <c r="BXG15" s="25"/>
      <c r="BXH15" s="25"/>
      <c r="BXI15" s="26"/>
      <c r="BXJ15" s="24"/>
      <c r="BXK15" s="68"/>
      <c r="BXL15" s="68"/>
      <c r="BXM15" s="68"/>
      <c r="BXN15" s="25"/>
      <c r="BXO15" s="130"/>
      <c r="BXP15" s="25"/>
      <c r="BXQ15" s="25"/>
      <c r="BXR15" s="25"/>
      <c r="BXS15" s="25"/>
      <c r="BXT15" s="25"/>
      <c r="BXU15" s="135"/>
      <c r="BXV15" s="25"/>
      <c r="BXW15" s="25"/>
      <c r="BXX15" s="25"/>
      <c r="BXY15" s="25"/>
      <c r="BXZ15" s="25"/>
      <c r="BYA15" s="72"/>
      <c r="BYB15" s="25"/>
      <c r="BYC15" s="25"/>
      <c r="BYD15" s="25"/>
      <c r="BYE15" s="25"/>
      <c r="BYF15" s="25"/>
      <c r="BYG15" s="135"/>
      <c r="BYH15" s="25"/>
      <c r="BYI15" s="25"/>
      <c r="BYJ15" s="25"/>
      <c r="BYK15" s="25"/>
      <c r="BYL15" s="25"/>
      <c r="BYM15" s="72"/>
      <c r="BYN15" s="68"/>
      <c r="BYO15" s="68"/>
      <c r="BYP15" s="68"/>
      <c r="BYQ15" s="68"/>
      <c r="BYR15" s="25"/>
      <c r="BYS15" s="135"/>
      <c r="BYT15" s="25"/>
      <c r="BYU15" s="25"/>
      <c r="BYV15" s="25"/>
      <c r="BYW15" s="25"/>
      <c r="BYX15" s="25"/>
      <c r="BYY15" s="72"/>
      <c r="BYZ15" s="25"/>
      <c r="BZA15" s="25"/>
      <c r="BZB15" s="25"/>
      <c r="BZC15" s="25"/>
      <c r="BZD15" s="25"/>
      <c r="BZE15" s="135"/>
      <c r="BZF15" s="25"/>
      <c r="BZG15" s="25"/>
      <c r="BZH15" s="25"/>
      <c r="BZI15" s="25"/>
      <c r="BZJ15" s="25"/>
      <c r="BZK15" s="72"/>
      <c r="BZL15" s="25"/>
      <c r="BZM15" s="25"/>
      <c r="BZN15" s="25"/>
      <c r="BZO15" s="25"/>
      <c r="BZP15" s="25"/>
      <c r="BZQ15" s="26"/>
      <c r="BZR15" s="24"/>
      <c r="BZS15" s="68"/>
      <c r="BZT15" s="68"/>
      <c r="BZU15" s="68"/>
      <c r="BZV15" s="25"/>
      <c r="BZW15" s="130"/>
      <c r="BZX15" s="25"/>
      <c r="BZY15" s="25"/>
      <c r="BZZ15" s="25"/>
      <c r="CAA15" s="25"/>
      <c r="CAB15" s="25"/>
      <c r="CAC15" s="135"/>
      <c r="CAD15" s="25"/>
      <c r="CAE15" s="25"/>
      <c r="CAF15" s="25"/>
      <c r="CAG15" s="25"/>
      <c r="CAH15" s="25"/>
      <c r="CAI15" s="72"/>
      <c r="CAJ15" s="25"/>
      <c r="CAK15" s="25"/>
      <c r="CAL15" s="25"/>
      <c r="CAM15" s="25"/>
      <c r="CAN15" s="25"/>
      <c r="CAO15" s="135"/>
      <c r="CAP15" s="25"/>
      <c r="CAQ15" s="25"/>
      <c r="CAR15" s="25"/>
      <c r="CAS15" s="25"/>
      <c r="CAT15" s="25"/>
      <c r="CAU15" s="72"/>
      <c r="CAV15" s="68"/>
      <c r="CAW15" s="68"/>
      <c r="CAX15" s="68"/>
      <c r="CAY15" s="68"/>
      <c r="CAZ15" s="25"/>
      <c r="CBA15" s="135"/>
      <c r="CBB15" s="25"/>
      <c r="CBC15" s="25"/>
      <c r="CBD15" s="25"/>
      <c r="CBE15" s="25"/>
      <c r="CBF15" s="25"/>
      <c r="CBG15" s="72"/>
      <c r="CBH15" s="25"/>
      <c r="CBI15" s="25"/>
      <c r="CBJ15" s="25"/>
      <c r="CBK15" s="25"/>
      <c r="CBL15" s="25"/>
      <c r="CBM15" s="135"/>
      <c r="CBN15" s="25"/>
      <c r="CBO15" s="25"/>
      <c r="CBP15" s="25"/>
      <c r="CBQ15" s="25"/>
      <c r="CBR15" s="25"/>
      <c r="CBS15" s="72"/>
      <c r="CBT15" s="25"/>
      <c r="CBU15" s="25"/>
      <c r="CBV15" s="25"/>
      <c r="CBW15" s="25"/>
      <c r="CBX15" s="25"/>
      <c r="CBY15" s="26"/>
      <c r="CBZ15" s="90"/>
    </row>
    <row r="16" spans="1:2106" ht="20.100000000000001" customHeight="1" x14ac:dyDescent="0.25">
      <c r="A16" s="100" t="s">
        <v>23</v>
      </c>
      <c r="B16" s="63" t="str">
        <f>IF(LEN(C17)=0,"",C17)</f>
        <v>Analyse - Planification initiale</v>
      </c>
      <c r="C16" s="171"/>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28"/>
      <c r="BLW16" s="67"/>
      <c r="BLX16" s="67"/>
      <c r="BLY16" s="67"/>
      <c r="BLZ16" s="29"/>
      <c r="BMA16" s="131"/>
      <c r="BMB16" s="29"/>
      <c r="BMC16" s="29"/>
      <c r="BMD16" s="29"/>
      <c r="BME16" s="29"/>
      <c r="BMF16" s="29"/>
      <c r="BMG16" s="136"/>
      <c r="BMH16" s="29"/>
      <c r="BMI16" s="29"/>
      <c r="BMJ16" s="29"/>
      <c r="BMK16" s="29"/>
      <c r="BML16" s="29"/>
      <c r="BMM16" s="73"/>
      <c r="BMN16" s="29"/>
      <c r="BMO16" s="29"/>
      <c r="BMP16" s="29"/>
      <c r="BMQ16" s="29"/>
      <c r="BMR16" s="29"/>
      <c r="BMS16" s="136"/>
      <c r="BMT16" s="29"/>
      <c r="BMU16" s="29"/>
      <c r="BMV16" s="29"/>
      <c r="BMW16" s="29"/>
      <c r="BMX16" s="29"/>
      <c r="BMY16" s="73"/>
      <c r="BMZ16" s="67"/>
      <c r="BNA16" s="67"/>
      <c r="BNB16" s="67"/>
      <c r="BNC16" s="67"/>
      <c r="BND16" s="29"/>
      <c r="BNE16" s="136"/>
      <c r="BNF16" s="29"/>
      <c r="BNG16" s="29"/>
      <c r="BNH16" s="29"/>
      <c r="BNI16" s="29"/>
      <c r="BNJ16" s="29"/>
      <c r="BNK16" s="73"/>
      <c r="BNL16" s="29"/>
      <c r="BNM16" s="29"/>
      <c r="BNN16" s="29"/>
      <c r="BNO16" s="29"/>
      <c r="BNP16" s="29"/>
      <c r="BNQ16" s="136"/>
      <c r="BNR16" s="29"/>
      <c r="BNS16" s="29"/>
      <c r="BNT16" s="29"/>
      <c r="BNU16" s="29"/>
      <c r="BNV16" s="29"/>
      <c r="BNW16" s="73"/>
      <c r="BNX16" s="29"/>
      <c r="BNY16" s="29"/>
      <c r="BNZ16" s="29"/>
      <c r="BOA16" s="29"/>
      <c r="BOB16" s="29"/>
      <c r="BOC16" s="30"/>
      <c r="BOD16" s="28"/>
      <c r="BOE16" s="67"/>
      <c r="BOF16" s="67"/>
      <c r="BOG16" s="67"/>
      <c r="BOH16" s="29"/>
      <c r="BOI16" s="131"/>
      <c r="BOJ16" s="29"/>
      <c r="BOK16" s="29"/>
      <c r="BOL16" s="29"/>
      <c r="BOM16" s="29"/>
      <c r="BON16" s="29"/>
      <c r="BOO16" s="136"/>
      <c r="BOP16" s="29"/>
      <c r="BOQ16" s="29"/>
      <c r="BOR16" s="29"/>
      <c r="BOS16" s="29"/>
      <c r="BOT16" s="29"/>
      <c r="BOU16" s="73"/>
      <c r="BOV16" s="29"/>
      <c r="BOW16" s="29"/>
      <c r="BOX16" s="29"/>
      <c r="BOY16" s="29"/>
      <c r="BOZ16" s="29"/>
      <c r="BPA16" s="136"/>
      <c r="BPB16" s="29"/>
      <c r="BPC16" s="29"/>
      <c r="BPD16" s="29"/>
      <c r="BPE16" s="29"/>
      <c r="BPF16" s="29"/>
      <c r="BPG16" s="73"/>
      <c r="BPH16" s="67"/>
      <c r="BPI16" s="67"/>
      <c r="BPJ16" s="67"/>
      <c r="BPK16" s="67"/>
      <c r="BPL16" s="29"/>
      <c r="BPM16" s="136"/>
      <c r="BPN16" s="29"/>
      <c r="BPO16" s="29"/>
      <c r="BPP16" s="29"/>
      <c r="BPQ16" s="29"/>
      <c r="BPR16" s="29"/>
      <c r="BPS16" s="73"/>
      <c r="BPT16" s="29"/>
      <c r="BPU16" s="29"/>
      <c r="BPV16" s="29"/>
      <c r="BPW16" s="29"/>
      <c r="BPX16" s="29"/>
      <c r="BPY16" s="136"/>
      <c r="BPZ16" s="29"/>
      <c r="BQA16" s="29"/>
      <c r="BQB16" s="29"/>
      <c r="BQC16" s="29"/>
      <c r="BQD16" s="29"/>
      <c r="BQE16" s="73"/>
      <c r="BQF16" s="29"/>
      <c r="BQG16" s="29"/>
      <c r="BQH16" s="29"/>
      <c r="BQI16" s="29"/>
      <c r="BQJ16" s="29"/>
      <c r="BQK16" s="30"/>
      <c r="BQL16" s="28"/>
      <c r="BQM16" s="67"/>
      <c r="BQN16" s="67"/>
      <c r="BQO16" s="67"/>
      <c r="BQP16" s="29"/>
      <c r="BQQ16" s="131"/>
      <c r="BQR16" s="29"/>
      <c r="BQS16" s="29"/>
      <c r="BQT16" s="29"/>
      <c r="BQU16" s="29"/>
      <c r="BQV16" s="29"/>
      <c r="BQW16" s="136"/>
      <c r="BQX16" s="29"/>
      <c r="BQY16" s="29"/>
      <c r="BQZ16" s="29"/>
      <c r="BRA16" s="29"/>
      <c r="BRB16" s="29"/>
      <c r="BRC16" s="73"/>
      <c r="BRD16" s="29"/>
      <c r="BRE16" s="29"/>
      <c r="BRF16" s="29"/>
      <c r="BRG16" s="29"/>
      <c r="BRH16" s="29"/>
      <c r="BRI16" s="136"/>
      <c r="BRJ16" s="29"/>
      <c r="BRK16" s="29"/>
      <c r="BRL16" s="29"/>
      <c r="BRM16" s="29"/>
      <c r="BRN16" s="29"/>
      <c r="BRO16" s="73"/>
      <c r="BRP16" s="67"/>
      <c r="BRQ16" s="67"/>
      <c r="BRR16" s="67"/>
      <c r="BRS16" s="67"/>
      <c r="BRT16" s="29"/>
      <c r="BRU16" s="136"/>
      <c r="BRV16" s="29"/>
      <c r="BRW16" s="29"/>
      <c r="BRX16" s="29"/>
      <c r="BRY16" s="29"/>
      <c r="BRZ16" s="29"/>
      <c r="BSA16" s="73"/>
      <c r="BSB16" s="29"/>
      <c r="BSC16" s="29"/>
      <c r="BSD16" s="29"/>
      <c r="BSE16" s="29"/>
      <c r="BSF16" s="29"/>
      <c r="BSG16" s="136"/>
      <c r="BSH16" s="29"/>
      <c r="BSI16" s="29"/>
      <c r="BSJ16" s="29"/>
      <c r="BSK16" s="29"/>
      <c r="BSL16" s="29"/>
      <c r="BSM16" s="73"/>
      <c r="BSN16" s="29"/>
      <c r="BSO16" s="29"/>
      <c r="BSP16" s="29"/>
      <c r="BSQ16" s="29"/>
      <c r="BSR16" s="29"/>
      <c r="BSS16" s="30"/>
      <c r="BST16" s="28"/>
      <c r="BSU16" s="67"/>
      <c r="BSV16" s="67"/>
      <c r="BSW16" s="67"/>
      <c r="BSX16" s="29"/>
      <c r="BSY16" s="131"/>
      <c r="BSZ16" s="29"/>
      <c r="BTA16" s="29"/>
      <c r="BTB16" s="29"/>
      <c r="BTC16" s="29"/>
      <c r="BTD16" s="29"/>
      <c r="BTE16" s="136"/>
      <c r="BTF16" s="29"/>
      <c r="BTG16" s="29"/>
      <c r="BTH16" s="29"/>
      <c r="BTI16" s="29"/>
      <c r="BTJ16" s="29"/>
      <c r="BTK16" s="73"/>
      <c r="BTL16" s="29"/>
      <c r="BTM16" s="29"/>
      <c r="BTN16" s="29"/>
      <c r="BTO16" s="29"/>
      <c r="BTP16" s="29"/>
      <c r="BTQ16" s="136"/>
      <c r="BTR16" s="29"/>
      <c r="BTS16" s="29"/>
      <c r="BTT16" s="29"/>
      <c r="BTU16" s="29"/>
      <c r="BTV16" s="29"/>
      <c r="BTW16" s="73"/>
      <c r="BTX16" s="67"/>
      <c r="BTY16" s="67"/>
      <c r="BTZ16" s="67"/>
      <c r="BUA16" s="67"/>
      <c r="BUB16" s="29"/>
      <c r="BUC16" s="136"/>
      <c r="BUD16" s="29"/>
      <c r="BUE16" s="29"/>
      <c r="BUF16" s="29"/>
      <c r="BUG16" s="29"/>
      <c r="BUH16" s="29"/>
      <c r="BUI16" s="73"/>
      <c r="BUJ16" s="29"/>
      <c r="BUK16" s="29"/>
      <c r="BUL16" s="29"/>
      <c r="BUM16" s="29"/>
      <c r="BUN16" s="29"/>
      <c r="BUO16" s="136"/>
      <c r="BUP16" s="29"/>
      <c r="BUQ16" s="29"/>
      <c r="BUR16" s="29"/>
      <c r="BUS16" s="29"/>
      <c r="BUT16" s="29"/>
      <c r="BUU16" s="73"/>
      <c r="BUV16" s="29"/>
      <c r="BUW16" s="29"/>
      <c r="BUX16" s="29"/>
      <c r="BUY16" s="29"/>
      <c r="BUZ16" s="29"/>
      <c r="BVA16" s="30"/>
      <c r="BVB16" s="28"/>
      <c r="BVC16" s="67"/>
      <c r="BVD16" s="67"/>
      <c r="BVE16" s="67"/>
      <c r="BVF16" s="29"/>
      <c r="BVG16" s="131"/>
      <c r="BVH16" s="29"/>
      <c r="BVI16" s="29"/>
      <c r="BVJ16" s="29"/>
      <c r="BVK16" s="29"/>
      <c r="BVL16" s="29"/>
      <c r="BVM16" s="136"/>
      <c r="BVN16" s="29"/>
      <c r="BVO16" s="29"/>
      <c r="BVP16" s="29"/>
      <c r="BVQ16" s="29"/>
      <c r="BVR16" s="29"/>
      <c r="BVS16" s="73"/>
      <c r="BVT16" s="29"/>
      <c r="BVU16" s="29"/>
      <c r="BVV16" s="29"/>
      <c r="BVW16" s="29"/>
      <c r="BVX16" s="29"/>
      <c r="BVY16" s="136"/>
      <c r="BVZ16" s="29"/>
      <c r="BWA16" s="29"/>
      <c r="BWB16" s="29"/>
      <c r="BWC16" s="29"/>
      <c r="BWD16" s="29"/>
      <c r="BWE16" s="73"/>
      <c r="BWF16" s="67"/>
      <c r="BWG16" s="67"/>
      <c r="BWH16" s="67"/>
      <c r="BWI16" s="67"/>
      <c r="BWJ16" s="29"/>
      <c r="BWK16" s="136"/>
      <c r="BWL16" s="29"/>
      <c r="BWM16" s="29"/>
      <c r="BWN16" s="29"/>
      <c r="BWO16" s="29"/>
      <c r="BWP16" s="29"/>
      <c r="BWQ16" s="73"/>
      <c r="BWR16" s="29"/>
      <c r="BWS16" s="29"/>
      <c r="BWT16" s="29"/>
      <c r="BWU16" s="29"/>
      <c r="BWV16" s="29"/>
      <c r="BWW16" s="136"/>
      <c r="BWX16" s="29"/>
      <c r="BWY16" s="29"/>
      <c r="BWZ16" s="29"/>
      <c r="BXA16" s="29"/>
      <c r="BXB16" s="29"/>
      <c r="BXC16" s="73"/>
      <c r="BXD16" s="29"/>
      <c r="BXE16" s="29"/>
      <c r="BXF16" s="29"/>
      <c r="BXG16" s="29"/>
      <c r="BXH16" s="29"/>
      <c r="BXI16" s="30"/>
      <c r="BXJ16" s="28"/>
      <c r="BXK16" s="67"/>
      <c r="BXL16" s="67"/>
      <c r="BXM16" s="67"/>
      <c r="BXN16" s="29"/>
      <c r="BXO16" s="131"/>
      <c r="BXP16" s="29"/>
      <c r="BXQ16" s="29"/>
      <c r="BXR16" s="29"/>
      <c r="BXS16" s="29"/>
      <c r="BXT16" s="29"/>
      <c r="BXU16" s="136"/>
      <c r="BXV16" s="29"/>
      <c r="BXW16" s="29"/>
      <c r="BXX16" s="29"/>
      <c r="BXY16" s="29"/>
      <c r="BXZ16" s="29"/>
      <c r="BYA16" s="73"/>
      <c r="BYB16" s="29"/>
      <c r="BYC16" s="29"/>
      <c r="BYD16" s="29"/>
      <c r="BYE16" s="29"/>
      <c r="BYF16" s="29"/>
      <c r="BYG16" s="136"/>
      <c r="BYH16" s="29"/>
      <c r="BYI16" s="29"/>
      <c r="BYJ16" s="29"/>
      <c r="BYK16" s="29"/>
      <c r="BYL16" s="29"/>
      <c r="BYM16" s="73"/>
      <c r="BYN16" s="67"/>
      <c r="BYO16" s="67"/>
      <c r="BYP16" s="67"/>
      <c r="BYQ16" s="67"/>
      <c r="BYR16" s="29"/>
      <c r="BYS16" s="136"/>
      <c r="BYT16" s="29"/>
      <c r="BYU16" s="29"/>
      <c r="BYV16" s="29"/>
      <c r="BYW16" s="29"/>
      <c r="BYX16" s="29"/>
      <c r="BYY16" s="73"/>
      <c r="BYZ16" s="29"/>
      <c r="BZA16" s="29"/>
      <c r="BZB16" s="29"/>
      <c r="BZC16" s="29"/>
      <c r="BZD16" s="29"/>
      <c r="BZE16" s="136"/>
      <c r="BZF16" s="29"/>
      <c r="BZG16" s="29"/>
      <c r="BZH16" s="29"/>
      <c r="BZI16" s="29"/>
      <c r="BZJ16" s="29"/>
      <c r="BZK16" s="73"/>
      <c r="BZL16" s="29"/>
      <c r="BZM16" s="29"/>
      <c r="BZN16" s="29"/>
      <c r="BZO16" s="29"/>
      <c r="BZP16" s="29"/>
      <c r="BZQ16" s="30"/>
      <c r="BZR16" s="28"/>
      <c r="BZS16" s="67"/>
      <c r="BZT16" s="67"/>
      <c r="BZU16" s="67"/>
      <c r="BZV16" s="29"/>
      <c r="BZW16" s="131"/>
      <c r="BZX16" s="29"/>
      <c r="BZY16" s="29"/>
      <c r="BZZ16" s="29"/>
      <c r="CAA16" s="29"/>
      <c r="CAB16" s="29"/>
      <c r="CAC16" s="136"/>
      <c r="CAD16" s="29"/>
      <c r="CAE16" s="29"/>
      <c r="CAF16" s="29"/>
      <c r="CAG16" s="29"/>
      <c r="CAH16" s="29"/>
      <c r="CAI16" s="73"/>
      <c r="CAJ16" s="29"/>
      <c r="CAK16" s="29"/>
      <c r="CAL16" s="29"/>
      <c r="CAM16" s="29"/>
      <c r="CAN16" s="29"/>
      <c r="CAO16" s="136"/>
      <c r="CAP16" s="29"/>
      <c r="CAQ16" s="29"/>
      <c r="CAR16" s="29"/>
      <c r="CAS16" s="29"/>
      <c r="CAT16" s="29"/>
      <c r="CAU16" s="73"/>
      <c r="CAV16" s="67"/>
      <c r="CAW16" s="67"/>
      <c r="CAX16" s="67"/>
      <c r="CAY16" s="67"/>
      <c r="CAZ16" s="29"/>
      <c r="CBA16" s="136"/>
      <c r="CBB16" s="29"/>
      <c r="CBC16" s="29"/>
      <c r="CBD16" s="29"/>
      <c r="CBE16" s="29"/>
      <c r="CBF16" s="29"/>
      <c r="CBG16" s="73"/>
      <c r="CBH16" s="29"/>
      <c r="CBI16" s="29"/>
      <c r="CBJ16" s="29"/>
      <c r="CBK16" s="29"/>
      <c r="CBL16" s="29"/>
      <c r="CBM16" s="136"/>
      <c r="CBN16" s="29"/>
      <c r="CBO16" s="29"/>
      <c r="CBP16" s="29"/>
      <c r="CBQ16" s="29"/>
      <c r="CBR16" s="29"/>
      <c r="CBS16" s="73"/>
      <c r="CBT16" s="29"/>
      <c r="CBU16" s="29"/>
      <c r="CBV16" s="29"/>
      <c r="CBW16" s="29"/>
      <c r="CBX16" s="29"/>
      <c r="CBY16" s="30"/>
      <c r="CBZ16" s="90"/>
    </row>
    <row r="17" spans="1:2106" ht="20.100000000000001" customHeight="1" x14ac:dyDescent="0.25">
      <c r="A17" s="100" t="s">
        <v>22</v>
      </c>
      <c r="B17" s="63" t="str">
        <f>IF(LEN(C19)=0,"",C19)</f>
        <v>Réalisation - Interfaces</v>
      </c>
      <c r="C17" s="170" t="s">
        <v>34</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32"/>
      <c r="BLW17" s="64"/>
      <c r="BLX17" s="64"/>
      <c r="BLY17" s="64"/>
      <c r="BLZ17" s="33"/>
      <c r="BMA17" s="132"/>
      <c r="BMB17" s="33"/>
      <c r="BMC17" s="33"/>
      <c r="BMD17" s="33"/>
      <c r="BME17" s="33"/>
      <c r="BMF17" s="33"/>
      <c r="BMG17" s="137"/>
      <c r="BMH17" s="33"/>
      <c r="BMI17" s="33"/>
      <c r="BMJ17" s="33"/>
      <c r="BMK17" s="33"/>
      <c r="BML17" s="33"/>
      <c r="BMM17" s="74"/>
      <c r="BMN17" s="33"/>
      <c r="BMO17" s="33"/>
      <c r="BMP17" s="33"/>
      <c r="BMQ17" s="33"/>
      <c r="BMR17" s="33"/>
      <c r="BMS17" s="137"/>
      <c r="BMT17" s="33"/>
      <c r="BMU17" s="33"/>
      <c r="BMV17" s="33"/>
      <c r="BMW17" s="33"/>
      <c r="BMX17" s="33"/>
      <c r="BMY17" s="74"/>
      <c r="BMZ17" s="64"/>
      <c r="BNA17" s="64"/>
      <c r="BNB17" s="64"/>
      <c r="BNC17" s="64"/>
      <c r="BND17" s="33"/>
      <c r="BNE17" s="137"/>
      <c r="BNF17" s="33"/>
      <c r="BNG17" s="33"/>
      <c r="BNH17" s="33"/>
      <c r="BNI17" s="33"/>
      <c r="BNJ17" s="33"/>
      <c r="BNK17" s="74"/>
      <c r="BNL17" s="33"/>
      <c r="BNM17" s="33"/>
      <c r="BNN17" s="33"/>
      <c r="BNO17" s="33"/>
      <c r="BNP17" s="33"/>
      <c r="BNQ17" s="137"/>
      <c r="BNR17" s="33"/>
      <c r="BNS17" s="33"/>
      <c r="BNT17" s="33"/>
      <c r="BNU17" s="33"/>
      <c r="BNV17" s="33"/>
      <c r="BNW17" s="74"/>
      <c r="BNX17" s="33"/>
      <c r="BNY17" s="33"/>
      <c r="BNZ17" s="33"/>
      <c r="BOA17" s="33"/>
      <c r="BOB17" s="33"/>
      <c r="BOC17" s="34"/>
      <c r="BOD17" s="32"/>
      <c r="BOE17" s="64"/>
      <c r="BOF17" s="64"/>
      <c r="BOG17" s="64"/>
      <c r="BOH17" s="33"/>
      <c r="BOI17" s="132"/>
      <c r="BOJ17" s="33"/>
      <c r="BOK17" s="33"/>
      <c r="BOL17" s="33"/>
      <c r="BOM17" s="33"/>
      <c r="BON17" s="33"/>
      <c r="BOO17" s="137"/>
      <c r="BOP17" s="33"/>
      <c r="BOQ17" s="33"/>
      <c r="BOR17" s="33"/>
      <c r="BOS17" s="33"/>
      <c r="BOT17" s="33"/>
      <c r="BOU17" s="74"/>
      <c r="BOV17" s="33"/>
      <c r="BOW17" s="33"/>
      <c r="BOX17" s="33"/>
      <c r="BOY17" s="33"/>
      <c r="BOZ17" s="33"/>
      <c r="BPA17" s="137"/>
      <c r="BPB17" s="33"/>
      <c r="BPC17" s="33"/>
      <c r="BPD17" s="33"/>
      <c r="BPE17" s="33"/>
      <c r="BPF17" s="33"/>
      <c r="BPG17" s="74"/>
      <c r="BPH17" s="64"/>
      <c r="BPI17" s="64"/>
      <c r="BPJ17" s="64"/>
      <c r="BPK17" s="64"/>
      <c r="BPL17" s="33"/>
      <c r="BPM17" s="137"/>
      <c r="BPN17" s="33"/>
      <c r="BPO17" s="33"/>
      <c r="BPP17" s="33"/>
      <c r="BPQ17" s="33"/>
      <c r="BPR17" s="33"/>
      <c r="BPS17" s="74"/>
      <c r="BPT17" s="33"/>
      <c r="BPU17" s="33"/>
      <c r="BPV17" s="33"/>
      <c r="BPW17" s="33"/>
      <c r="BPX17" s="33"/>
      <c r="BPY17" s="137"/>
      <c r="BPZ17" s="33"/>
      <c r="BQA17" s="33"/>
      <c r="BQB17" s="33"/>
      <c r="BQC17" s="33"/>
      <c r="BQD17" s="33"/>
      <c r="BQE17" s="74"/>
      <c r="BQF17" s="33"/>
      <c r="BQG17" s="33"/>
      <c r="BQH17" s="33"/>
      <c r="BQI17" s="33"/>
      <c r="BQJ17" s="33"/>
      <c r="BQK17" s="34"/>
      <c r="BQL17" s="32"/>
      <c r="BQM17" s="64"/>
      <c r="BQN17" s="64"/>
      <c r="BQO17" s="64"/>
      <c r="BQP17" s="33"/>
      <c r="BQQ17" s="132"/>
      <c r="BQR17" s="33"/>
      <c r="BQS17" s="33"/>
      <c r="BQT17" s="33"/>
      <c r="BQU17" s="33"/>
      <c r="BQV17" s="33"/>
      <c r="BQW17" s="137"/>
      <c r="BQX17" s="33"/>
      <c r="BQY17" s="33"/>
      <c r="BQZ17" s="33"/>
      <c r="BRA17" s="33"/>
      <c r="BRB17" s="33"/>
      <c r="BRC17" s="74"/>
      <c r="BRD17" s="33"/>
      <c r="BRE17" s="33"/>
      <c r="BRF17" s="33"/>
      <c r="BRG17" s="33"/>
      <c r="BRH17" s="33"/>
      <c r="BRI17" s="137"/>
      <c r="BRJ17" s="33"/>
      <c r="BRK17" s="33"/>
      <c r="BRL17" s="33"/>
      <c r="BRM17" s="33"/>
      <c r="BRN17" s="33"/>
      <c r="BRO17" s="74"/>
      <c r="BRP17" s="64"/>
      <c r="BRQ17" s="64"/>
      <c r="BRR17" s="64"/>
      <c r="BRS17" s="64"/>
      <c r="BRT17" s="33"/>
      <c r="BRU17" s="137"/>
      <c r="BRV17" s="33"/>
      <c r="BRW17" s="33"/>
      <c r="BRX17" s="33"/>
      <c r="BRY17" s="33"/>
      <c r="BRZ17" s="33"/>
      <c r="BSA17" s="74"/>
      <c r="BSB17" s="33"/>
      <c r="BSC17" s="33"/>
      <c r="BSD17" s="33"/>
      <c r="BSE17" s="33"/>
      <c r="BSF17" s="33"/>
      <c r="BSG17" s="137"/>
      <c r="BSH17" s="33"/>
      <c r="BSI17" s="33"/>
      <c r="BSJ17" s="33"/>
      <c r="BSK17" s="33"/>
      <c r="BSL17" s="33"/>
      <c r="BSM17" s="74"/>
      <c r="BSN17" s="33"/>
      <c r="BSO17" s="33"/>
      <c r="BSP17" s="33"/>
      <c r="BSQ17" s="33"/>
      <c r="BSR17" s="33"/>
      <c r="BSS17" s="34"/>
      <c r="BST17" s="32"/>
      <c r="BSU17" s="64"/>
      <c r="BSV17" s="64"/>
      <c r="BSW17" s="64"/>
      <c r="BSX17" s="33"/>
      <c r="BSY17" s="132"/>
      <c r="BSZ17" s="33"/>
      <c r="BTA17" s="33"/>
      <c r="BTB17" s="33"/>
      <c r="BTC17" s="33"/>
      <c r="BTD17" s="33"/>
      <c r="BTE17" s="137"/>
      <c r="BTF17" s="33"/>
      <c r="BTG17" s="33"/>
      <c r="BTH17" s="33"/>
      <c r="BTI17" s="33"/>
      <c r="BTJ17" s="33"/>
      <c r="BTK17" s="74"/>
      <c r="BTL17" s="33"/>
      <c r="BTM17" s="33"/>
      <c r="BTN17" s="33"/>
      <c r="BTO17" s="33"/>
      <c r="BTP17" s="33"/>
      <c r="BTQ17" s="137"/>
      <c r="BTR17" s="33"/>
      <c r="BTS17" s="33"/>
      <c r="BTT17" s="33"/>
      <c r="BTU17" s="33"/>
      <c r="BTV17" s="33"/>
      <c r="BTW17" s="74"/>
      <c r="BTX17" s="64"/>
      <c r="BTY17" s="64"/>
      <c r="BTZ17" s="64"/>
      <c r="BUA17" s="64"/>
      <c r="BUB17" s="33"/>
      <c r="BUC17" s="137"/>
      <c r="BUD17" s="33"/>
      <c r="BUE17" s="33"/>
      <c r="BUF17" s="33"/>
      <c r="BUG17" s="33"/>
      <c r="BUH17" s="33"/>
      <c r="BUI17" s="74"/>
      <c r="BUJ17" s="33"/>
      <c r="BUK17" s="33"/>
      <c r="BUL17" s="33"/>
      <c r="BUM17" s="33"/>
      <c r="BUN17" s="33"/>
      <c r="BUO17" s="137"/>
      <c r="BUP17" s="33"/>
      <c r="BUQ17" s="33"/>
      <c r="BUR17" s="33"/>
      <c r="BUS17" s="33"/>
      <c r="BUT17" s="33"/>
      <c r="BUU17" s="74"/>
      <c r="BUV17" s="33"/>
      <c r="BUW17" s="33"/>
      <c r="BUX17" s="33"/>
      <c r="BUY17" s="33"/>
      <c r="BUZ17" s="33"/>
      <c r="BVA17" s="34"/>
      <c r="BVB17" s="32"/>
      <c r="BVC17" s="64"/>
      <c r="BVD17" s="64"/>
      <c r="BVE17" s="64"/>
      <c r="BVF17" s="33"/>
      <c r="BVG17" s="132"/>
      <c r="BVH17" s="33"/>
      <c r="BVI17" s="33"/>
      <c r="BVJ17" s="33"/>
      <c r="BVK17" s="33"/>
      <c r="BVL17" s="33"/>
      <c r="BVM17" s="137"/>
      <c r="BVN17" s="33"/>
      <c r="BVO17" s="33"/>
      <c r="BVP17" s="33"/>
      <c r="BVQ17" s="33"/>
      <c r="BVR17" s="33"/>
      <c r="BVS17" s="74"/>
      <c r="BVT17" s="33"/>
      <c r="BVU17" s="33"/>
      <c r="BVV17" s="33"/>
      <c r="BVW17" s="33"/>
      <c r="BVX17" s="33"/>
      <c r="BVY17" s="137"/>
      <c r="BVZ17" s="33"/>
      <c r="BWA17" s="33"/>
      <c r="BWB17" s="33"/>
      <c r="BWC17" s="33"/>
      <c r="BWD17" s="33"/>
      <c r="BWE17" s="74"/>
      <c r="BWF17" s="64"/>
      <c r="BWG17" s="64"/>
      <c r="BWH17" s="64"/>
      <c r="BWI17" s="64"/>
      <c r="BWJ17" s="33"/>
      <c r="BWK17" s="137"/>
      <c r="BWL17" s="33"/>
      <c r="BWM17" s="33"/>
      <c r="BWN17" s="33"/>
      <c r="BWO17" s="33"/>
      <c r="BWP17" s="33"/>
      <c r="BWQ17" s="74"/>
      <c r="BWR17" s="33"/>
      <c r="BWS17" s="33"/>
      <c r="BWT17" s="33"/>
      <c r="BWU17" s="33"/>
      <c r="BWV17" s="33"/>
      <c r="BWW17" s="137"/>
      <c r="BWX17" s="33"/>
      <c r="BWY17" s="33"/>
      <c r="BWZ17" s="33"/>
      <c r="BXA17" s="33"/>
      <c r="BXB17" s="33"/>
      <c r="BXC17" s="74"/>
      <c r="BXD17" s="33"/>
      <c r="BXE17" s="33"/>
      <c r="BXF17" s="33"/>
      <c r="BXG17" s="33"/>
      <c r="BXH17" s="33"/>
      <c r="BXI17" s="34"/>
      <c r="BXJ17" s="32"/>
      <c r="BXK17" s="64"/>
      <c r="BXL17" s="64"/>
      <c r="BXM17" s="64"/>
      <c r="BXN17" s="33"/>
      <c r="BXO17" s="132"/>
      <c r="BXP17" s="33"/>
      <c r="BXQ17" s="33"/>
      <c r="BXR17" s="33"/>
      <c r="BXS17" s="33"/>
      <c r="BXT17" s="33"/>
      <c r="BXU17" s="137"/>
      <c r="BXV17" s="33"/>
      <c r="BXW17" s="33"/>
      <c r="BXX17" s="33"/>
      <c r="BXY17" s="33"/>
      <c r="BXZ17" s="33"/>
      <c r="BYA17" s="74"/>
      <c r="BYB17" s="33"/>
      <c r="BYC17" s="33"/>
      <c r="BYD17" s="33"/>
      <c r="BYE17" s="33"/>
      <c r="BYF17" s="33"/>
      <c r="BYG17" s="137"/>
      <c r="BYH17" s="33"/>
      <c r="BYI17" s="33"/>
      <c r="BYJ17" s="33"/>
      <c r="BYK17" s="33"/>
      <c r="BYL17" s="33"/>
      <c r="BYM17" s="74"/>
      <c r="BYN17" s="64"/>
      <c r="BYO17" s="64"/>
      <c r="BYP17" s="64"/>
      <c r="BYQ17" s="64"/>
      <c r="BYR17" s="33"/>
      <c r="BYS17" s="137"/>
      <c r="BYT17" s="33"/>
      <c r="BYU17" s="33"/>
      <c r="BYV17" s="33"/>
      <c r="BYW17" s="33"/>
      <c r="BYX17" s="33"/>
      <c r="BYY17" s="74"/>
      <c r="BYZ17" s="33"/>
      <c r="BZA17" s="33"/>
      <c r="BZB17" s="33"/>
      <c r="BZC17" s="33"/>
      <c r="BZD17" s="33"/>
      <c r="BZE17" s="137"/>
      <c r="BZF17" s="33"/>
      <c r="BZG17" s="33"/>
      <c r="BZH17" s="33"/>
      <c r="BZI17" s="33"/>
      <c r="BZJ17" s="33"/>
      <c r="BZK17" s="74"/>
      <c r="BZL17" s="33"/>
      <c r="BZM17" s="33"/>
      <c r="BZN17" s="33"/>
      <c r="BZO17" s="33"/>
      <c r="BZP17" s="33"/>
      <c r="BZQ17" s="34"/>
      <c r="BZR17" s="32"/>
      <c r="BZS17" s="64"/>
      <c r="BZT17" s="64"/>
      <c r="BZU17" s="64"/>
      <c r="BZV17" s="33"/>
      <c r="BZW17" s="132"/>
      <c r="BZX17" s="33"/>
      <c r="BZY17" s="33"/>
      <c r="BZZ17" s="33"/>
      <c r="CAA17" s="33"/>
      <c r="CAB17" s="33"/>
      <c r="CAC17" s="137"/>
      <c r="CAD17" s="33"/>
      <c r="CAE17" s="33"/>
      <c r="CAF17" s="33"/>
      <c r="CAG17" s="33"/>
      <c r="CAH17" s="33"/>
      <c r="CAI17" s="74"/>
      <c r="CAJ17" s="33"/>
      <c r="CAK17" s="33"/>
      <c r="CAL17" s="33"/>
      <c r="CAM17" s="33"/>
      <c r="CAN17" s="33"/>
      <c r="CAO17" s="137"/>
      <c r="CAP17" s="33"/>
      <c r="CAQ17" s="33"/>
      <c r="CAR17" s="33"/>
      <c r="CAS17" s="33"/>
      <c r="CAT17" s="33"/>
      <c r="CAU17" s="74"/>
      <c r="CAV17" s="64"/>
      <c r="CAW17" s="64"/>
      <c r="CAX17" s="64"/>
      <c r="CAY17" s="64"/>
      <c r="CAZ17" s="33"/>
      <c r="CBA17" s="137"/>
      <c r="CBB17" s="33"/>
      <c r="CBC17" s="33"/>
      <c r="CBD17" s="33"/>
      <c r="CBE17" s="33"/>
      <c r="CBF17" s="33"/>
      <c r="CBG17" s="74"/>
      <c r="CBH17" s="33"/>
      <c r="CBI17" s="33"/>
      <c r="CBJ17" s="33"/>
      <c r="CBK17" s="33"/>
      <c r="CBL17" s="33"/>
      <c r="CBM17" s="137"/>
      <c r="CBN17" s="33"/>
      <c r="CBO17" s="33"/>
      <c r="CBP17" s="33"/>
      <c r="CBQ17" s="33"/>
      <c r="CBR17" s="33"/>
      <c r="CBS17" s="74"/>
      <c r="CBT17" s="33"/>
      <c r="CBU17" s="33"/>
      <c r="CBV17" s="33"/>
      <c r="CBW17" s="33"/>
      <c r="CBX17" s="33"/>
      <c r="CBY17" s="34"/>
      <c r="CBZ17" s="90"/>
    </row>
    <row r="18" spans="1:2106" ht="20.100000000000001" customHeight="1" x14ac:dyDescent="0.3">
      <c r="A18" s="100" t="s">
        <v>23</v>
      </c>
      <c r="B18" s="63" t="str">
        <f>IF(LEN(C21)=0,"",C21)</f>
        <v>Doc - Journal de travail</v>
      </c>
      <c r="C18" s="171"/>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36"/>
      <c r="BLW18" s="65"/>
      <c r="BLX18" s="65"/>
      <c r="BLY18" s="65"/>
      <c r="BLZ18" s="37"/>
      <c r="BMA18" s="133"/>
      <c r="BMB18" s="37"/>
      <c r="BMC18" s="37"/>
      <c r="BMD18" s="37"/>
      <c r="BME18" s="37"/>
      <c r="BMF18" s="37"/>
      <c r="BMG18" s="138"/>
      <c r="BMH18" s="37"/>
      <c r="BMI18" s="37"/>
      <c r="BMJ18" s="37"/>
      <c r="BMK18" s="37"/>
      <c r="BML18" s="37"/>
      <c r="BMM18" s="75"/>
      <c r="BMN18" s="37"/>
      <c r="BMO18" s="37"/>
      <c r="BMP18" s="37"/>
      <c r="BMQ18" s="37"/>
      <c r="BMR18" s="37"/>
      <c r="BMS18" s="138"/>
      <c r="BMT18" s="37"/>
      <c r="BMU18" s="37"/>
      <c r="BMV18" s="37"/>
      <c r="BMW18" s="37"/>
      <c r="BMX18" s="37"/>
      <c r="BMY18" s="75"/>
      <c r="BMZ18" s="65"/>
      <c r="BNA18" s="65"/>
      <c r="BNB18" s="65"/>
      <c r="BNC18" s="65"/>
      <c r="BND18" s="37"/>
      <c r="BNE18" s="138"/>
      <c r="BNF18" s="37"/>
      <c r="BNG18" s="37"/>
      <c r="BNH18" s="37"/>
      <c r="BNI18" s="37"/>
      <c r="BNJ18" s="37"/>
      <c r="BNK18" s="75"/>
      <c r="BNL18" s="37"/>
      <c r="BNM18" s="37"/>
      <c r="BNN18" s="37"/>
      <c r="BNO18" s="37"/>
      <c r="BNP18" s="37"/>
      <c r="BNQ18" s="138"/>
      <c r="BNR18" s="37"/>
      <c r="BNS18" s="37"/>
      <c r="BNT18" s="37"/>
      <c r="BNU18" s="37"/>
      <c r="BNV18" s="37"/>
      <c r="BNW18" s="75"/>
      <c r="BNX18" s="37"/>
      <c r="BNY18" s="37"/>
      <c r="BNZ18" s="37"/>
      <c r="BOA18" s="37"/>
      <c r="BOB18" s="37"/>
      <c r="BOC18" s="38"/>
      <c r="BOD18" s="36"/>
      <c r="BOE18" s="65"/>
      <c r="BOF18" s="65"/>
      <c r="BOG18" s="65"/>
      <c r="BOH18" s="37"/>
      <c r="BOI18" s="133"/>
      <c r="BOJ18" s="37"/>
      <c r="BOK18" s="37"/>
      <c r="BOL18" s="37"/>
      <c r="BOM18" s="37"/>
      <c r="BON18" s="37"/>
      <c r="BOO18" s="138"/>
      <c r="BOP18" s="37"/>
      <c r="BOQ18" s="37"/>
      <c r="BOR18" s="37"/>
      <c r="BOS18" s="37"/>
      <c r="BOT18" s="37"/>
      <c r="BOU18" s="75"/>
      <c r="BOV18" s="37"/>
      <c r="BOW18" s="37"/>
      <c r="BOX18" s="37"/>
      <c r="BOY18" s="37"/>
      <c r="BOZ18" s="37"/>
      <c r="BPA18" s="138"/>
      <c r="BPB18" s="37"/>
      <c r="BPC18" s="37"/>
      <c r="BPD18" s="37"/>
      <c r="BPE18" s="37"/>
      <c r="BPF18" s="37"/>
      <c r="BPG18" s="75"/>
      <c r="BPH18" s="65"/>
      <c r="BPI18" s="65"/>
      <c r="BPJ18" s="65"/>
      <c r="BPK18" s="65"/>
      <c r="BPL18" s="37"/>
      <c r="BPM18" s="138"/>
      <c r="BPN18" s="37"/>
      <c r="BPO18" s="37"/>
      <c r="BPP18" s="37"/>
      <c r="BPQ18" s="37"/>
      <c r="BPR18" s="37"/>
      <c r="BPS18" s="75"/>
      <c r="BPT18" s="37"/>
      <c r="BPU18" s="37"/>
      <c r="BPV18" s="37"/>
      <c r="BPW18" s="37"/>
      <c r="BPX18" s="37"/>
      <c r="BPY18" s="138"/>
      <c r="BPZ18" s="37"/>
      <c r="BQA18" s="37"/>
      <c r="BQB18" s="37"/>
      <c r="BQC18" s="37"/>
      <c r="BQD18" s="37"/>
      <c r="BQE18" s="75"/>
      <c r="BQF18" s="37"/>
      <c r="BQG18" s="37"/>
      <c r="BQH18" s="37"/>
      <c r="BQI18" s="37"/>
      <c r="BQJ18" s="37"/>
      <c r="BQK18" s="38"/>
      <c r="BQL18" s="36"/>
      <c r="BQM18" s="65"/>
      <c r="BQN18" s="65"/>
      <c r="BQO18" s="65"/>
      <c r="BQP18" s="37"/>
      <c r="BQQ18" s="133"/>
      <c r="BQR18" s="37"/>
      <c r="BQS18" s="37"/>
      <c r="BQT18" s="37"/>
      <c r="BQU18" s="37"/>
      <c r="BQV18" s="37"/>
      <c r="BQW18" s="138"/>
      <c r="BQX18" s="37"/>
      <c r="BQY18" s="37"/>
      <c r="BQZ18" s="37"/>
      <c r="BRA18" s="37"/>
      <c r="BRB18" s="37"/>
      <c r="BRC18" s="75"/>
      <c r="BRD18" s="37"/>
      <c r="BRE18" s="37"/>
      <c r="BRF18" s="37"/>
      <c r="BRG18" s="37"/>
      <c r="BRH18" s="37"/>
      <c r="BRI18" s="138"/>
      <c r="BRJ18" s="37"/>
      <c r="BRK18" s="37"/>
      <c r="BRL18" s="37"/>
      <c r="BRM18" s="37"/>
      <c r="BRN18" s="37"/>
      <c r="BRO18" s="75"/>
      <c r="BRP18" s="65"/>
      <c r="BRQ18" s="65"/>
      <c r="BRR18" s="65"/>
      <c r="BRS18" s="65"/>
      <c r="BRT18" s="37"/>
      <c r="BRU18" s="138"/>
      <c r="BRV18" s="37"/>
      <c r="BRW18" s="37"/>
      <c r="BRX18" s="37"/>
      <c r="BRY18" s="37"/>
      <c r="BRZ18" s="37"/>
      <c r="BSA18" s="75"/>
      <c r="BSB18" s="37"/>
      <c r="BSC18" s="37"/>
      <c r="BSD18" s="37"/>
      <c r="BSE18" s="37"/>
      <c r="BSF18" s="37"/>
      <c r="BSG18" s="138"/>
      <c r="BSH18" s="37"/>
      <c r="BSI18" s="37"/>
      <c r="BSJ18" s="37"/>
      <c r="BSK18" s="37"/>
      <c r="BSL18" s="37"/>
      <c r="BSM18" s="75"/>
      <c r="BSN18" s="37"/>
      <c r="BSO18" s="37"/>
      <c r="BSP18" s="37"/>
      <c r="BSQ18" s="37"/>
      <c r="BSR18" s="37"/>
      <c r="BSS18" s="38"/>
      <c r="BST18" s="36"/>
      <c r="BSU18" s="65"/>
      <c r="BSV18" s="65"/>
      <c r="BSW18" s="65"/>
      <c r="BSX18" s="37"/>
      <c r="BSY18" s="133"/>
      <c r="BSZ18" s="37"/>
      <c r="BTA18" s="37"/>
      <c r="BTB18" s="37"/>
      <c r="BTC18" s="37"/>
      <c r="BTD18" s="37"/>
      <c r="BTE18" s="138"/>
      <c r="BTF18" s="37"/>
      <c r="BTG18" s="37"/>
      <c r="BTH18" s="37"/>
      <c r="BTI18" s="37"/>
      <c r="BTJ18" s="37"/>
      <c r="BTK18" s="75"/>
      <c r="BTL18" s="37"/>
      <c r="BTM18" s="37"/>
      <c r="BTN18" s="37"/>
      <c r="BTO18" s="37"/>
      <c r="BTP18" s="37"/>
      <c r="BTQ18" s="138"/>
      <c r="BTR18" s="37"/>
      <c r="BTS18" s="37"/>
      <c r="BTT18" s="37"/>
      <c r="BTU18" s="37"/>
      <c r="BTV18" s="37"/>
      <c r="BTW18" s="75"/>
      <c r="BTX18" s="65"/>
      <c r="BTY18" s="65"/>
      <c r="BTZ18" s="65"/>
      <c r="BUA18" s="65"/>
      <c r="BUB18" s="37"/>
      <c r="BUC18" s="138"/>
      <c r="BUD18" s="37"/>
      <c r="BUE18" s="37"/>
      <c r="BUF18" s="37"/>
      <c r="BUG18" s="37"/>
      <c r="BUH18" s="37"/>
      <c r="BUI18" s="75"/>
      <c r="BUJ18" s="37"/>
      <c r="BUK18" s="37"/>
      <c r="BUL18" s="37"/>
      <c r="BUM18" s="37"/>
      <c r="BUN18" s="37"/>
      <c r="BUO18" s="138"/>
      <c r="BUP18" s="37"/>
      <c r="BUQ18" s="37"/>
      <c r="BUR18" s="37"/>
      <c r="BUS18" s="37"/>
      <c r="BUT18" s="37"/>
      <c r="BUU18" s="75"/>
      <c r="BUV18" s="37"/>
      <c r="BUW18" s="37"/>
      <c r="BUX18" s="37"/>
      <c r="BUY18" s="37"/>
      <c r="BUZ18" s="37"/>
      <c r="BVA18" s="38"/>
      <c r="BVB18" s="36"/>
      <c r="BVC18" s="65"/>
      <c r="BVD18" s="65"/>
      <c r="BVE18" s="65"/>
      <c r="BVF18" s="37"/>
      <c r="BVG18" s="133"/>
      <c r="BVH18" s="37"/>
      <c r="BVI18" s="37"/>
      <c r="BVJ18" s="37"/>
      <c r="BVK18" s="37"/>
      <c r="BVL18" s="37"/>
      <c r="BVM18" s="138"/>
      <c r="BVN18" s="37"/>
      <c r="BVO18" s="37"/>
      <c r="BVP18" s="37"/>
      <c r="BVQ18" s="37"/>
      <c r="BVR18" s="37"/>
      <c r="BVS18" s="75"/>
      <c r="BVT18" s="37"/>
      <c r="BVU18" s="37"/>
      <c r="BVV18" s="37"/>
      <c r="BVW18" s="37"/>
      <c r="BVX18" s="37"/>
      <c r="BVY18" s="138"/>
      <c r="BVZ18" s="37"/>
      <c r="BWA18" s="37"/>
      <c r="BWB18" s="37"/>
      <c r="BWC18" s="37"/>
      <c r="BWD18" s="37"/>
      <c r="BWE18" s="75"/>
      <c r="BWF18" s="65"/>
      <c r="BWG18" s="65"/>
      <c r="BWH18" s="65"/>
      <c r="BWI18" s="65"/>
      <c r="BWJ18" s="37"/>
      <c r="BWK18" s="138"/>
      <c r="BWL18" s="37"/>
      <c r="BWM18" s="37"/>
      <c r="BWN18" s="37"/>
      <c r="BWO18" s="37"/>
      <c r="BWP18" s="37"/>
      <c r="BWQ18" s="75"/>
      <c r="BWR18" s="37"/>
      <c r="BWS18" s="37"/>
      <c r="BWT18" s="37"/>
      <c r="BWU18" s="37"/>
      <c r="BWV18" s="37"/>
      <c r="BWW18" s="138"/>
      <c r="BWX18" s="37"/>
      <c r="BWY18" s="37"/>
      <c r="BWZ18" s="37"/>
      <c r="BXA18" s="37"/>
      <c r="BXB18" s="37"/>
      <c r="BXC18" s="75"/>
      <c r="BXD18" s="37"/>
      <c r="BXE18" s="37"/>
      <c r="BXF18" s="37"/>
      <c r="BXG18" s="37"/>
      <c r="BXH18" s="37"/>
      <c r="BXI18" s="38"/>
      <c r="BXJ18" s="36"/>
      <c r="BXK18" s="65"/>
      <c r="BXL18" s="65"/>
      <c r="BXM18" s="65"/>
      <c r="BXN18" s="37"/>
      <c r="BXO18" s="133"/>
      <c r="BXP18" s="37"/>
      <c r="BXQ18" s="37"/>
      <c r="BXR18" s="37"/>
      <c r="BXS18" s="37"/>
      <c r="BXT18" s="37"/>
      <c r="BXU18" s="138"/>
      <c r="BXV18" s="37"/>
      <c r="BXW18" s="37"/>
      <c r="BXX18" s="37"/>
      <c r="BXY18" s="37"/>
      <c r="BXZ18" s="37"/>
      <c r="BYA18" s="75"/>
      <c r="BYB18" s="37"/>
      <c r="BYC18" s="37"/>
      <c r="BYD18" s="37"/>
      <c r="BYE18" s="37"/>
      <c r="BYF18" s="37"/>
      <c r="BYG18" s="138"/>
      <c r="BYH18" s="37"/>
      <c r="BYI18" s="37"/>
      <c r="BYJ18" s="37"/>
      <c r="BYK18" s="37"/>
      <c r="BYL18" s="37"/>
      <c r="BYM18" s="75"/>
      <c r="BYN18" s="65"/>
      <c r="BYO18" s="65"/>
      <c r="BYP18" s="65"/>
      <c r="BYQ18" s="65"/>
      <c r="BYR18" s="37"/>
      <c r="BYS18" s="138"/>
      <c r="BYT18" s="37"/>
      <c r="BYU18" s="37"/>
      <c r="BYV18" s="37"/>
      <c r="BYW18" s="37"/>
      <c r="BYX18" s="37"/>
      <c r="BYY18" s="75"/>
      <c r="BYZ18" s="37"/>
      <c r="BZA18" s="37"/>
      <c r="BZB18" s="37"/>
      <c r="BZC18" s="37"/>
      <c r="BZD18" s="37"/>
      <c r="BZE18" s="138"/>
      <c r="BZF18" s="37"/>
      <c r="BZG18" s="37"/>
      <c r="BZH18" s="37"/>
      <c r="BZI18" s="37"/>
      <c r="BZJ18" s="37"/>
      <c r="BZK18" s="75"/>
      <c r="BZL18" s="37"/>
      <c r="BZM18" s="37"/>
      <c r="BZN18" s="37"/>
      <c r="BZO18" s="37"/>
      <c r="BZP18" s="37"/>
      <c r="BZQ18" s="38"/>
      <c r="BZR18" s="36"/>
      <c r="BZS18" s="65"/>
      <c r="BZT18" s="65"/>
      <c r="BZU18" s="65"/>
      <c r="BZV18" s="37"/>
      <c r="BZW18" s="133"/>
      <c r="BZX18" s="37"/>
      <c r="BZY18" s="37"/>
      <c r="BZZ18" s="37"/>
      <c r="CAA18" s="37"/>
      <c r="CAB18" s="37"/>
      <c r="CAC18" s="138"/>
      <c r="CAD18" s="37"/>
      <c r="CAE18" s="37"/>
      <c r="CAF18" s="37"/>
      <c r="CAG18" s="37"/>
      <c r="CAH18" s="37"/>
      <c r="CAI18" s="75"/>
      <c r="CAJ18" s="37"/>
      <c r="CAK18" s="37"/>
      <c r="CAL18" s="37"/>
      <c r="CAM18" s="37"/>
      <c r="CAN18" s="37"/>
      <c r="CAO18" s="138"/>
      <c r="CAP18" s="37"/>
      <c r="CAQ18" s="37"/>
      <c r="CAR18" s="37"/>
      <c r="CAS18" s="37"/>
      <c r="CAT18" s="37"/>
      <c r="CAU18" s="75"/>
      <c r="CAV18" s="65"/>
      <c r="CAW18" s="65"/>
      <c r="CAX18" s="65"/>
      <c r="CAY18" s="65"/>
      <c r="CAZ18" s="37"/>
      <c r="CBA18" s="138"/>
      <c r="CBB18" s="37"/>
      <c r="CBC18" s="37"/>
      <c r="CBD18" s="37"/>
      <c r="CBE18" s="37"/>
      <c r="CBF18" s="37"/>
      <c r="CBG18" s="75"/>
      <c r="CBH18" s="37"/>
      <c r="CBI18" s="37"/>
      <c r="CBJ18" s="37"/>
      <c r="CBK18" s="37"/>
      <c r="CBL18" s="37"/>
      <c r="CBM18" s="138"/>
      <c r="CBN18" s="37"/>
      <c r="CBO18" s="37"/>
      <c r="CBP18" s="37"/>
      <c r="CBQ18" s="37"/>
      <c r="CBR18" s="37"/>
      <c r="CBS18" s="75"/>
      <c r="CBT18" s="37"/>
      <c r="CBU18" s="37"/>
      <c r="CBV18" s="37"/>
      <c r="CBW18" s="37"/>
      <c r="CBX18" s="37"/>
      <c r="CBY18" s="38"/>
      <c r="CBZ18" s="90"/>
    </row>
    <row r="19" spans="1:2106" ht="20.100000000000001" customHeight="1" x14ac:dyDescent="0.25">
      <c r="A19" s="100" t="s">
        <v>22</v>
      </c>
      <c r="B19" s="63" t="str">
        <f>IF(LEN(C23)=0,"",C23)</f>
        <v>Doc - Rapport</v>
      </c>
      <c r="C19" s="170" t="s">
        <v>35</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40"/>
      <c r="BLW19" s="66"/>
      <c r="BLX19" s="66"/>
      <c r="BLY19" s="66"/>
      <c r="BLZ19" s="41"/>
      <c r="BMA19" s="134"/>
      <c r="BMB19" s="41"/>
      <c r="BMC19" s="41"/>
      <c r="BMD19" s="41"/>
      <c r="BME19" s="41"/>
      <c r="BMF19" s="41"/>
      <c r="BMG19" s="139"/>
      <c r="BMH19" s="41"/>
      <c r="BMI19" s="41"/>
      <c r="BMJ19" s="41"/>
      <c r="BMK19" s="41"/>
      <c r="BML19" s="41"/>
      <c r="BMM19" s="76"/>
      <c r="BMN19" s="41"/>
      <c r="BMO19" s="41"/>
      <c r="BMP19" s="41"/>
      <c r="BMQ19" s="41"/>
      <c r="BMR19" s="41"/>
      <c r="BMS19" s="139"/>
      <c r="BMT19" s="41"/>
      <c r="BMU19" s="41"/>
      <c r="BMV19" s="41"/>
      <c r="BMW19" s="41"/>
      <c r="BMX19" s="41"/>
      <c r="BMY19" s="76"/>
      <c r="BMZ19" s="66"/>
      <c r="BNA19" s="66"/>
      <c r="BNB19" s="66"/>
      <c r="BNC19" s="66"/>
      <c r="BND19" s="41"/>
      <c r="BNE19" s="139"/>
      <c r="BNF19" s="41"/>
      <c r="BNG19" s="41"/>
      <c r="BNH19" s="41"/>
      <c r="BNI19" s="41"/>
      <c r="BNJ19" s="41"/>
      <c r="BNK19" s="76"/>
      <c r="BNL19" s="41"/>
      <c r="BNM19" s="41"/>
      <c r="BNN19" s="41"/>
      <c r="BNO19" s="41"/>
      <c r="BNP19" s="41"/>
      <c r="BNQ19" s="139"/>
      <c r="BNR19" s="41"/>
      <c r="BNS19" s="41"/>
      <c r="BNT19" s="41"/>
      <c r="BNU19" s="41"/>
      <c r="BNV19" s="41"/>
      <c r="BNW19" s="76"/>
      <c r="BNX19" s="41"/>
      <c r="BNY19" s="41"/>
      <c r="BNZ19" s="41"/>
      <c r="BOA19" s="41"/>
      <c r="BOB19" s="41"/>
      <c r="BOC19" s="42"/>
      <c r="BOD19" s="40"/>
      <c r="BOE19" s="66"/>
      <c r="BOF19" s="66"/>
      <c r="BOG19" s="66"/>
      <c r="BOH19" s="41"/>
      <c r="BOI19" s="134"/>
      <c r="BOJ19" s="41"/>
      <c r="BOK19" s="41"/>
      <c r="BOL19" s="41"/>
      <c r="BOM19" s="41"/>
      <c r="BON19" s="41"/>
      <c r="BOO19" s="139"/>
      <c r="BOP19" s="41"/>
      <c r="BOQ19" s="41"/>
      <c r="BOR19" s="41"/>
      <c r="BOS19" s="41"/>
      <c r="BOT19" s="41"/>
      <c r="BOU19" s="76"/>
      <c r="BOV19" s="41"/>
      <c r="BOW19" s="41"/>
      <c r="BOX19" s="41"/>
      <c r="BOY19" s="41"/>
      <c r="BOZ19" s="41"/>
      <c r="BPA19" s="139"/>
      <c r="BPB19" s="41"/>
      <c r="BPC19" s="41"/>
      <c r="BPD19" s="41"/>
      <c r="BPE19" s="41"/>
      <c r="BPF19" s="41"/>
      <c r="BPG19" s="76"/>
      <c r="BPH19" s="66"/>
      <c r="BPI19" s="66"/>
      <c r="BPJ19" s="66"/>
      <c r="BPK19" s="66"/>
      <c r="BPL19" s="41"/>
      <c r="BPM19" s="139"/>
      <c r="BPN19" s="41"/>
      <c r="BPO19" s="41"/>
      <c r="BPP19" s="41"/>
      <c r="BPQ19" s="41"/>
      <c r="BPR19" s="41"/>
      <c r="BPS19" s="76"/>
      <c r="BPT19" s="41"/>
      <c r="BPU19" s="41"/>
      <c r="BPV19" s="41"/>
      <c r="BPW19" s="41"/>
      <c r="BPX19" s="41"/>
      <c r="BPY19" s="139"/>
      <c r="BPZ19" s="41"/>
      <c r="BQA19" s="41"/>
      <c r="BQB19" s="41"/>
      <c r="BQC19" s="41"/>
      <c r="BQD19" s="41"/>
      <c r="BQE19" s="76"/>
      <c r="BQF19" s="41"/>
      <c r="BQG19" s="41"/>
      <c r="BQH19" s="41"/>
      <c r="BQI19" s="41"/>
      <c r="BQJ19" s="41"/>
      <c r="BQK19" s="42"/>
      <c r="BQL19" s="40"/>
      <c r="BQM19" s="66"/>
      <c r="BQN19" s="66"/>
      <c r="BQO19" s="66"/>
      <c r="BQP19" s="41"/>
      <c r="BQQ19" s="134"/>
      <c r="BQR19" s="41"/>
      <c r="BQS19" s="41"/>
      <c r="BQT19" s="41"/>
      <c r="BQU19" s="41"/>
      <c r="BQV19" s="41"/>
      <c r="BQW19" s="139"/>
      <c r="BQX19" s="41"/>
      <c r="BQY19" s="41"/>
      <c r="BQZ19" s="41"/>
      <c r="BRA19" s="41"/>
      <c r="BRB19" s="41"/>
      <c r="BRC19" s="76"/>
      <c r="BRD19" s="41"/>
      <c r="BRE19" s="41"/>
      <c r="BRF19" s="41"/>
      <c r="BRG19" s="41"/>
      <c r="BRH19" s="41"/>
      <c r="BRI19" s="139"/>
      <c r="BRJ19" s="41"/>
      <c r="BRK19" s="41"/>
      <c r="BRL19" s="41"/>
      <c r="BRM19" s="41"/>
      <c r="BRN19" s="41"/>
      <c r="BRO19" s="76"/>
      <c r="BRP19" s="66"/>
      <c r="BRQ19" s="66"/>
      <c r="BRR19" s="66"/>
      <c r="BRS19" s="66"/>
      <c r="BRT19" s="41"/>
      <c r="BRU19" s="139"/>
      <c r="BRV19" s="41"/>
      <c r="BRW19" s="41"/>
      <c r="BRX19" s="41"/>
      <c r="BRY19" s="41"/>
      <c r="BRZ19" s="41"/>
      <c r="BSA19" s="76"/>
      <c r="BSB19" s="41"/>
      <c r="BSC19" s="41"/>
      <c r="BSD19" s="41"/>
      <c r="BSE19" s="41"/>
      <c r="BSF19" s="41"/>
      <c r="BSG19" s="139"/>
      <c r="BSH19" s="41"/>
      <c r="BSI19" s="41"/>
      <c r="BSJ19" s="41"/>
      <c r="BSK19" s="41"/>
      <c r="BSL19" s="41"/>
      <c r="BSM19" s="76"/>
      <c r="BSN19" s="41"/>
      <c r="BSO19" s="41"/>
      <c r="BSP19" s="41"/>
      <c r="BSQ19" s="41"/>
      <c r="BSR19" s="41"/>
      <c r="BSS19" s="42"/>
      <c r="BST19" s="40"/>
      <c r="BSU19" s="66"/>
      <c r="BSV19" s="66"/>
      <c r="BSW19" s="66"/>
      <c r="BSX19" s="41"/>
      <c r="BSY19" s="134"/>
      <c r="BSZ19" s="41"/>
      <c r="BTA19" s="41"/>
      <c r="BTB19" s="41"/>
      <c r="BTC19" s="41"/>
      <c r="BTD19" s="41"/>
      <c r="BTE19" s="139"/>
      <c r="BTF19" s="41"/>
      <c r="BTG19" s="41"/>
      <c r="BTH19" s="41"/>
      <c r="BTI19" s="41"/>
      <c r="BTJ19" s="41"/>
      <c r="BTK19" s="76"/>
      <c r="BTL19" s="41"/>
      <c r="BTM19" s="41"/>
      <c r="BTN19" s="41"/>
      <c r="BTO19" s="41"/>
      <c r="BTP19" s="41"/>
      <c r="BTQ19" s="139"/>
      <c r="BTR19" s="41"/>
      <c r="BTS19" s="41"/>
      <c r="BTT19" s="41"/>
      <c r="BTU19" s="41"/>
      <c r="BTV19" s="41"/>
      <c r="BTW19" s="76"/>
      <c r="BTX19" s="66"/>
      <c r="BTY19" s="66"/>
      <c r="BTZ19" s="66"/>
      <c r="BUA19" s="66"/>
      <c r="BUB19" s="41"/>
      <c r="BUC19" s="139"/>
      <c r="BUD19" s="41"/>
      <c r="BUE19" s="41"/>
      <c r="BUF19" s="41"/>
      <c r="BUG19" s="41"/>
      <c r="BUH19" s="41"/>
      <c r="BUI19" s="76"/>
      <c r="BUJ19" s="41"/>
      <c r="BUK19" s="41"/>
      <c r="BUL19" s="41"/>
      <c r="BUM19" s="41"/>
      <c r="BUN19" s="41"/>
      <c r="BUO19" s="139"/>
      <c r="BUP19" s="41"/>
      <c r="BUQ19" s="41"/>
      <c r="BUR19" s="41"/>
      <c r="BUS19" s="41"/>
      <c r="BUT19" s="41"/>
      <c r="BUU19" s="76"/>
      <c r="BUV19" s="41"/>
      <c r="BUW19" s="41"/>
      <c r="BUX19" s="41"/>
      <c r="BUY19" s="41"/>
      <c r="BUZ19" s="41"/>
      <c r="BVA19" s="42"/>
      <c r="BVB19" s="40"/>
      <c r="BVC19" s="66"/>
      <c r="BVD19" s="66"/>
      <c r="BVE19" s="66"/>
      <c r="BVF19" s="41"/>
      <c r="BVG19" s="134"/>
      <c r="BVH19" s="41"/>
      <c r="BVI19" s="41"/>
      <c r="BVJ19" s="41"/>
      <c r="BVK19" s="41"/>
      <c r="BVL19" s="41"/>
      <c r="BVM19" s="139"/>
      <c r="BVN19" s="41"/>
      <c r="BVO19" s="41"/>
      <c r="BVP19" s="41"/>
      <c r="BVQ19" s="41"/>
      <c r="BVR19" s="41"/>
      <c r="BVS19" s="76"/>
      <c r="BVT19" s="41"/>
      <c r="BVU19" s="41"/>
      <c r="BVV19" s="41"/>
      <c r="BVW19" s="41"/>
      <c r="BVX19" s="41"/>
      <c r="BVY19" s="139"/>
      <c r="BVZ19" s="41"/>
      <c r="BWA19" s="41"/>
      <c r="BWB19" s="41"/>
      <c r="BWC19" s="41"/>
      <c r="BWD19" s="41"/>
      <c r="BWE19" s="76"/>
      <c r="BWF19" s="66"/>
      <c r="BWG19" s="66"/>
      <c r="BWH19" s="66"/>
      <c r="BWI19" s="66"/>
      <c r="BWJ19" s="41"/>
      <c r="BWK19" s="139"/>
      <c r="BWL19" s="41"/>
      <c r="BWM19" s="41"/>
      <c r="BWN19" s="41"/>
      <c r="BWO19" s="41"/>
      <c r="BWP19" s="41"/>
      <c r="BWQ19" s="76"/>
      <c r="BWR19" s="41"/>
      <c r="BWS19" s="41"/>
      <c r="BWT19" s="41"/>
      <c r="BWU19" s="41"/>
      <c r="BWV19" s="41"/>
      <c r="BWW19" s="139"/>
      <c r="BWX19" s="41"/>
      <c r="BWY19" s="41"/>
      <c r="BWZ19" s="41"/>
      <c r="BXA19" s="41"/>
      <c r="BXB19" s="41"/>
      <c r="BXC19" s="76"/>
      <c r="BXD19" s="41"/>
      <c r="BXE19" s="41"/>
      <c r="BXF19" s="41"/>
      <c r="BXG19" s="41"/>
      <c r="BXH19" s="41"/>
      <c r="BXI19" s="42"/>
      <c r="BXJ19" s="40"/>
      <c r="BXK19" s="66"/>
      <c r="BXL19" s="66"/>
      <c r="BXM19" s="66"/>
      <c r="BXN19" s="41"/>
      <c r="BXO19" s="134"/>
      <c r="BXP19" s="41"/>
      <c r="BXQ19" s="41"/>
      <c r="BXR19" s="41"/>
      <c r="BXS19" s="41"/>
      <c r="BXT19" s="41"/>
      <c r="BXU19" s="139"/>
      <c r="BXV19" s="41"/>
      <c r="BXW19" s="41"/>
      <c r="BXX19" s="41"/>
      <c r="BXY19" s="41"/>
      <c r="BXZ19" s="41"/>
      <c r="BYA19" s="76"/>
      <c r="BYB19" s="41"/>
      <c r="BYC19" s="41"/>
      <c r="BYD19" s="41"/>
      <c r="BYE19" s="41"/>
      <c r="BYF19" s="41"/>
      <c r="BYG19" s="139"/>
      <c r="BYH19" s="41"/>
      <c r="BYI19" s="41"/>
      <c r="BYJ19" s="41"/>
      <c r="BYK19" s="41"/>
      <c r="BYL19" s="41"/>
      <c r="BYM19" s="76"/>
      <c r="BYN19" s="66"/>
      <c r="BYO19" s="66"/>
      <c r="BYP19" s="66"/>
      <c r="BYQ19" s="66"/>
      <c r="BYR19" s="41"/>
      <c r="BYS19" s="139"/>
      <c r="BYT19" s="41"/>
      <c r="BYU19" s="41"/>
      <c r="BYV19" s="41"/>
      <c r="BYW19" s="41"/>
      <c r="BYX19" s="41"/>
      <c r="BYY19" s="76"/>
      <c r="BYZ19" s="41"/>
      <c r="BZA19" s="41"/>
      <c r="BZB19" s="41"/>
      <c r="BZC19" s="41"/>
      <c r="BZD19" s="41"/>
      <c r="BZE19" s="139"/>
      <c r="BZF19" s="41"/>
      <c r="BZG19" s="41"/>
      <c r="BZH19" s="41"/>
      <c r="BZI19" s="41"/>
      <c r="BZJ19" s="41"/>
      <c r="BZK19" s="76"/>
      <c r="BZL19" s="41"/>
      <c r="BZM19" s="41"/>
      <c r="BZN19" s="41"/>
      <c r="BZO19" s="41"/>
      <c r="BZP19" s="41"/>
      <c r="BZQ19" s="42"/>
      <c r="BZR19" s="40"/>
      <c r="BZS19" s="66"/>
      <c r="BZT19" s="66"/>
      <c r="BZU19" s="66"/>
      <c r="BZV19" s="41"/>
      <c r="BZW19" s="134"/>
      <c r="BZX19" s="41"/>
      <c r="BZY19" s="41"/>
      <c r="BZZ19" s="41"/>
      <c r="CAA19" s="41"/>
      <c r="CAB19" s="41"/>
      <c r="CAC19" s="139"/>
      <c r="CAD19" s="41"/>
      <c r="CAE19" s="41"/>
      <c r="CAF19" s="41"/>
      <c r="CAG19" s="41"/>
      <c r="CAH19" s="41"/>
      <c r="CAI19" s="76"/>
      <c r="CAJ19" s="41"/>
      <c r="CAK19" s="41"/>
      <c r="CAL19" s="41"/>
      <c r="CAM19" s="41"/>
      <c r="CAN19" s="41"/>
      <c r="CAO19" s="139"/>
      <c r="CAP19" s="41"/>
      <c r="CAQ19" s="41"/>
      <c r="CAR19" s="41"/>
      <c r="CAS19" s="41"/>
      <c r="CAT19" s="41"/>
      <c r="CAU19" s="76"/>
      <c r="CAV19" s="66"/>
      <c r="CAW19" s="66"/>
      <c r="CAX19" s="66"/>
      <c r="CAY19" s="66"/>
      <c r="CAZ19" s="41"/>
      <c r="CBA19" s="139"/>
      <c r="CBB19" s="41"/>
      <c r="CBC19" s="41"/>
      <c r="CBD19" s="41"/>
      <c r="CBE19" s="41"/>
      <c r="CBF19" s="41"/>
      <c r="CBG19" s="76"/>
      <c r="CBH19" s="41"/>
      <c r="CBI19" s="41"/>
      <c r="CBJ19" s="41"/>
      <c r="CBK19" s="41"/>
      <c r="CBL19" s="41"/>
      <c r="CBM19" s="139"/>
      <c r="CBN19" s="41"/>
      <c r="CBO19" s="41"/>
      <c r="CBP19" s="41"/>
      <c r="CBQ19" s="41"/>
      <c r="CBR19" s="41"/>
      <c r="CBS19" s="76"/>
      <c r="CBT19" s="41"/>
      <c r="CBU19" s="41"/>
      <c r="CBV19" s="41"/>
      <c r="CBW19" s="41"/>
      <c r="CBX19" s="41"/>
      <c r="CBY19" s="42"/>
      <c r="CBZ19" s="90"/>
    </row>
    <row r="20" spans="1:2106" ht="20.100000000000001" customHeight="1" x14ac:dyDescent="0.25">
      <c r="A20" s="100" t="s">
        <v>23</v>
      </c>
      <c r="B20" s="63" t="str">
        <f>IF(LEN(C25)=0,"",C25)</f>
        <v/>
      </c>
      <c r="C20" s="172"/>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28"/>
      <c r="BLW20" s="67"/>
      <c r="BLX20" s="67"/>
      <c r="BLY20" s="67"/>
      <c r="BLZ20" s="29"/>
      <c r="BMA20" s="131"/>
      <c r="BMB20" s="29"/>
      <c r="BMC20" s="29"/>
      <c r="BMD20" s="29"/>
      <c r="BME20" s="29"/>
      <c r="BMF20" s="29"/>
      <c r="BMG20" s="136"/>
      <c r="BMH20" s="29"/>
      <c r="BMI20" s="29"/>
      <c r="BMJ20" s="29"/>
      <c r="BMK20" s="29"/>
      <c r="BML20" s="29"/>
      <c r="BMM20" s="75"/>
      <c r="BMN20" s="29"/>
      <c r="BMO20" s="29"/>
      <c r="BMP20" s="29"/>
      <c r="BMQ20" s="29"/>
      <c r="BMR20" s="29"/>
      <c r="BMS20" s="136"/>
      <c r="BMT20" s="29"/>
      <c r="BMU20" s="29"/>
      <c r="BMV20" s="29"/>
      <c r="BMW20" s="29"/>
      <c r="BMX20" s="29"/>
      <c r="BMY20" s="75"/>
      <c r="BMZ20" s="67"/>
      <c r="BNA20" s="67"/>
      <c r="BNB20" s="67"/>
      <c r="BNC20" s="67"/>
      <c r="BND20" s="29"/>
      <c r="BNE20" s="136"/>
      <c r="BNF20" s="29"/>
      <c r="BNG20" s="29"/>
      <c r="BNH20" s="29"/>
      <c r="BNI20" s="29"/>
      <c r="BNJ20" s="37"/>
      <c r="BNK20" s="75"/>
      <c r="BNL20" s="29"/>
      <c r="BNM20" s="29"/>
      <c r="BNN20" s="29"/>
      <c r="BNO20" s="29"/>
      <c r="BNP20" s="29"/>
      <c r="BNQ20" s="136"/>
      <c r="BNR20" s="29"/>
      <c r="BNS20" s="29"/>
      <c r="BNT20" s="29"/>
      <c r="BNU20" s="29"/>
      <c r="BNV20" s="29"/>
      <c r="BNW20" s="75"/>
      <c r="BNX20" s="29"/>
      <c r="BNY20" s="29"/>
      <c r="BNZ20" s="29"/>
      <c r="BOA20" s="29"/>
      <c r="BOB20" s="29"/>
      <c r="BOC20" s="30"/>
      <c r="BOD20" s="28"/>
      <c r="BOE20" s="67"/>
      <c r="BOF20" s="67"/>
      <c r="BOG20" s="67"/>
      <c r="BOH20" s="29"/>
      <c r="BOI20" s="131"/>
      <c r="BOJ20" s="29"/>
      <c r="BOK20" s="29"/>
      <c r="BOL20" s="29"/>
      <c r="BOM20" s="29"/>
      <c r="BON20" s="29"/>
      <c r="BOO20" s="136"/>
      <c r="BOP20" s="29"/>
      <c r="BOQ20" s="29"/>
      <c r="BOR20" s="29"/>
      <c r="BOS20" s="29"/>
      <c r="BOT20" s="29"/>
      <c r="BOU20" s="75"/>
      <c r="BOV20" s="29"/>
      <c r="BOW20" s="29"/>
      <c r="BOX20" s="29"/>
      <c r="BOY20" s="29"/>
      <c r="BOZ20" s="29"/>
      <c r="BPA20" s="136"/>
      <c r="BPB20" s="29"/>
      <c r="BPC20" s="29"/>
      <c r="BPD20" s="29"/>
      <c r="BPE20" s="29"/>
      <c r="BPF20" s="29"/>
      <c r="BPG20" s="75"/>
      <c r="BPH20" s="67"/>
      <c r="BPI20" s="67"/>
      <c r="BPJ20" s="67"/>
      <c r="BPK20" s="67"/>
      <c r="BPL20" s="29"/>
      <c r="BPM20" s="136"/>
      <c r="BPN20" s="29"/>
      <c r="BPO20" s="29"/>
      <c r="BPP20" s="29"/>
      <c r="BPQ20" s="29"/>
      <c r="BPR20" s="37"/>
      <c r="BPS20" s="75"/>
      <c r="BPT20" s="29"/>
      <c r="BPU20" s="29"/>
      <c r="BPV20" s="29"/>
      <c r="BPW20" s="29"/>
      <c r="BPX20" s="29"/>
      <c r="BPY20" s="136"/>
      <c r="BPZ20" s="29"/>
      <c r="BQA20" s="29"/>
      <c r="BQB20" s="29"/>
      <c r="BQC20" s="29"/>
      <c r="BQD20" s="29"/>
      <c r="BQE20" s="75"/>
      <c r="BQF20" s="29"/>
      <c r="BQG20" s="29"/>
      <c r="BQH20" s="29"/>
      <c r="BQI20" s="29"/>
      <c r="BQJ20" s="29"/>
      <c r="BQK20" s="30"/>
      <c r="BQL20" s="28"/>
      <c r="BQM20" s="67"/>
      <c r="BQN20" s="67"/>
      <c r="BQO20" s="67"/>
      <c r="BQP20" s="29"/>
      <c r="BQQ20" s="131"/>
      <c r="BQR20" s="29"/>
      <c r="BQS20" s="29"/>
      <c r="BQT20" s="29"/>
      <c r="BQU20" s="29"/>
      <c r="BQV20" s="29"/>
      <c r="BQW20" s="136"/>
      <c r="BQX20" s="29"/>
      <c r="BQY20" s="29"/>
      <c r="BQZ20" s="29"/>
      <c r="BRA20" s="29"/>
      <c r="BRB20" s="29"/>
      <c r="BRC20" s="75"/>
      <c r="BRD20" s="29"/>
      <c r="BRE20" s="29"/>
      <c r="BRF20" s="29"/>
      <c r="BRG20" s="29"/>
      <c r="BRH20" s="29"/>
      <c r="BRI20" s="136"/>
      <c r="BRJ20" s="29"/>
      <c r="BRK20" s="29"/>
      <c r="BRL20" s="29"/>
      <c r="BRM20" s="29"/>
      <c r="BRN20" s="29"/>
      <c r="BRO20" s="75"/>
      <c r="BRP20" s="67"/>
      <c r="BRQ20" s="67"/>
      <c r="BRR20" s="67"/>
      <c r="BRS20" s="67"/>
      <c r="BRT20" s="29"/>
      <c r="BRU20" s="136"/>
      <c r="BRV20" s="29"/>
      <c r="BRW20" s="29"/>
      <c r="BRX20" s="29"/>
      <c r="BRY20" s="29"/>
      <c r="BRZ20" s="37"/>
      <c r="BSA20" s="75"/>
      <c r="BSB20" s="29"/>
      <c r="BSC20" s="29"/>
      <c r="BSD20" s="29"/>
      <c r="BSE20" s="29"/>
      <c r="BSF20" s="29"/>
      <c r="BSG20" s="136"/>
      <c r="BSH20" s="29"/>
      <c r="BSI20" s="29"/>
      <c r="BSJ20" s="29"/>
      <c r="BSK20" s="29"/>
      <c r="BSL20" s="29"/>
      <c r="BSM20" s="75"/>
      <c r="BSN20" s="29"/>
      <c r="BSO20" s="29"/>
      <c r="BSP20" s="29"/>
      <c r="BSQ20" s="29"/>
      <c r="BSR20" s="29"/>
      <c r="BSS20" s="30"/>
      <c r="BST20" s="28"/>
      <c r="BSU20" s="67"/>
      <c r="BSV20" s="67"/>
      <c r="BSW20" s="67"/>
      <c r="BSX20" s="29"/>
      <c r="BSY20" s="131"/>
      <c r="BSZ20" s="29"/>
      <c r="BTA20" s="29"/>
      <c r="BTB20" s="29"/>
      <c r="BTC20" s="29"/>
      <c r="BTD20" s="29"/>
      <c r="BTE20" s="136"/>
      <c r="BTF20" s="29"/>
      <c r="BTG20" s="29"/>
      <c r="BTH20" s="29"/>
      <c r="BTI20" s="29"/>
      <c r="BTJ20" s="29"/>
      <c r="BTK20" s="75"/>
      <c r="BTL20" s="29"/>
      <c r="BTM20" s="29"/>
      <c r="BTN20" s="29"/>
      <c r="BTO20" s="29"/>
      <c r="BTP20" s="29"/>
      <c r="BTQ20" s="136"/>
      <c r="BTR20" s="29"/>
      <c r="BTS20" s="29"/>
      <c r="BTT20" s="29"/>
      <c r="BTU20" s="29"/>
      <c r="BTV20" s="29"/>
      <c r="BTW20" s="75"/>
      <c r="BTX20" s="67"/>
      <c r="BTY20" s="67"/>
      <c r="BTZ20" s="67"/>
      <c r="BUA20" s="67"/>
      <c r="BUB20" s="29"/>
      <c r="BUC20" s="136"/>
      <c r="BUD20" s="29"/>
      <c r="BUE20" s="29"/>
      <c r="BUF20" s="29"/>
      <c r="BUG20" s="29"/>
      <c r="BUH20" s="37"/>
      <c r="BUI20" s="75"/>
      <c r="BUJ20" s="29"/>
      <c r="BUK20" s="29"/>
      <c r="BUL20" s="29"/>
      <c r="BUM20" s="29"/>
      <c r="BUN20" s="29"/>
      <c r="BUO20" s="136"/>
      <c r="BUP20" s="29"/>
      <c r="BUQ20" s="29"/>
      <c r="BUR20" s="29"/>
      <c r="BUS20" s="29"/>
      <c r="BUT20" s="29"/>
      <c r="BUU20" s="75"/>
      <c r="BUV20" s="29"/>
      <c r="BUW20" s="29"/>
      <c r="BUX20" s="29"/>
      <c r="BUY20" s="29"/>
      <c r="BUZ20" s="29"/>
      <c r="BVA20" s="30"/>
      <c r="BVB20" s="28"/>
      <c r="BVC20" s="67"/>
      <c r="BVD20" s="67"/>
      <c r="BVE20" s="67"/>
      <c r="BVF20" s="29"/>
      <c r="BVG20" s="131"/>
      <c r="BVH20" s="29"/>
      <c r="BVI20" s="29"/>
      <c r="BVJ20" s="29"/>
      <c r="BVK20" s="29"/>
      <c r="BVL20" s="29"/>
      <c r="BVM20" s="136"/>
      <c r="BVN20" s="29"/>
      <c r="BVO20" s="29"/>
      <c r="BVP20" s="29"/>
      <c r="BVQ20" s="29"/>
      <c r="BVR20" s="29"/>
      <c r="BVS20" s="75"/>
      <c r="BVT20" s="29"/>
      <c r="BVU20" s="29"/>
      <c r="BVV20" s="29"/>
      <c r="BVW20" s="29"/>
      <c r="BVX20" s="29"/>
      <c r="BVY20" s="136"/>
      <c r="BVZ20" s="29"/>
      <c r="BWA20" s="29"/>
      <c r="BWB20" s="29"/>
      <c r="BWC20" s="29"/>
      <c r="BWD20" s="29"/>
      <c r="BWE20" s="75"/>
      <c r="BWF20" s="67"/>
      <c r="BWG20" s="67"/>
      <c r="BWH20" s="67"/>
      <c r="BWI20" s="67"/>
      <c r="BWJ20" s="29"/>
      <c r="BWK20" s="136"/>
      <c r="BWL20" s="29"/>
      <c r="BWM20" s="29"/>
      <c r="BWN20" s="29"/>
      <c r="BWO20" s="29"/>
      <c r="BWP20" s="37"/>
      <c r="BWQ20" s="75"/>
      <c r="BWR20" s="29"/>
      <c r="BWS20" s="29"/>
      <c r="BWT20" s="29"/>
      <c r="BWU20" s="29"/>
      <c r="BWV20" s="29"/>
      <c r="BWW20" s="136"/>
      <c r="BWX20" s="29"/>
      <c r="BWY20" s="29"/>
      <c r="BWZ20" s="29"/>
      <c r="BXA20" s="29"/>
      <c r="BXB20" s="29"/>
      <c r="BXC20" s="75"/>
      <c r="BXD20" s="29"/>
      <c r="BXE20" s="29"/>
      <c r="BXF20" s="29"/>
      <c r="BXG20" s="29"/>
      <c r="BXH20" s="29"/>
      <c r="BXI20" s="30"/>
      <c r="BXJ20" s="28"/>
      <c r="BXK20" s="67"/>
      <c r="BXL20" s="67"/>
      <c r="BXM20" s="67"/>
      <c r="BXN20" s="29"/>
      <c r="BXO20" s="131"/>
      <c r="BXP20" s="29"/>
      <c r="BXQ20" s="29"/>
      <c r="BXR20" s="29"/>
      <c r="BXS20" s="29"/>
      <c r="BXT20" s="29"/>
      <c r="BXU20" s="136"/>
      <c r="BXV20" s="29"/>
      <c r="BXW20" s="29"/>
      <c r="BXX20" s="29"/>
      <c r="BXY20" s="29"/>
      <c r="BXZ20" s="29"/>
      <c r="BYA20" s="75"/>
      <c r="BYB20" s="29"/>
      <c r="BYC20" s="29"/>
      <c r="BYD20" s="29"/>
      <c r="BYE20" s="29"/>
      <c r="BYF20" s="29"/>
      <c r="BYG20" s="136"/>
      <c r="BYH20" s="29"/>
      <c r="BYI20" s="29"/>
      <c r="BYJ20" s="29"/>
      <c r="BYK20" s="29"/>
      <c r="BYL20" s="29"/>
      <c r="BYM20" s="75"/>
      <c r="BYN20" s="67"/>
      <c r="BYO20" s="67"/>
      <c r="BYP20" s="67"/>
      <c r="BYQ20" s="67"/>
      <c r="BYR20" s="29"/>
      <c r="BYS20" s="136"/>
      <c r="BYT20" s="29"/>
      <c r="BYU20" s="29"/>
      <c r="BYV20" s="29"/>
      <c r="BYW20" s="29"/>
      <c r="BYX20" s="37"/>
      <c r="BYY20" s="75"/>
      <c r="BYZ20" s="29"/>
      <c r="BZA20" s="29"/>
      <c r="BZB20" s="29"/>
      <c r="BZC20" s="29"/>
      <c r="BZD20" s="29"/>
      <c r="BZE20" s="136"/>
      <c r="BZF20" s="29"/>
      <c r="BZG20" s="29"/>
      <c r="BZH20" s="29"/>
      <c r="BZI20" s="29"/>
      <c r="BZJ20" s="29"/>
      <c r="BZK20" s="75"/>
      <c r="BZL20" s="29"/>
      <c r="BZM20" s="29"/>
      <c r="BZN20" s="29"/>
      <c r="BZO20" s="29"/>
      <c r="BZP20" s="29"/>
      <c r="BZQ20" s="30"/>
      <c r="BZR20" s="28"/>
      <c r="BZS20" s="67"/>
      <c r="BZT20" s="67"/>
      <c r="BZU20" s="67"/>
      <c r="BZV20" s="29"/>
      <c r="BZW20" s="131"/>
      <c r="BZX20" s="29"/>
      <c r="BZY20" s="29"/>
      <c r="BZZ20" s="29"/>
      <c r="CAA20" s="29"/>
      <c r="CAB20" s="29"/>
      <c r="CAC20" s="136"/>
      <c r="CAD20" s="29"/>
      <c r="CAE20" s="29"/>
      <c r="CAF20" s="29"/>
      <c r="CAG20" s="29"/>
      <c r="CAH20" s="29"/>
      <c r="CAI20" s="75"/>
      <c r="CAJ20" s="29"/>
      <c r="CAK20" s="29"/>
      <c r="CAL20" s="29"/>
      <c r="CAM20" s="29"/>
      <c r="CAN20" s="29"/>
      <c r="CAO20" s="136"/>
      <c r="CAP20" s="29"/>
      <c r="CAQ20" s="29"/>
      <c r="CAR20" s="29"/>
      <c r="CAS20" s="29"/>
      <c r="CAT20" s="29"/>
      <c r="CAU20" s="75"/>
      <c r="CAV20" s="67"/>
      <c r="CAW20" s="67"/>
      <c r="CAX20" s="67"/>
      <c r="CAY20" s="67"/>
      <c r="CAZ20" s="29"/>
      <c r="CBA20" s="136"/>
      <c r="CBB20" s="29"/>
      <c r="CBC20" s="29"/>
      <c r="CBD20" s="29"/>
      <c r="CBE20" s="29"/>
      <c r="CBF20" s="37"/>
      <c r="CBG20" s="75"/>
      <c r="CBH20" s="29"/>
      <c r="CBI20" s="29"/>
      <c r="CBJ20" s="29"/>
      <c r="CBK20" s="29"/>
      <c r="CBL20" s="29"/>
      <c r="CBM20" s="136"/>
      <c r="CBN20" s="29"/>
      <c r="CBO20" s="29"/>
      <c r="CBP20" s="29"/>
      <c r="CBQ20" s="29"/>
      <c r="CBR20" s="29"/>
      <c r="CBS20" s="75"/>
      <c r="CBT20" s="29"/>
      <c r="CBU20" s="29"/>
      <c r="CBV20" s="29"/>
      <c r="CBW20" s="29"/>
      <c r="CBX20" s="29"/>
      <c r="CBY20" s="30"/>
      <c r="CBZ20" s="90"/>
    </row>
    <row r="21" spans="1:2106" ht="20.100000000000001" customHeight="1" x14ac:dyDescent="0.25">
      <c r="A21" s="100" t="s">
        <v>22</v>
      </c>
      <c r="B21" s="63" t="str">
        <f>IF(LEN(C27)=0,"",C27)</f>
        <v/>
      </c>
      <c r="C21" s="170" t="s">
        <v>19</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32"/>
      <c r="BLW21" s="64"/>
      <c r="BLX21" s="64"/>
      <c r="BLY21" s="64"/>
      <c r="BLZ21" s="33"/>
      <c r="BMA21" s="132"/>
      <c r="BMB21" s="33"/>
      <c r="BMC21" s="33"/>
      <c r="BMD21" s="33"/>
      <c r="BME21" s="33"/>
      <c r="BMF21" s="33"/>
      <c r="BMG21" s="137"/>
      <c r="BMH21" s="33"/>
      <c r="BMI21" s="33"/>
      <c r="BMJ21" s="33"/>
      <c r="BMK21" s="33"/>
      <c r="BML21" s="33"/>
      <c r="BMM21" s="74"/>
      <c r="BMN21" s="33"/>
      <c r="BMO21" s="33"/>
      <c r="BMP21" s="33"/>
      <c r="BMQ21" s="33"/>
      <c r="BMR21" s="33"/>
      <c r="BMS21" s="137"/>
      <c r="BMT21" s="33"/>
      <c r="BMU21" s="33"/>
      <c r="BMV21" s="33"/>
      <c r="BMW21" s="33"/>
      <c r="BMX21" s="33"/>
      <c r="BMY21" s="74"/>
      <c r="BMZ21" s="64"/>
      <c r="BNA21" s="64"/>
      <c r="BNB21" s="64"/>
      <c r="BNC21" s="64"/>
      <c r="BND21" s="33"/>
      <c r="BNE21" s="137"/>
      <c r="BNF21" s="33"/>
      <c r="BNG21" s="33"/>
      <c r="BNH21" s="33"/>
      <c r="BNI21" s="33"/>
      <c r="BNJ21" s="33"/>
      <c r="BNK21" s="74"/>
      <c r="BNL21" s="33"/>
      <c r="BNM21" s="33"/>
      <c r="BNN21" s="33"/>
      <c r="BNO21" s="33"/>
      <c r="BNP21" s="33"/>
      <c r="BNQ21" s="137"/>
      <c r="BNR21" s="33"/>
      <c r="BNS21" s="33"/>
      <c r="BNT21" s="33"/>
      <c r="BNU21" s="33"/>
      <c r="BNV21" s="33"/>
      <c r="BNW21" s="74"/>
      <c r="BNX21" s="33"/>
      <c r="BNY21" s="33"/>
      <c r="BNZ21" s="33"/>
      <c r="BOA21" s="33"/>
      <c r="BOB21" s="33"/>
      <c r="BOC21" s="34"/>
      <c r="BOD21" s="32"/>
      <c r="BOE21" s="64"/>
      <c r="BOF21" s="64"/>
      <c r="BOG21" s="64"/>
      <c r="BOH21" s="33"/>
      <c r="BOI21" s="132"/>
      <c r="BOJ21" s="33"/>
      <c r="BOK21" s="33"/>
      <c r="BOL21" s="33"/>
      <c r="BOM21" s="33"/>
      <c r="BON21" s="33"/>
      <c r="BOO21" s="137"/>
      <c r="BOP21" s="33"/>
      <c r="BOQ21" s="33"/>
      <c r="BOR21" s="33"/>
      <c r="BOS21" s="33"/>
      <c r="BOT21" s="33"/>
      <c r="BOU21" s="74"/>
      <c r="BOV21" s="33"/>
      <c r="BOW21" s="33"/>
      <c r="BOX21" s="33"/>
      <c r="BOY21" s="33"/>
      <c r="BOZ21" s="33"/>
      <c r="BPA21" s="137"/>
      <c r="BPB21" s="33"/>
      <c r="BPC21" s="33"/>
      <c r="BPD21" s="33"/>
      <c r="BPE21" s="33"/>
      <c r="BPF21" s="33"/>
      <c r="BPG21" s="74"/>
      <c r="BPH21" s="64"/>
      <c r="BPI21" s="64"/>
      <c r="BPJ21" s="64"/>
      <c r="BPK21" s="64"/>
      <c r="BPL21" s="33"/>
      <c r="BPM21" s="137"/>
      <c r="BPN21" s="33"/>
      <c r="BPO21" s="33"/>
      <c r="BPP21" s="33"/>
      <c r="BPQ21" s="33"/>
      <c r="BPR21" s="33"/>
      <c r="BPS21" s="74"/>
      <c r="BPT21" s="33"/>
      <c r="BPU21" s="33"/>
      <c r="BPV21" s="33"/>
      <c r="BPW21" s="33"/>
      <c r="BPX21" s="33"/>
      <c r="BPY21" s="137"/>
      <c r="BPZ21" s="33"/>
      <c r="BQA21" s="33"/>
      <c r="BQB21" s="33"/>
      <c r="BQC21" s="33"/>
      <c r="BQD21" s="33"/>
      <c r="BQE21" s="74"/>
      <c r="BQF21" s="33"/>
      <c r="BQG21" s="33"/>
      <c r="BQH21" s="33"/>
      <c r="BQI21" s="33"/>
      <c r="BQJ21" s="33"/>
      <c r="BQK21" s="34"/>
      <c r="BQL21" s="32"/>
      <c r="BQM21" s="64"/>
      <c r="BQN21" s="64"/>
      <c r="BQO21" s="64"/>
      <c r="BQP21" s="33"/>
      <c r="BQQ21" s="132"/>
      <c r="BQR21" s="33"/>
      <c r="BQS21" s="33"/>
      <c r="BQT21" s="33"/>
      <c r="BQU21" s="33"/>
      <c r="BQV21" s="33"/>
      <c r="BQW21" s="137"/>
      <c r="BQX21" s="33"/>
      <c r="BQY21" s="33"/>
      <c r="BQZ21" s="33"/>
      <c r="BRA21" s="33"/>
      <c r="BRB21" s="33"/>
      <c r="BRC21" s="74"/>
      <c r="BRD21" s="33"/>
      <c r="BRE21" s="33"/>
      <c r="BRF21" s="33"/>
      <c r="BRG21" s="33"/>
      <c r="BRH21" s="33"/>
      <c r="BRI21" s="137"/>
      <c r="BRJ21" s="33"/>
      <c r="BRK21" s="33"/>
      <c r="BRL21" s="33"/>
      <c r="BRM21" s="33"/>
      <c r="BRN21" s="33"/>
      <c r="BRO21" s="74"/>
      <c r="BRP21" s="64"/>
      <c r="BRQ21" s="64"/>
      <c r="BRR21" s="64"/>
      <c r="BRS21" s="64"/>
      <c r="BRT21" s="33"/>
      <c r="BRU21" s="137"/>
      <c r="BRV21" s="33"/>
      <c r="BRW21" s="33"/>
      <c r="BRX21" s="33"/>
      <c r="BRY21" s="33"/>
      <c r="BRZ21" s="33"/>
      <c r="BSA21" s="74"/>
      <c r="BSB21" s="33"/>
      <c r="BSC21" s="33"/>
      <c r="BSD21" s="33"/>
      <c r="BSE21" s="33"/>
      <c r="BSF21" s="33"/>
      <c r="BSG21" s="137"/>
      <c r="BSH21" s="33"/>
      <c r="BSI21" s="33"/>
      <c r="BSJ21" s="33"/>
      <c r="BSK21" s="33"/>
      <c r="BSL21" s="33"/>
      <c r="BSM21" s="74"/>
      <c r="BSN21" s="33"/>
      <c r="BSO21" s="33"/>
      <c r="BSP21" s="33"/>
      <c r="BSQ21" s="33"/>
      <c r="BSR21" s="33"/>
      <c r="BSS21" s="34"/>
      <c r="BST21" s="32"/>
      <c r="BSU21" s="64"/>
      <c r="BSV21" s="64"/>
      <c r="BSW21" s="64"/>
      <c r="BSX21" s="33"/>
      <c r="BSY21" s="132"/>
      <c r="BSZ21" s="33"/>
      <c r="BTA21" s="33"/>
      <c r="BTB21" s="33"/>
      <c r="BTC21" s="33"/>
      <c r="BTD21" s="33"/>
      <c r="BTE21" s="137"/>
      <c r="BTF21" s="33"/>
      <c r="BTG21" s="33"/>
      <c r="BTH21" s="33"/>
      <c r="BTI21" s="33"/>
      <c r="BTJ21" s="33"/>
      <c r="BTK21" s="74"/>
      <c r="BTL21" s="33"/>
      <c r="BTM21" s="33"/>
      <c r="BTN21" s="33"/>
      <c r="BTO21" s="33"/>
      <c r="BTP21" s="33"/>
      <c r="BTQ21" s="137"/>
      <c r="BTR21" s="33"/>
      <c r="BTS21" s="33"/>
      <c r="BTT21" s="33"/>
      <c r="BTU21" s="33"/>
      <c r="BTV21" s="33"/>
      <c r="BTW21" s="74"/>
      <c r="BTX21" s="64"/>
      <c r="BTY21" s="64"/>
      <c r="BTZ21" s="64"/>
      <c r="BUA21" s="64"/>
      <c r="BUB21" s="33"/>
      <c r="BUC21" s="137"/>
      <c r="BUD21" s="33"/>
      <c r="BUE21" s="33"/>
      <c r="BUF21" s="33"/>
      <c r="BUG21" s="33"/>
      <c r="BUH21" s="33"/>
      <c r="BUI21" s="74"/>
      <c r="BUJ21" s="33"/>
      <c r="BUK21" s="33"/>
      <c r="BUL21" s="33"/>
      <c r="BUM21" s="33"/>
      <c r="BUN21" s="33"/>
      <c r="BUO21" s="137"/>
      <c r="BUP21" s="33"/>
      <c r="BUQ21" s="33"/>
      <c r="BUR21" s="33"/>
      <c r="BUS21" s="33"/>
      <c r="BUT21" s="33"/>
      <c r="BUU21" s="74"/>
      <c r="BUV21" s="33"/>
      <c r="BUW21" s="33"/>
      <c r="BUX21" s="33"/>
      <c r="BUY21" s="33"/>
      <c r="BUZ21" s="33"/>
      <c r="BVA21" s="34"/>
      <c r="BVB21" s="32"/>
      <c r="BVC21" s="64"/>
      <c r="BVD21" s="64"/>
      <c r="BVE21" s="64"/>
      <c r="BVF21" s="33"/>
      <c r="BVG21" s="132"/>
      <c r="BVH21" s="33"/>
      <c r="BVI21" s="33"/>
      <c r="BVJ21" s="33"/>
      <c r="BVK21" s="33"/>
      <c r="BVL21" s="33"/>
      <c r="BVM21" s="137"/>
      <c r="BVN21" s="33"/>
      <c r="BVO21" s="33"/>
      <c r="BVP21" s="33"/>
      <c r="BVQ21" s="33"/>
      <c r="BVR21" s="33"/>
      <c r="BVS21" s="74"/>
      <c r="BVT21" s="33"/>
      <c r="BVU21" s="33"/>
      <c r="BVV21" s="33"/>
      <c r="BVW21" s="33"/>
      <c r="BVX21" s="33"/>
      <c r="BVY21" s="137"/>
      <c r="BVZ21" s="33"/>
      <c r="BWA21" s="33"/>
      <c r="BWB21" s="33"/>
      <c r="BWC21" s="33"/>
      <c r="BWD21" s="33"/>
      <c r="BWE21" s="74"/>
      <c r="BWF21" s="64"/>
      <c r="BWG21" s="64"/>
      <c r="BWH21" s="64"/>
      <c r="BWI21" s="64"/>
      <c r="BWJ21" s="33"/>
      <c r="BWK21" s="137"/>
      <c r="BWL21" s="33"/>
      <c r="BWM21" s="33"/>
      <c r="BWN21" s="33"/>
      <c r="BWO21" s="33"/>
      <c r="BWP21" s="33"/>
      <c r="BWQ21" s="74"/>
      <c r="BWR21" s="33"/>
      <c r="BWS21" s="33"/>
      <c r="BWT21" s="33"/>
      <c r="BWU21" s="33"/>
      <c r="BWV21" s="33"/>
      <c r="BWW21" s="137"/>
      <c r="BWX21" s="33"/>
      <c r="BWY21" s="33"/>
      <c r="BWZ21" s="33"/>
      <c r="BXA21" s="33"/>
      <c r="BXB21" s="33"/>
      <c r="BXC21" s="74"/>
      <c r="BXD21" s="33"/>
      <c r="BXE21" s="33"/>
      <c r="BXF21" s="33"/>
      <c r="BXG21" s="33"/>
      <c r="BXH21" s="33"/>
      <c r="BXI21" s="34"/>
      <c r="BXJ21" s="32"/>
      <c r="BXK21" s="64"/>
      <c r="BXL21" s="64"/>
      <c r="BXM21" s="64"/>
      <c r="BXN21" s="33"/>
      <c r="BXO21" s="132"/>
      <c r="BXP21" s="33"/>
      <c r="BXQ21" s="33"/>
      <c r="BXR21" s="33"/>
      <c r="BXS21" s="33"/>
      <c r="BXT21" s="33"/>
      <c r="BXU21" s="137"/>
      <c r="BXV21" s="33"/>
      <c r="BXW21" s="33"/>
      <c r="BXX21" s="33"/>
      <c r="BXY21" s="33"/>
      <c r="BXZ21" s="33"/>
      <c r="BYA21" s="74"/>
      <c r="BYB21" s="33"/>
      <c r="BYC21" s="33"/>
      <c r="BYD21" s="33"/>
      <c r="BYE21" s="33"/>
      <c r="BYF21" s="33"/>
      <c r="BYG21" s="137"/>
      <c r="BYH21" s="33"/>
      <c r="BYI21" s="33"/>
      <c r="BYJ21" s="33"/>
      <c r="BYK21" s="33"/>
      <c r="BYL21" s="33"/>
      <c r="BYM21" s="74"/>
      <c r="BYN21" s="64"/>
      <c r="BYO21" s="64"/>
      <c r="BYP21" s="64"/>
      <c r="BYQ21" s="64"/>
      <c r="BYR21" s="33"/>
      <c r="BYS21" s="137"/>
      <c r="BYT21" s="33"/>
      <c r="BYU21" s="33"/>
      <c r="BYV21" s="33"/>
      <c r="BYW21" s="33"/>
      <c r="BYX21" s="33"/>
      <c r="BYY21" s="74"/>
      <c r="BYZ21" s="33"/>
      <c r="BZA21" s="33"/>
      <c r="BZB21" s="33"/>
      <c r="BZC21" s="33"/>
      <c r="BZD21" s="33"/>
      <c r="BZE21" s="137"/>
      <c r="BZF21" s="33"/>
      <c r="BZG21" s="33"/>
      <c r="BZH21" s="33"/>
      <c r="BZI21" s="33"/>
      <c r="BZJ21" s="33"/>
      <c r="BZK21" s="74"/>
      <c r="BZL21" s="33"/>
      <c r="BZM21" s="33"/>
      <c r="BZN21" s="33"/>
      <c r="BZO21" s="33"/>
      <c r="BZP21" s="33"/>
      <c r="BZQ21" s="34"/>
      <c r="BZR21" s="32"/>
      <c r="BZS21" s="64"/>
      <c r="BZT21" s="64"/>
      <c r="BZU21" s="64"/>
      <c r="BZV21" s="33"/>
      <c r="BZW21" s="132"/>
      <c r="BZX21" s="33"/>
      <c r="BZY21" s="33"/>
      <c r="BZZ21" s="33"/>
      <c r="CAA21" s="33"/>
      <c r="CAB21" s="33"/>
      <c r="CAC21" s="137"/>
      <c r="CAD21" s="33"/>
      <c r="CAE21" s="33"/>
      <c r="CAF21" s="33"/>
      <c r="CAG21" s="33"/>
      <c r="CAH21" s="33"/>
      <c r="CAI21" s="74"/>
      <c r="CAJ21" s="33"/>
      <c r="CAK21" s="33"/>
      <c r="CAL21" s="33"/>
      <c r="CAM21" s="33"/>
      <c r="CAN21" s="33"/>
      <c r="CAO21" s="137"/>
      <c r="CAP21" s="33"/>
      <c r="CAQ21" s="33"/>
      <c r="CAR21" s="33"/>
      <c r="CAS21" s="33"/>
      <c r="CAT21" s="33"/>
      <c r="CAU21" s="74"/>
      <c r="CAV21" s="64"/>
      <c r="CAW21" s="64"/>
      <c r="CAX21" s="64"/>
      <c r="CAY21" s="64"/>
      <c r="CAZ21" s="33"/>
      <c r="CBA21" s="137"/>
      <c r="CBB21" s="33"/>
      <c r="CBC21" s="33"/>
      <c r="CBD21" s="33"/>
      <c r="CBE21" s="33"/>
      <c r="CBF21" s="33"/>
      <c r="CBG21" s="74"/>
      <c r="CBH21" s="33"/>
      <c r="CBI21" s="33"/>
      <c r="CBJ21" s="33"/>
      <c r="CBK21" s="33"/>
      <c r="CBL21" s="33"/>
      <c r="CBM21" s="137"/>
      <c r="CBN21" s="33"/>
      <c r="CBO21" s="33"/>
      <c r="CBP21" s="33"/>
      <c r="CBQ21" s="33"/>
      <c r="CBR21" s="33"/>
      <c r="CBS21" s="74"/>
      <c r="CBT21" s="33"/>
      <c r="CBU21" s="33"/>
      <c r="CBV21" s="33"/>
      <c r="CBW21" s="33"/>
      <c r="CBX21" s="33"/>
      <c r="CBY21" s="34"/>
      <c r="CBZ21" s="90"/>
    </row>
    <row r="22" spans="1:2106" ht="20.100000000000001" customHeight="1" x14ac:dyDescent="0.25">
      <c r="A22" s="100" t="s">
        <v>23</v>
      </c>
      <c r="B22" s="63" t="str">
        <f>IF(LEN(C29)=0,"",C29)</f>
        <v/>
      </c>
      <c r="C22" s="172"/>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36"/>
      <c r="BLW22" s="65"/>
      <c r="BLX22" s="65"/>
      <c r="BLY22" s="65"/>
      <c r="BLZ22" s="37"/>
      <c r="BMA22" s="133"/>
      <c r="BMB22" s="37"/>
      <c r="BMC22" s="37"/>
      <c r="BMD22" s="37"/>
      <c r="BME22" s="37"/>
      <c r="BMF22" s="37"/>
      <c r="BMG22" s="138"/>
      <c r="BMH22" s="37"/>
      <c r="BMI22" s="37"/>
      <c r="BMJ22" s="37"/>
      <c r="BMK22" s="37"/>
      <c r="BML22" s="37"/>
      <c r="BMM22" s="75"/>
      <c r="BMN22" s="37"/>
      <c r="BMO22" s="37"/>
      <c r="BMP22" s="37"/>
      <c r="BMQ22" s="37"/>
      <c r="BMR22" s="37"/>
      <c r="BMS22" s="138"/>
      <c r="BMT22" s="37"/>
      <c r="BMU22" s="37"/>
      <c r="BMV22" s="37"/>
      <c r="BMW22" s="37"/>
      <c r="BMX22" s="37"/>
      <c r="BMY22" s="75"/>
      <c r="BMZ22" s="65"/>
      <c r="BNA22" s="65"/>
      <c r="BNB22" s="65"/>
      <c r="BNC22" s="65"/>
      <c r="BND22" s="37"/>
      <c r="BNE22" s="138"/>
      <c r="BNF22" s="37"/>
      <c r="BNG22" s="37"/>
      <c r="BNH22" s="37"/>
      <c r="BNI22" s="37"/>
      <c r="BNJ22" s="37"/>
      <c r="BNK22" s="75"/>
      <c r="BNL22" s="37"/>
      <c r="BNM22" s="37"/>
      <c r="BNN22" s="37"/>
      <c r="BNO22" s="37"/>
      <c r="BNP22" s="37"/>
      <c r="BNQ22" s="138"/>
      <c r="BNR22" s="37"/>
      <c r="BNS22" s="37"/>
      <c r="BNT22" s="37"/>
      <c r="BNU22" s="37"/>
      <c r="BNV22" s="37"/>
      <c r="BNW22" s="75"/>
      <c r="BNX22" s="37"/>
      <c r="BNY22" s="37"/>
      <c r="BNZ22" s="37"/>
      <c r="BOA22" s="37"/>
      <c r="BOB22" s="37"/>
      <c r="BOC22" s="38"/>
      <c r="BOD22" s="36"/>
      <c r="BOE22" s="65"/>
      <c r="BOF22" s="65"/>
      <c r="BOG22" s="65"/>
      <c r="BOH22" s="37"/>
      <c r="BOI22" s="133"/>
      <c r="BOJ22" s="37"/>
      <c r="BOK22" s="37"/>
      <c r="BOL22" s="37"/>
      <c r="BOM22" s="37"/>
      <c r="BON22" s="37"/>
      <c r="BOO22" s="138"/>
      <c r="BOP22" s="37"/>
      <c r="BOQ22" s="37"/>
      <c r="BOR22" s="37"/>
      <c r="BOS22" s="37"/>
      <c r="BOT22" s="37"/>
      <c r="BOU22" s="75"/>
      <c r="BOV22" s="37"/>
      <c r="BOW22" s="37"/>
      <c r="BOX22" s="37"/>
      <c r="BOY22" s="37"/>
      <c r="BOZ22" s="37"/>
      <c r="BPA22" s="138"/>
      <c r="BPB22" s="37"/>
      <c r="BPC22" s="37"/>
      <c r="BPD22" s="37"/>
      <c r="BPE22" s="37"/>
      <c r="BPF22" s="37"/>
      <c r="BPG22" s="75"/>
      <c r="BPH22" s="65"/>
      <c r="BPI22" s="65"/>
      <c r="BPJ22" s="65"/>
      <c r="BPK22" s="65"/>
      <c r="BPL22" s="37"/>
      <c r="BPM22" s="138"/>
      <c r="BPN22" s="37"/>
      <c r="BPO22" s="37"/>
      <c r="BPP22" s="37"/>
      <c r="BPQ22" s="37"/>
      <c r="BPR22" s="37"/>
      <c r="BPS22" s="75"/>
      <c r="BPT22" s="37"/>
      <c r="BPU22" s="37"/>
      <c r="BPV22" s="37"/>
      <c r="BPW22" s="37"/>
      <c r="BPX22" s="37"/>
      <c r="BPY22" s="138"/>
      <c r="BPZ22" s="37"/>
      <c r="BQA22" s="37"/>
      <c r="BQB22" s="37"/>
      <c r="BQC22" s="37"/>
      <c r="BQD22" s="37"/>
      <c r="BQE22" s="75"/>
      <c r="BQF22" s="37"/>
      <c r="BQG22" s="37"/>
      <c r="BQH22" s="37"/>
      <c r="BQI22" s="37"/>
      <c r="BQJ22" s="37"/>
      <c r="BQK22" s="38"/>
      <c r="BQL22" s="36"/>
      <c r="BQM22" s="65"/>
      <c r="BQN22" s="65"/>
      <c r="BQO22" s="65"/>
      <c r="BQP22" s="37"/>
      <c r="BQQ22" s="133"/>
      <c r="BQR22" s="37"/>
      <c r="BQS22" s="37"/>
      <c r="BQT22" s="37"/>
      <c r="BQU22" s="37"/>
      <c r="BQV22" s="37"/>
      <c r="BQW22" s="138"/>
      <c r="BQX22" s="37"/>
      <c r="BQY22" s="37"/>
      <c r="BQZ22" s="37"/>
      <c r="BRA22" s="37"/>
      <c r="BRB22" s="37"/>
      <c r="BRC22" s="75"/>
      <c r="BRD22" s="37"/>
      <c r="BRE22" s="37"/>
      <c r="BRF22" s="37"/>
      <c r="BRG22" s="37"/>
      <c r="BRH22" s="37"/>
      <c r="BRI22" s="138"/>
      <c r="BRJ22" s="37"/>
      <c r="BRK22" s="37"/>
      <c r="BRL22" s="37"/>
      <c r="BRM22" s="37"/>
      <c r="BRN22" s="37"/>
      <c r="BRO22" s="75"/>
      <c r="BRP22" s="65"/>
      <c r="BRQ22" s="65"/>
      <c r="BRR22" s="65"/>
      <c r="BRS22" s="65"/>
      <c r="BRT22" s="37"/>
      <c r="BRU22" s="138"/>
      <c r="BRV22" s="37"/>
      <c r="BRW22" s="37"/>
      <c r="BRX22" s="37"/>
      <c r="BRY22" s="37"/>
      <c r="BRZ22" s="37"/>
      <c r="BSA22" s="75"/>
      <c r="BSB22" s="37"/>
      <c r="BSC22" s="37"/>
      <c r="BSD22" s="37"/>
      <c r="BSE22" s="37"/>
      <c r="BSF22" s="37"/>
      <c r="BSG22" s="138"/>
      <c r="BSH22" s="37"/>
      <c r="BSI22" s="37"/>
      <c r="BSJ22" s="37"/>
      <c r="BSK22" s="37"/>
      <c r="BSL22" s="37"/>
      <c r="BSM22" s="75"/>
      <c r="BSN22" s="37"/>
      <c r="BSO22" s="37"/>
      <c r="BSP22" s="37"/>
      <c r="BSQ22" s="37"/>
      <c r="BSR22" s="37"/>
      <c r="BSS22" s="38"/>
      <c r="BST22" s="36"/>
      <c r="BSU22" s="65"/>
      <c r="BSV22" s="65"/>
      <c r="BSW22" s="65"/>
      <c r="BSX22" s="37"/>
      <c r="BSY22" s="133"/>
      <c r="BSZ22" s="37"/>
      <c r="BTA22" s="37"/>
      <c r="BTB22" s="37"/>
      <c r="BTC22" s="37"/>
      <c r="BTD22" s="37"/>
      <c r="BTE22" s="138"/>
      <c r="BTF22" s="37"/>
      <c r="BTG22" s="37"/>
      <c r="BTH22" s="37"/>
      <c r="BTI22" s="37"/>
      <c r="BTJ22" s="37"/>
      <c r="BTK22" s="75"/>
      <c r="BTL22" s="37"/>
      <c r="BTM22" s="37"/>
      <c r="BTN22" s="37"/>
      <c r="BTO22" s="37"/>
      <c r="BTP22" s="37"/>
      <c r="BTQ22" s="138"/>
      <c r="BTR22" s="37"/>
      <c r="BTS22" s="37"/>
      <c r="BTT22" s="37"/>
      <c r="BTU22" s="37"/>
      <c r="BTV22" s="37"/>
      <c r="BTW22" s="75"/>
      <c r="BTX22" s="65"/>
      <c r="BTY22" s="65"/>
      <c r="BTZ22" s="65"/>
      <c r="BUA22" s="65"/>
      <c r="BUB22" s="37"/>
      <c r="BUC22" s="138"/>
      <c r="BUD22" s="37"/>
      <c r="BUE22" s="37"/>
      <c r="BUF22" s="37"/>
      <c r="BUG22" s="37"/>
      <c r="BUH22" s="37"/>
      <c r="BUI22" s="75"/>
      <c r="BUJ22" s="37"/>
      <c r="BUK22" s="37"/>
      <c r="BUL22" s="37"/>
      <c r="BUM22" s="37"/>
      <c r="BUN22" s="37"/>
      <c r="BUO22" s="138"/>
      <c r="BUP22" s="37"/>
      <c r="BUQ22" s="37"/>
      <c r="BUR22" s="37"/>
      <c r="BUS22" s="37"/>
      <c r="BUT22" s="37"/>
      <c r="BUU22" s="75"/>
      <c r="BUV22" s="37"/>
      <c r="BUW22" s="37"/>
      <c r="BUX22" s="37"/>
      <c r="BUY22" s="37"/>
      <c r="BUZ22" s="37"/>
      <c r="BVA22" s="38"/>
      <c r="BVB22" s="36"/>
      <c r="BVC22" s="65"/>
      <c r="BVD22" s="65"/>
      <c r="BVE22" s="65"/>
      <c r="BVF22" s="37"/>
      <c r="BVG22" s="133"/>
      <c r="BVH22" s="37"/>
      <c r="BVI22" s="37"/>
      <c r="BVJ22" s="37"/>
      <c r="BVK22" s="37"/>
      <c r="BVL22" s="37"/>
      <c r="BVM22" s="138"/>
      <c r="BVN22" s="37"/>
      <c r="BVO22" s="37"/>
      <c r="BVP22" s="37"/>
      <c r="BVQ22" s="37"/>
      <c r="BVR22" s="37"/>
      <c r="BVS22" s="75"/>
      <c r="BVT22" s="37"/>
      <c r="BVU22" s="37"/>
      <c r="BVV22" s="37"/>
      <c r="BVW22" s="37"/>
      <c r="BVX22" s="37"/>
      <c r="BVY22" s="138"/>
      <c r="BVZ22" s="37"/>
      <c r="BWA22" s="37"/>
      <c r="BWB22" s="37"/>
      <c r="BWC22" s="37"/>
      <c r="BWD22" s="37"/>
      <c r="BWE22" s="75"/>
      <c r="BWF22" s="65"/>
      <c r="BWG22" s="65"/>
      <c r="BWH22" s="65"/>
      <c r="BWI22" s="65"/>
      <c r="BWJ22" s="37"/>
      <c r="BWK22" s="138"/>
      <c r="BWL22" s="37"/>
      <c r="BWM22" s="37"/>
      <c r="BWN22" s="37"/>
      <c r="BWO22" s="37"/>
      <c r="BWP22" s="37"/>
      <c r="BWQ22" s="75"/>
      <c r="BWR22" s="37"/>
      <c r="BWS22" s="37"/>
      <c r="BWT22" s="37"/>
      <c r="BWU22" s="37"/>
      <c r="BWV22" s="37"/>
      <c r="BWW22" s="138"/>
      <c r="BWX22" s="37"/>
      <c r="BWY22" s="37"/>
      <c r="BWZ22" s="37"/>
      <c r="BXA22" s="37"/>
      <c r="BXB22" s="37"/>
      <c r="BXC22" s="75"/>
      <c r="BXD22" s="37"/>
      <c r="BXE22" s="37"/>
      <c r="BXF22" s="37"/>
      <c r="BXG22" s="37"/>
      <c r="BXH22" s="37"/>
      <c r="BXI22" s="38"/>
      <c r="BXJ22" s="36"/>
      <c r="BXK22" s="65"/>
      <c r="BXL22" s="65"/>
      <c r="BXM22" s="65"/>
      <c r="BXN22" s="37"/>
      <c r="BXO22" s="133"/>
      <c r="BXP22" s="37"/>
      <c r="BXQ22" s="37"/>
      <c r="BXR22" s="37"/>
      <c r="BXS22" s="37"/>
      <c r="BXT22" s="37"/>
      <c r="BXU22" s="138"/>
      <c r="BXV22" s="37"/>
      <c r="BXW22" s="37"/>
      <c r="BXX22" s="37"/>
      <c r="BXY22" s="37"/>
      <c r="BXZ22" s="37"/>
      <c r="BYA22" s="75"/>
      <c r="BYB22" s="37"/>
      <c r="BYC22" s="37"/>
      <c r="BYD22" s="37"/>
      <c r="BYE22" s="37"/>
      <c r="BYF22" s="37"/>
      <c r="BYG22" s="138"/>
      <c r="BYH22" s="37"/>
      <c r="BYI22" s="37"/>
      <c r="BYJ22" s="37"/>
      <c r="BYK22" s="37"/>
      <c r="BYL22" s="37"/>
      <c r="BYM22" s="75"/>
      <c r="BYN22" s="65"/>
      <c r="BYO22" s="65"/>
      <c r="BYP22" s="65"/>
      <c r="BYQ22" s="65"/>
      <c r="BYR22" s="37"/>
      <c r="BYS22" s="138"/>
      <c r="BYT22" s="37"/>
      <c r="BYU22" s="37"/>
      <c r="BYV22" s="37"/>
      <c r="BYW22" s="37"/>
      <c r="BYX22" s="37"/>
      <c r="BYY22" s="75"/>
      <c r="BYZ22" s="37"/>
      <c r="BZA22" s="37"/>
      <c r="BZB22" s="37"/>
      <c r="BZC22" s="37"/>
      <c r="BZD22" s="37"/>
      <c r="BZE22" s="138"/>
      <c r="BZF22" s="37"/>
      <c r="BZG22" s="37"/>
      <c r="BZH22" s="37"/>
      <c r="BZI22" s="37"/>
      <c r="BZJ22" s="37"/>
      <c r="BZK22" s="75"/>
      <c r="BZL22" s="37"/>
      <c r="BZM22" s="37"/>
      <c r="BZN22" s="37"/>
      <c r="BZO22" s="37"/>
      <c r="BZP22" s="37"/>
      <c r="BZQ22" s="38"/>
      <c r="BZR22" s="36"/>
      <c r="BZS22" s="65"/>
      <c r="BZT22" s="65"/>
      <c r="BZU22" s="65"/>
      <c r="BZV22" s="37"/>
      <c r="BZW22" s="133"/>
      <c r="BZX22" s="37"/>
      <c r="BZY22" s="37"/>
      <c r="BZZ22" s="37"/>
      <c r="CAA22" s="37"/>
      <c r="CAB22" s="37"/>
      <c r="CAC22" s="138"/>
      <c r="CAD22" s="37"/>
      <c r="CAE22" s="37"/>
      <c r="CAF22" s="37"/>
      <c r="CAG22" s="37"/>
      <c r="CAH22" s="37"/>
      <c r="CAI22" s="75"/>
      <c r="CAJ22" s="37"/>
      <c r="CAK22" s="37"/>
      <c r="CAL22" s="37"/>
      <c r="CAM22" s="37"/>
      <c r="CAN22" s="37"/>
      <c r="CAO22" s="138"/>
      <c r="CAP22" s="37"/>
      <c r="CAQ22" s="37"/>
      <c r="CAR22" s="37"/>
      <c r="CAS22" s="37"/>
      <c r="CAT22" s="37"/>
      <c r="CAU22" s="75"/>
      <c r="CAV22" s="65"/>
      <c r="CAW22" s="65"/>
      <c r="CAX22" s="65"/>
      <c r="CAY22" s="65"/>
      <c r="CAZ22" s="37"/>
      <c r="CBA22" s="138"/>
      <c r="CBB22" s="37"/>
      <c r="CBC22" s="37"/>
      <c r="CBD22" s="37"/>
      <c r="CBE22" s="37"/>
      <c r="CBF22" s="37"/>
      <c r="CBG22" s="75"/>
      <c r="CBH22" s="37"/>
      <c r="CBI22" s="37"/>
      <c r="CBJ22" s="37"/>
      <c r="CBK22" s="37"/>
      <c r="CBL22" s="37"/>
      <c r="CBM22" s="138"/>
      <c r="CBN22" s="37"/>
      <c r="CBO22" s="37"/>
      <c r="CBP22" s="37"/>
      <c r="CBQ22" s="37"/>
      <c r="CBR22" s="37"/>
      <c r="CBS22" s="75"/>
      <c r="CBT22" s="37"/>
      <c r="CBU22" s="37"/>
      <c r="CBV22" s="37"/>
      <c r="CBW22" s="37"/>
      <c r="CBX22" s="37"/>
      <c r="CBY22" s="38"/>
      <c r="CBZ22" s="90"/>
    </row>
    <row r="23" spans="1:2106" ht="20.100000000000001" customHeight="1" x14ac:dyDescent="0.25">
      <c r="A23" s="100" t="s">
        <v>22</v>
      </c>
      <c r="B23" s="63" t="str">
        <f>IF(LEN(C31)=0,"",C31)</f>
        <v/>
      </c>
      <c r="C23" s="170" t="s">
        <v>18</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40"/>
      <c r="BLW23" s="66"/>
      <c r="BLX23" s="66"/>
      <c r="BLY23" s="66"/>
      <c r="BLZ23" s="41"/>
      <c r="BMA23" s="134"/>
      <c r="BMB23" s="41"/>
      <c r="BMC23" s="41"/>
      <c r="BMD23" s="41"/>
      <c r="BME23" s="41"/>
      <c r="BMF23" s="41"/>
      <c r="BMG23" s="139"/>
      <c r="BMH23" s="41"/>
      <c r="BMI23" s="41"/>
      <c r="BMJ23" s="41"/>
      <c r="BMK23" s="41"/>
      <c r="BML23" s="41"/>
      <c r="BMM23" s="76"/>
      <c r="BMN23" s="41"/>
      <c r="BMO23" s="41"/>
      <c r="BMP23" s="41"/>
      <c r="BMQ23" s="41"/>
      <c r="BMR23" s="41"/>
      <c r="BMS23" s="139"/>
      <c r="BMT23" s="41"/>
      <c r="BMU23" s="41"/>
      <c r="BMV23" s="41"/>
      <c r="BMW23" s="41"/>
      <c r="BMX23" s="41"/>
      <c r="BMY23" s="76"/>
      <c r="BMZ23" s="66"/>
      <c r="BNA23" s="66"/>
      <c r="BNB23" s="66"/>
      <c r="BNC23" s="66"/>
      <c r="BND23" s="41"/>
      <c r="BNE23" s="139"/>
      <c r="BNF23" s="41"/>
      <c r="BNG23" s="41"/>
      <c r="BNH23" s="41"/>
      <c r="BNI23" s="41"/>
      <c r="BNJ23" s="41"/>
      <c r="BNK23" s="76"/>
      <c r="BNL23" s="41"/>
      <c r="BNM23" s="41"/>
      <c r="BNN23" s="41"/>
      <c r="BNO23" s="41"/>
      <c r="BNP23" s="41"/>
      <c r="BNQ23" s="139"/>
      <c r="BNR23" s="41"/>
      <c r="BNS23" s="41"/>
      <c r="BNT23" s="41"/>
      <c r="BNU23" s="41"/>
      <c r="BNV23" s="41"/>
      <c r="BNW23" s="76"/>
      <c r="BNX23" s="41"/>
      <c r="BNY23" s="41"/>
      <c r="BNZ23" s="41"/>
      <c r="BOA23" s="41"/>
      <c r="BOB23" s="41"/>
      <c r="BOC23" s="42"/>
      <c r="BOD23" s="40"/>
      <c r="BOE23" s="66"/>
      <c r="BOF23" s="66"/>
      <c r="BOG23" s="66"/>
      <c r="BOH23" s="41"/>
      <c r="BOI23" s="134"/>
      <c r="BOJ23" s="41"/>
      <c r="BOK23" s="41"/>
      <c r="BOL23" s="41"/>
      <c r="BOM23" s="41"/>
      <c r="BON23" s="41"/>
      <c r="BOO23" s="139"/>
      <c r="BOP23" s="41"/>
      <c r="BOQ23" s="41"/>
      <c r="BOR23" s="41"/>
      <c r="BOS23" s="41"/>
      <c r="BOT23" s="41"/>
      <c r="BOU23" s="76"/>
      <c r="BOV23" s="41"/>
      <c r="BOW23" s="41"/>
      <c r="BOX23" s="41"/>
      <c r="BOY23" s="41"/>
      <c r="BOZ23" s="41"/>
      <c r="BPA23" s="139"/>
      <c r="BPB23" s="41"/>
      <c r="BPC23" s="41"/>
      <c r="BPD23" s="41"/>
      <c r="BPE23" s="41"/>
      <c r="BPF23" s="41"/>
      <c r="BPG23" s="76"/>
      <c r="BPH23" s="66"/>
      <c r="BPI23" s="66"/>
      <c r="BPJ23" s="66"/>
      <c r="BPK23" s="66"/>
      <c r="BPL23" s="41"/>
      <c r="BPM23" s="139"/>
      <c r="BPN23" s="41"/>
      <c r="BPO23" s="41"/>
      <c r="BPP23" s="41"/>
      <c r="BPQ23" s="41"/>
      <c r="BPR23" s="41"/>
      <c r="BPS23" s="76"/>
      <c r="BPT23" s="41"/>
      <c r="BPU23" s="41"/>
      <c r="BPV23" s="41"/>
      <c r="BPW23" s="41"/>
      <c r="BPX23" s="41"/>
      <c r="BPY23" s="139"/>
      <c r="BPZ23" s="41"/>
      <c r="BQA23" s="41"/>
      <c r="BQB23" s="41"/>
      <c r="BQC23" s="41"/>
      <c r="BQD23" s="41"/>
      <c r="BQE23" s="76"/>
      <c r="BQF23" s="41"/>
      <c r="BQG23" s="41"/>
      <c r="BQH23" s="41"/>
      <c r="BQI23" s="41"/>
      <c r="BQJ23" s="41"/>
      <c r="BQK23" s="42"/>
      <c r="BQL23" s="40"/>
      <c r="BQM23" s="66"/>
      <c r="BQN23" s="66"/>
      <c r="BQO23" s="66"/>
      <c r="BQP23" s="41"/>
      <c r="BQQ23" s="134"/>
      <c r="BQR23" s="41"/>
      <c r="BQS23" s="41"/>
      <c r="BQT23" s="41"/>
      <c r="BQU23" s="41"/>
      <c r="BQV23" s="41"/>
      <c r="BQW23" s="139"/>
      <c r="BQX23" s="41"/>
      <c r="BQY23" s="41"/>
      <c r="BQZ23" s="41"/>
      <c r="BRA23" s="41"/>
      <c r="BRB23" s="41"/>
      <c r="BRC23" s="76"/>
      <c r="BRD23" s="41"/>
      <c r="BRE23" s="41"/>
      <c r="BRF23" s="41"/>
      <c r="BRG23" s="41"/>
      <c r="BRH23" s="41"/>
      <c r="BRI23" s="139"/>
      <c r="BRJ23" s="41"/>
      <c r="BRK23" s="41"/>
      <c r="BRL23" s="41"/>
      <c r="BRM23" s="41"/>
      <c r="BRN23" s="41"/>
      <c r="BRO23" s="76"/>
      <c r="BRP23" s="66"/>
      <c r="BRQ23" s="66"/>
      <c r="BRR23" s="66"/>
      <c r="BRS23" s="66"/>
      <c r="BRT23" s="41"/>
      <c r="BRU23" s="139"/>
      <c r="BRV23" s="41"/>
      <c r="BRW23" s="41"/>
      <c r="BRX23" s="41"/>
      <c r="BRY23" s="41"/>
      <c r="BRZ23" s="41"/>
      <c r="BSA23" s="76"/>
      <c r="BSB23" s="41"/>
      <c r="BSC23" s="41"/>
      <c r="BSD23" s="41"/>
      <c r="BSE23" s="41"/>
      <c r="BSF23" s="41"/>
      <c r="BSG23" s="139"/>
      <c r="BSH23" s="41"/>
      <c r="BSI23" s="41"/>
      <c r="BSJ23" s="41"/>
      <c r="BSK23" s="41"/>
      <c r="BSL23" s="41"/>
      <c r="BSM23" s="76"/>
      <c r="BSN23" s="41"/>
      <c r="BSO23" s="41"/>
      <c r="BSP23" s="41"/>
      <c r="BSQ23" s="41"/>
      <c r="BSR23" s="41"/>
      <c r="BSS23" s="42"/>
      <c r="BST23" s="40"/>
      <c r="BSU23" s="66"/>
      <c r="BSV23" s="66"/>
      <c r="BSW23" s="66"/>
      <c r="BSX23" s="41"/>
      <c r="BSY23" s="134"/>
      <c r="BSZ23" s="41"/>
      <c r="BTA23" s="41"/>
      <c r="BTB23" s="41"/>
      <c r="BTC23" s="41"/>
      <c r="BTD23" s="41"/>
      <c r="BTE23" s="139"/>
      <c r="BTF23" s="41"/>
      <c r="BTG23" s="41"/>
      <c r="BTH23" s="41"/>
      <c r="BTI23" s="41"/>
      <c r="BTJ23" s="41"/>
      <c r="BTK23" s="76"/>
      <c r="BTL23" s="41"/>
      <c r="BTM23" s="41"/>
      <c r="BTN23" s="41"/>
      <c r="BTO23" s="41"/>
      <c r="BTP23" s="41"/>
      <c r="BTQ23" s="139"/>
      <c r="BTR23" s="41"/>
      <c r="BTS23" s="41"/>
      <c r="BTT23" s="41"/>
      <c r="BTU23" s="41"/>
      <c r="BTV23" s="41"/>
      <c r="BTW23" s="76"/>
      <c r="BTX23" s="66"/>
      <c r="BTY23" s="66"/>
      <c r="BTZ23" s="66"/>
      <c r="BUA23" s="66"/>
      <c r="BUB23" s="41"/>
      <c r="BUC23" s="139"/>
      <c r="BUD23" s="41"/>
      <c r="BUE23" s="41"/>
      <c r="BUF23" s="41"/>
      <c r="BUG23" s="41"/>
      <c r="BUH23" s="41"/>
      <c r="BUI23" s="76"/>
      <c r="BUJ23" s="41"/>
      <c r="BUK23" s="41"/>
      <c r="BUL23" s="41"/>
      <c r="BUM23" s="41"/>
      <c r="BUN23" s="41"/>
      <c r="BUO23" s="139"/>
      <c r="BUP23" s="41"/>
      <c r="BUQ23" s="41"/>
      <c r="BUR23" s="41"/>
      <c r="BUS23" s="41"/>
      <c r="BUT23" s="41"/>
      <c r="BUU23" s="76"/>
      <c r="BUV23" s="41"/>
      <c r="BUW23" s="41"/>
      <c r="BUX23" s="41"/>
      <c r="BUY23" s="41"/>
      <c r="BUZ23" s="41"/>
      <c r="BVA23" s="42"/>
      <c r="BVB23" s="40"/>
      <c r="BVC23" s="66"/>
      <c r="BVD23" s="66"/>
      <c r="BVE23" s="66"/>
      <c r="BVF23" s="41"/>
      <c r="BVG23" s="134"/>
      <c r="BVH23" s="41"/>
      <c r="BVI23" s="41"/>
      <c r="BVJ23" s="41"/>
      <c r="BVK23" s="41"/>
      <c r="BVL23" s="41"/>
      <c r="BVM23" s="139"/>
      <c r="BVN23" s="41"/>
      <c r="BVO23" s="41"/>
      <c r="BVP23" s="41"/>
      <c r="BVQ23" s="41"/>
      <c r="BVR23" s="41"/>
      <c r="BVS23" s="76"/>
      <c r="BVT23" s="41"/>
      <c r="BVU23" s="41"/>
      <c r="BVV23" s="41"/>
      <c r="BVW23" s="41"/>
      <c r="BVX23" s="41"/>
      <c r="BVY23" s="139"/>
      <c r="BVZ23" s="41"/>
      <c r="BWA23" s="41"/>
      <c r="BWB23" s="41"/>
      <c r="BWC23" s="41"/>
      <c r="BWD23" s="41"/>
      <c r="BWE23" s="76"/>
      <c r="BWF23" s="66"/>
      <c r="BWG23" s="66"/>
      <c r="BWH23" s="66"/>
      <c r="BWI23" s="66"/>
      <c r="BWJ23" s="41"/>
      <c r="BWK23" s="139"/>
      <c r="BWL23" s="41"/>
      <c r="BWM23" s="41"/>
      <c r="BWN23" s="41"/>
      <c r="BWO23" s="41"/>
      <c r="BWP23" s="41"/>
      <c r="BWQ23" s="76"/>
      <c r="BWR23" s="41"/>
      <c r="BWS23" s="41"/>
      <c r="BWT23" s="41"/>
      <c r="BWU23" s="41"/>
      <c r="BWV23" s="41"/>
      <c r="BWW23" s="139"/>
      <c r="BWX23" s="41"/>
      <c r="BWY23" s="41"/>
      <c r="BWZ23" s="41"/>
      <c r="BXA23" s="41"/>
      <c r="BXB23" s="41"/>
      <c r="BXC23" s="76"/>
      <c r="BXD23" s="41"/>
      <c r="BXE23" s="41"/>
      <c r="BXF23" s="41"/>
      <c r="BXG23" s="41"/>
      <c r="BXH23" s="41"/>
      <c r="BXI23" s="42"/>
      <c r="BXJ23" s="40"/>
      <c r="BXK23" s="66"/>
      <c r="BXL23" s="66"/>
      <c r="BXM23" s="66"/>
      <c r="BXN23" s="41"/>
      <c r="BXO23" s="134"/>
      <c r="BXP23" s="41"/>
      <c r="BXQ23" s="41"/>
      <c r="BXR23" s="41"/>
      <c r="BXS23" s="41"/>
      <c r="BXT23" s="41"/>
      <c r="BXU23" s="139"/>
      <c r="BXV23" s="41"/>
      <c r="BXW23" s="41"/>
      <c r="BXX23" s="41"/>
      <c r="BXY23" s="41"/>
      <c r="BXZ23" s="41"/>
      <c r="BYA23" s="76"/>
      <c r="BYB23" s="41"/>
      <c r="BYC23" s="41"/>
      <c r="BYD23" s="41"/>
      <c r="BYE23" s="41"/>
      <c r="BYF23" s="41"/>
      <c r="BYG23" s="139"/>
      <c r="BYH23" s="41"/>
      <c r="BYI23" s="41"/>
      <c r="BYJ23" s="41"/>
      <c r="BYK23" s="41"/>
      <c r="BYL23" s="41"/>
      <c r="BYM23" s="76"/>
      <c r="BYN23" s="66"/>
      <c r="BYO23" s="66"/>
      <c r="BYP23" s="66"/>
      <c r="BYQ23" s="66"/>
      <c r="BYR23" s="41"/>
      <c r="BYS23" s="139"/>
      <c r="BYT23" s="41"/>
      <c r="BYU23" s="41"/>
      <c r="BYV23" s="41"/>
      <c r="BYW23" s="41"/>
      <c r="BYX23" s="41"/>
      <c r="BYY23" s="76"/>
      <c r="BYZ23" s="41"/>
      <c r="BZA23" s="41"/>
      <c r="BZB23" s="41"/>
      <c r="BZC23" s="41"/>
      <c r="BZD23" s="41"/>
      <c r="BZE23" s="139"/>
      <c r="BZF23" s="41"/>
      <c r="BZG23" s="41"/>
      <c r="BZH23" s="41"/>
      <c r="BZI23" s="41"/>
      <c r="BZJ23" s="41"/>
      <c r="BZK23" s="76"/>
      <c r="BZL23" s="41"/>
      <c r="BZM23" s="41"/>
      <c r="BZN23" s="41"/>
      <c r="BZO23" s="41"/>
      <c r="BZP23" s="41"/>
      <c r="BZQ23" s="42"/>
      <c r="BZR23" s="40"/>
      <c r="BZS23" s="66"/>
      <c r="BZT23" s="66"/>
      <c r="BZU23" s="66"/>
      <c r="BZV23" s="41"/>
      <c r="BZW23" s="134"/>
      <c r="BZX23" s="41"/>
      <c r="BZY23" s="41"/>
      <c r="BZZ23" s="41"/>
      <c r="CAA23" s="41"/>
      <c r="CAB23" s="41"/>
      <c r="CAC23" s="139"/>
      <c r="CAD23" s="41"/>
      <c r="CAE23" s="41"/>
      <c r="CAF23" s="41"/>
      <c r="CAG23" s="41"/>
      <c r="CAH23" s="41"/>
      <c r="CAI23" s="76"/>
      <c r="CAJ23" s="41"/>
      <c r="CAK23" s="41"/>
      <c r="CAL23" s="41"/>
      <c r="CAM23" s="41"/>
      <c r="CAN23" s="41"/>
      <c r="CAO23" s="139"/>
      <c r="CAP23" s="41"/>
      <c r="CAQ23" s="41"/>
      <c r="CAR23" s="41"/>
      <c r="CAS23" s="41"/>
      <c r="CAT23" s="41"/>
      <c r="CAU23" s="76"/>
      <c r="CAV23" s="66"/>
      <c r="CAW23" s="66"/>
      <c r="CAX23" s="66"/>
      <c r="CAY23" s="66"/>
      <c r="CAZ23" s="41"/>
      <c r="CBA23" s="139"/>
      <c r="CBB23" s="41"/>
      <c r="CBC23" s="41"/>
      <c r="CBD23" s="41"/>
      <c r="CBE23" s="41"/>
      <c r="CBF23" s="41"/>
      <c r="CBG23" s="76"/>
      <c r="CBH23" s="41"/>
      <c r="CBI23" s="41"/>
      <c r="CBJ23" s="41"/>
      <c r="CBK23" s="41"/>
      <c r="CBL23" s="41"/>
      <c r="CBM23" s="139"/>
      <c r="CBN23" s="41"/>
      <c r="CBO23" s="41"/>
      <c r="CBP23" s="41"/>
      <c r="CBQ23" s="41"/>
      <c r="CBR23" s="41"/>
      <c r="CBS23" s="76"/>
      <c r="CBT23" s="41"/>
      <c r="CBU23" s="41"/>
      <c r="CBV23" s="41"/>
      <c r="CBW23" s="41"/>
      <c r="CBX23" s="41"/>
      <c r="CBY23" s="42"/>
      <c r="CBZ23" s="90"/>
    </row>
    <row r="24" spans="1:2106" ht="20.100000000000001" customHeight="1" x14ac:dyDescent="0.25">
      <c r="A24" s="100" t="s">
        <v>23</v>
      </c>
      <c r="B24" s="63" t="str">
        <f>IF(LEN(C33)=0,"",C33)</f>
        <v/>
      </c>
      <c r="C24" s="172"/>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28"/>
      <c r="BLW24" s="67"/>
      <c r="BLX24" s="67"/>
      <c r="BLY24" s="67"/>
      <c r="BLZ24" s="29"/>
      <c r="BMA24" s="131"/>
      <c r="BMB24" s="29"/>
      <c r="BMC24" s="29"/>
      <c r="BMD24" s="29"/>
      <c r="BME24" s="29"/>
      <c r="BMF24" s="29"/>
      <c r="BMG24" s="136"/>
      <c r="BMH24" s="29"/>
      <c r="BMI24" s="29"/>
      <c r="BMJ24" s="29"/>
      <c r="BMK24" s="29"/>
      <c r="BML24" s="29"/>
      <c r="BMM24" s="73"/>
      <c r="BMN24" s="29"/>
      <c r="BMO24" s="29"/>
      <c r="BMP24" s="29"/>
      <c r="BMQ24" s="29"/>
      <c r="BMR24" s="29"/>
      <c r="BMS24" s="136"/>
      <c r="BMT24" s="29"/>
      <c r="BMU24" s="29"/>
      <c r="BMV24" s="29"/>
      <c r="BMW24" s="29"/>
      <c r="BMX24" s="29"/>
      <c r="BMY24" s="73"/>
      <c r="BMZ24" s="67"/>
      <c r="BNA24" s="67"/>
      <c r="BNB24" s="67"/>
      <c r="BNC24" s="67"/>
      <c r="BND24" s="29"/>
      <c r="BNE24" s="136"/>
      <c r="BNF24" s="29"/>
      <c r="BNG24" s="29"/>
      <c r="BNH24" s="29"/>
      <c r="BNI24" s="29"/>
      <c r="BNJ24" s="29"/>
      <c r="BNK24" s="73"/>
      <c r="BNL24" s="29"/>
      <c r="BNM24" s="29"/>
      <c r="BNN24" s="29"/>
      <c r="BNO24" s="29"/>
      <c r="BNP24" s="29"/>
      <c r="BNQ24" s="136"/>
      <c r="BNR24" s="29"/>
      <c r="BNS24" s="29"/>
      <c r="BNT24" s="29"/>
      <c r="BNU24" s="29"/>
      <c r="BNV24" s="29"/>
      <c r="BNW24" s="73"/>
      <c r="BNX24" s="29"/>
      <c r="BNY24" s="29"/>
      <c r="BNZ24" s="29"/>
      <c r="BOA24" s="29"/>
      <c r="BOB24" s="29"/>
      <c r="BOC24" s="30"/>
      <c r="BOD24" s="28"/>
      <c r="BOE24" s="67"/>
      <c r="BOF24" s="67"/>
      <c r="BOG24" s="67"/>
      <c r="BOH24" s="29"/>
      <c r="BOI24" s="131"/>
      <c r="BOJ24" s="29"/>
      <c r="BOK24" s="29"/>
      <c r="BOL24" s="29"/>
      <c r="BOM24" s="29"/>
      <c r="BON24" s="29"/>
      <c r="BOO24" s="136"/>
      <c r="BOP24" s="29"/>
      <c r="BOQ24" s="29"/>
      <c r="BOR24" s="29"/>
      <c r="BOS24" s="29"/>
      <c r="BOT24" s="29"/>
      <c r="BOU24" s="73"/>
      <c r="BOV24" s="29"/>
      <c r="BOW24" s="29"/>
      <c r="BOX24" s="29"/>
      <c r="BOY24" s="29"/>
      <c r="BOZ24" s="29"/>
      <c r="BPA24" s="136"/>
      <c r="BPB24" s="29"/>
      <c r="BPC24" s="29"/>
      <c r="BPD24" s="29"/>
      <c r="BPE24" s="29"/>
      <c r="BPF24" s="29"/>
      <c r="BPG24" s="73"/>
      <c r="BPH24" s="67"/>
      <c r="BPI24" s="67"/>
      <c r="BPJ24" s="67"/>
      <c r="BPK24" s="67"/>
      <c r="BPL24" s="29"/>
      <c r="BPM24" s="136"/>
      <c r="BPN24" s="29"/>
      <c r="BPO24" s="29"/>
      <c r="BPP24" s="29"/>
      <c r="BPQ24" s="29"/>
      <c r="BPR24" s="29"/>
      <c r="BPS24" s="73"/>
      <c r="BPT24" s="29"/>
      <c r="BPU24" s="29"/>
      <c r="BPV24" s="29"/>
      <c r="BPW24" s="29"/>
      <c r="BPX24" s="29"/>
      <c r="BPY24" s="136"/>
      <c r="BPZ24" s="29"/>
      <c r="BQA24" s="29"/>
      <c r="BQB24" s="29"/>
      <c r="BQC24" s="29"/>
      <c r="BQD24" s="29"/>
      <c r="BQE24" s="73"/>
      <c r="BQF24" s="29"/>
      <c r="BQG24" s="29"/>
      <c r="BQH24" s="29"/>
      <c r="BQI24" s="29"/>
      <c r="BQJ24" s="29"/>
      <c r="BQK24" s="30"/>
      <c r="BQL24" s="28"/>
      <c r="BQM24" s="67"/>
      <c r="BQN24" s="67"/>
      <c r="BQO24" s="67"/>
      <c r="BQP24" s="29"/>
      <c r="BQQ24" s="131"/>
      <c r="BQR24" s="29"/>
      <c r="BQS24" s="29"/>
      <c r="BQT24" s="29"/>
      <c r="BQU24" s="29"/>
      <c r="BQV24" s="29"/>
      <c r="BQW24" s="136"/>
      <c r="BQX24" s="29"/>
      <c r="BQY24" s="29"/>
      <c r="BQZ24" s="29"/>
      <c r="BRA24" s="29"/>
      <c r="BRB24" s="29"/>
      <c r="BRC24" s="73"/>
      <c r="BRD24" s="29"/>
      <c r="BRE24" s="29"/>
      <c r="BRF24" s="29"/>
      <c r="BRG24" s="29"/>
      <c r="BRH24" s="29"/>
      <c r="BRI24" s="136"/>
      <c r="BRJ24" s="29"/>
      <c r="BRK24" s="29"/>
      <c r="BRL24" s="29"/>
      <c r="BRM24" s="29"/>
      <c r="BRN24" s="29"/>
      <c r="BRO24" s="73"/>
      <c r="BRP24" s="67"/>
      <c r="BRQ24" s="67"/>
      <c r="BRR24" s="67"/>
      <c r="BRS24" s="67"/>
      <c r="BRT24" s="29"/>
      <c r="BRU24" s="136"/>
      <c r="BRV24" s="29"/>
      <c r="BRW24" s="29"/>
      <c r="BRX24" s="29"/>
      <c r="BRY24" s="29"/>
      <c r="BRZ24" s="29"/>
      <c r="BSA24" s="73"/>
      <c r="BSB24" s="29"/>
      <c r="BSC24" s="29"/>
      <c r="BSD24" s="29"/>
      <c r="BSE24" s="29"/>
      <c r="BSF24" s="29"/>
      <c r="BSG24" s="136"/>
      <c r="BSH24" s="29"/>
      <c r="BSI24" s="29"/>
      <c r="BSJ24" s="29"/>
      <c r="BSK24" s="29"/>
      <c r="BSL24" s="29"/>
      <c r="BSM24" s="73"/>
      <c r="BSN24" s="29"/>
      <c r="BSO24" s="29"/>
      <c r="BSP24" s="29"/>
      <c r="BSQ24" s="29"/>
      <c r="BSR24" s="29"/>
      <c r="BSS24" s="30"/>
      <c r="BST24" s="28"/>
      <c r="BSU24" s="67"/>
      <c r="BSV24" s="67"/>
      <c r="BSW24" s="67"/>
      <c r="BSX24" s="29"/>
      <c r="BSY24" s="131"/>
      <c r="BSZ24" s="29"/>
      <c r="BTA24" s="29"/>
      <c r="BTB24" s="29"/>
      <c r="BTC24" s="29"/>
      <c r="BTD24" s="29"/>
      <c r="BTE24" s="136"/>
      <c r="BTF24" s="29"/>
      <c r="BTG24" s="29"/>
      <c r="BTH24" s="29"/>
      <c r="BTI24" s="29"/>
      <c r="BTJ24" s="29"/>
      <c r="BTK24" s="73"/>
      <c r="BTL24" s="29"/>
      <c r="BTM24" s="29"/>
      <c r="BTN24" s="29"/>
      <c r="BTO24" s="29"/>
      <c r="BTP24" s="29"/>
      <c r="BTQ24" s="136"/>
      <c r="BTR24" s="29"/>
      <c r="BTS24" s="29"/>
      <c r="BTT24" s="29"/>
      <c r="BTU24" s="29"/>
      <c r="BTV24" s="29"/>
      <c r="BTW24" s="73"/>
      <c r="BTX24" s="67"/>
      <c r="BTY24" s="67"/>
      <c r="BTZ24" s="67"/>
      <c r="BUA24" s="67"/>
      <c r="BUB24" s="29"/>
      <c r="BUC24" s="136"/>
      <c r="BUD24" s="29"/>
      <c r="BUE24" s="29"/>
      <c r="BUF24" s="29"/>
      <c r="BUG24" s="29"/>
      <c r="BUH24" s="29"/>
      <c r="BUI24" s="73"/>
      <c r="BUJ24" s="29"/>
      <c r="BUK24" s="29"/>
      <c r="BUL24" s="29"/>
      <c r="BUM24" s="29"/>
      <c r="BUN24" s="29"/>
      <c r="BUO24" s="136"/>
      <c r="BUP24" s="29"/>
      <c r="BUQ24" s="29"/>
      <c r="BUR24" s="29"/>
      <c r="BUS24" s="29"/>
      <c r="BUT24" s="29"/>
      <c r="BUU24" s="73"/>
      <c r="BUV24" s="29"/>
      <c r="BUW24" s="29"/>
      <c r="BUX24" s="29"/>
      <c r="BUY24" s="29"/>
      <c r="BUZ24" s="29"/>
      <c r="BVA24" s="30"/>
      <c r="BVB24" s="28"/>
      <c r="BVC24" s="67"/>
      <c r="BVD24" s="67"/>
      <c r="BVE24" s="67"/>
      <c r="BVF24" s="29"/>
      <c r="BVG24" s="131"/>
      <c r="BVH24" s="29"/>
      <c r="BVI24" s="29"/>
      <c r="BVJ24" s="29"/>
      <c r="BVK24" s="29"/>
      <c r="BVL24" s="29"/>
      <c r="BVM24" s="136"/>
      <c r="BVN24" s="29"/>
      <c r="BVO24" s="29"/>
      <c r="BVP24" s="29"/>
      <c r="BVQ24" s="29"/>
      <c r="BVR24" s="29"/>
      <c r="BVS24" s="73"/>
      <c r="BVT24" s="29"/>
      <c r="BVU24" s="29"/>
      <c r="BVV24" s="29"/>
      <c r="BVW24" s="29"/>
      <c r="BVX24" s="29"/>
      <c r="BVY24" s="136"/>
      <c r="BVZ24" s="29"/>
      <c r="BWA24" s="29"/>
      <c r="BWB24" s="29"/>
      <c r="BWC24" s="29"/>
      <c r="BWD24" s="29"/>
      <c r="BWE24" s="73"/>
      <c r="BWF24" s="67"/>
      <c r="BWG24" s="67"/>
      <c r="BWH24" s="67"/>
      <c r="BWI24" s="67"/>
      <c r="BWJ24" s="29"/>
      <c r="BWK24" s="136"/>
      <c r="BWL24" s="29"/>
      <c r="BWM24" s="29"/>
      <c r="BWN24" s="29"/>
      <c r="BWO24" s="29"/>
      <c r="BWP24" s="29"/>
      <c r="BWQ24" s="73"/>
      <c r="BWR24" s="29"/>
      <c r="BWS24" s="29"/>
      <c r="BWT24" s="29"/>
      <c r="BWU24" s="29"/>
      <c r="BWV24" s="29"/>
      <c r="BWW24" s="136"/>
      <c r="BWX24" s="29"/>
      <c r="BWY24" s="29"/>
      <c r="BWZ24" s="29"/>
      <c r="BXA24" s="29"/>
      <c r="BXB24" s="29"/>
      <c r="BXC24" s="73"/>
      <c r="BXD24" s="29"/>
      <c r="BXE24" s="29"/>
      <c r="BXF24" s="29"/>
      <c r="BXG24" s="29"/>
      <c r="BXH24" s="29"/>
      <c r="BXI24" s="30"/>
      <c r="BXJ24" s="28"/>
      <c r="BXK24" s="67"/>
      <c r="BXL24" s="67"/>
      <c r="BXM24" s="67"/>
      <c r="BXN24" s="29"/>
      <c r="BXO24" s="131"/>
      <c r="BXP24" s="29"/>
      <c r="BXQ24" s="29"/>
      <c r="BXR24" s="29"/>
      <c r="BXS24" s="29"/>
      <c r="BXT24" s="29"/>
      <c r="BXU24" s="136"/>
      <c r="BXV24" s="29"/>
      <c r="BXW24" s="29"/>
      <c r="BXX24" s="29"/>
      <c r="BXY24" s="29"/>
      <c r="BXZ24" s="29"/>
      <c r="BYA24" s="73"/>
      <c r="BYB24" s="29"/>
      <c r="BYC24" s="29"/>
      <c r="BYD24" s="29"/>
      <c r="BYE24" s="29"/>
      <c r="BYF24" s="29"/>
      <c r="BYG24" s="136"/>
      <c r="BYH24" s="29"/>
      <c r="BYI24" s="29"/>
      <c r="BYJ24" s="29"/>
      <c r="BYK24" s="29"/>
      <c r="BYL24" s="29"/>
      <c r="BYM24" s="73"/>
      <c r="BYN24" s="67"/>
      <c r="BYO24" s="67"/>
      <c r="BYP24" s="67"/>
      <c r="BYQ24" s="67"/>
      <c r="BYR24" s="29"/>
      <c r="BYS24" s="136"/>
      <c r="BYT24" s="29"/>
      <c r="BYU24" s="29"/>
      <c r="BYV24" s="29"/>
      <c r="BYW24" s="29"/>
      <c r="BYX24" s="29"/>
      <c r="BYY24" s="73"/>
      <c r="BYZ24" s="29"/>
      <c r="BZA24" s="29"/>
      <c r="BZB24" s="29"/>
      <c r="BZC24" s="29"/>
      <c r="BZD24" s="29"/>
      <c r="BZE24" s="136"/>
      <c r="BZF24" s="29"/>
      <c r="BZG24" s="29"/>
      <c r="BZH24" s="29"/>
      <c r="BZI24" s="29"/>
      <c r="BZJ24" s="29"/>
      <c r="BZK24" s="73"/>
      <c r="BZL24" s="29"/>
      <c r="BZM24" s="29"/>
      <c r="BZN24" s="29"/>
      <c r="BZO24" s="29"/>
      <c r="BZP24" s="29"/>
      <c r="BZQ24" s="30"/>
      <c r="BZR24" s="28"/>
      <c r="BZS24" s="67"/>
      <c r="BZT24" s="67"/>
      <c r="BZU24" s="67"/>
      <c r="BZV24" s="29"/>
      <c r="BZW24" s="131"/>
      <c r="BZX24" s="29"/>
      <c r="BZY24" s="29"/>
      <c r="BZZ24" s="29"/>
      <c r="CAA24" s="29"/>
      <c r="CAB24" s="29"/>
      <c r="CAC24" s="136"/>
      <c r="CAD24" s="29"/>
      <c r="CAE24" s="29"/>
      <c r="CAF24" s="29"/>
      <c r="CAG24" s="29"/>
      <c r="CAH24" s="29"/>
      <c r="CAI24" s="73"/>
      <c r="CAJ24" s="29"/>
      <c r="CAK24" s="29"/>
      <c r="CAL24" s="29"/>
      <c r="CAM24" s="29"/>
      <c r="CAN24" s="29"/>
      <c r="CAO24" s="136"/>
      <c r="CAP24" s="29"/>
      <c r="CAQ24" s="29"/>
      <c r="CAR24" s="29"/>
      <c r="CAS24" s="29"/>
      <c r="CAT24" s="29"/>
      <c r="CAU24" s="73"/>
      <c r="CAV24" s="67"/>
      <c r="CAW24" s="67"/>
      <c r="CAX24" s="67"/>
      <c r="CAY24" s="67"/>
      <c r="CAZ24" s="29"/>
      <c r="CBA24" s="136"/>
      <c r="CBB24" s="29"/>
      <c r="CBC24" s="29"/>
      <c r="CBD24" s="29"/>
      <c r="CBE24" s="29"/>
      <c r="CBF24" s="29"/>
      <c r="CBG24" s="73"/>
      <c r="CBH24" s="29"/>
      <c r="CBI24" s="29"/>
      <c r="CBJ24" s="29"/>
      <c r="CBK24" s="29"/>
      <c r="CBL24" s="29"/>
      <c r="CBM24" s="136"/>
      <c r="CBN24" s="29"/>
      <c r="CBO24" s="29"/>
      <c r="CBP24" s="29"/>
      <c r="CBQ24" s="29"/>
      <c r="CBR24" s="29"/>
      <c r="CBS24" s="73"/>
      <c r="CBT24" s="29"/>
      <c r="CBU24" s="29"/>
      <c r="CBV24" s="29"/>
      <c r="CBW24" s="29"/>
      <c r="CBX24" s="29"/>
      <c r="CBY24" s="30"/>
      <c r="CBZ24" s="90"/>
    </row>
    <row r="25" spans="1:2106" ht="20.100000000000001" customHeight="1" x14ac:dyDescent="0.25">
      <c r="A25" s="100" t="s">
        <v>22</v>
      </c>
      <c r="B25" s="63" t="str">
        <f>IF(LEN(C35)=0,"",C35)</f>
        <v/>
      </c>
      <c r="C25" s="170"/>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32"/>
      <c r="BLW25" s="64"/>
      <c r="BLX25" s="64"/>
      <c r="BLY25" s="64"/>
      <c r="BLZ25" s="33"/>
      <c r="BMA25" s="132"/>
      <c r="BMB25" s="33"/>
      <c r="BMC25" s="33"/>
      <c r="BMD25" s="33"/>
      <c r="BME25" s="33"/>
      <c r="BMF25" s="33"/>
      <c r="BMG25" s="137"/>
      <c r="BMH25" s="33"/>
      <c r="BMI25" s="33"/>
      <c r="BMJ25" s="33"/>
      <c r="BMK25" s="33"/>
      <c r="BML25" s="33"/>
      <c r="BMM25" s="74"/>
      <c r="BMN25" s="33"/>
      <c r="BMO25" s="33"/>
      <c r="BMP25" s="33"/>
      <c r="BMQ25" s="33"/>
      <c r="BMR25" s="33"/>
      <c r="BMS25" s="137"/>
      <c r="BMT25" s="33"/>
      <c r="BMU25" s="33"/>
      <c r="BMV25" s="33"/>
      <c r="BMW25" s="33"/>
      <c r="BMX25" s="33"/>
      <c r="BMY25" s="74"/>
      <c r="BMZ25" s="64"/>
      <c r="BNA25" s="64"/>
      <c r="BNB25" s="64"/>
      <c r="BNC25" s="64"/>
      <c r="BND25" s="33"/>
      <c r="BNE25" s="137"/>
      <c r="BNF25" s="33"/>
      <c r="BNG25" s="33"/>
      <c r="BNH25" s="33"/>
      <c r="BNI25" s="33"/>
      <c r="BNJ25" s="33"/>
      <c r="BNK25" s="74"/>
      <c r="BNL25" s="33"/>
      <c r="BNM25" s="33"/>
      <c r="BNN25" s="33"/>
      <c r="BNO25" s="33"/>
      <c r="BNP25" s="33"/>
      <c r="BNQ25" s="137"/>
      <c r="BNR25" s="33"/>
      <c r="BNS25" s="33"/>
      <c r="BNT25" s="33"/>
      <c r="BNU25" s="33"/>
      <c r="BNV25" s="33"/>
      <c r="BNW25" s="74"/>
      <c r="BNX25" s="33"/>
      <c r="BNY25" s="33"/>
      <c r="BNZ25" s="33"/>
      <c r="BOA25" s="33"/>
      <c r="BOB25" s="33"/>
      <c r="BOC25" s="34"/>
      <c r="BOD25" s="32"/>
      <c r="BOE25" s="64"/>
      <c r="BOF25" s="64"/>
      <c r="BOG25" s="64"/>
      <c r="BOH25" s="33"/>
      <c r="BOI25" s="132"/>
      <c r="BOJ25" s="33"/>
      <c r="BOK25" s="33"/>
      <c r="BOL25" s="33"/>
      <c r="BOM25" s="33"/>
      <c r="BON25" s="33"/>
      <c r="BOO25" s="137"/>
      <c r="BOP25" s="33"/>
      <c r="BOQ25" s="33"/>
      <c r="BOR25" s="33"/>
      <c r="BOS25" s="33"/>
      <c r="BOT25" s="33"/>
      <c r="BOU25" s="74"/>
      <c r="BOV25" s="33"/>
      <c r="BOW25" s="33"/>
      <c r="BOX25" s="33"/>
      <c r="BOY25" s="33"/>
      <c r="BOZ25" s="33"/>
      <c r="BPA25" s="137"/>
      <c r="BPB25" s="33"/>
      <c r="BPC25" s="33"/>
      <c r="BPD25" s="33"/>
      <c r="BPE25" s="33"/>
      <c r="BPF25" s="33"/>
      <c r="BPG25" s="74"/>
      <c r="BPH25" s="64"/>
      <c r="BPI25" s="64"/>
      <c r="BPJ25" s="64"/>
      <c r="BPK25" s="64"/>
      <c r="BPL25" s="33"/>
      <c r="BPM25" s="137"/>
      <c r="BPN25" s="33"/>
      <c r="BPO25" s="33"/>
      <c r="BPP25" s="33"/>
      <c r="BPQ25" s="33"/>
      <c r="BPR25" s="33"/>
      <c r="BPS25" s="74"/>
      <c r="BPT25" s="33"/>
      <c r="BPU25" s="33"/>
      <c r="BPV25" s="33"/>
      <c r="BPW25" s="33"/>
      <c r="BPX25" s="33"/>
      <c r="BPY25" s="137"/>
      <c r="BPZ25" s="33"/>
      <c r="BQA25" s="33"/>
      <c r="BQB25" s="33"/>
      <c r="BQC25" s="33"/>
      <c r="BQD25" s="33"/>
      <c r="BQE25" s="74"/>
      <c r="BQF25" s="33"/>
      <c r="BQG25" s="33"/>
      <c r="BQH25" s="33"/>
      <c r="BQI25" s="33"/>
      <c r="BQJ25" s="33"/>
      <c r="BQK25" s="34"/>
      <c r="BQL25" s="32"/>
      <c r="BQM25" s="64"/>
      <c r="BQN25" s="64"/>
      <c r="BQO25" s="64"/>
      <c r="BQP25" s="33"/>
      <c r="BQQ25" s="132"/>
      <c r="BQR25" s="33"/>
      <c r="BQS25" s="33"/>
      <c r="BQT25" s="33"/>
      <c r="BQU25" s="33"/>
      <c r="BQV25" s="33"/>
      <c r="BQW25" s="137"/>
      <c r="BQX25" s="33"/>
      <c r="BQY25" s="33"/>
      <c r="BQZ25" s="33"/>
      <c r="BRA25" s="33"/>
      <c r="BRB25" s="33"/>
      <c r="BRC25" s="74"/>
      <c r="BRD25" s="33"/>
      <c r="BRE25" s="33"/>
      <c r="BRF25" s="33"/>
      <c r="BRG25" s="33"/>
      <c r="BRH25" s="33"/>
      <c r="BRI25" s="137"/>
      <c r="BRJ25" s="33"/>
      <c r="BRK25" s="33"/>
      <c r="BRL25" s="33"/>
      <c r="BRM25" s="33"/>
      <c r="BRN25" s="33"/>
      <c r="BRO25" s="74"/>
      <c r="BRP25" s="64"/>
      <c r="BRQ25" s="64"/>
      <c r="BRR25" s="64"/>
      <c r="BRS25" s="64"/>
      <c r="BRT25" s="33"/>
      <c r="BRU25" s="137"/>
      <c r="BRV25" s="33"/>
      <c r="BRW25" s="33"/>
      <c r="BRX25" s="33"/>
      <c r="BRY25" s="33"/>
      <c r="BRZ25" s="33"/>
      <c r="BSA25" s="74"/>
      <c r="BSB25" s="33"/>
      <c r="BSC25" s="33"/>
      <c r="BSD25" s="33"/>
      <c r="BSE25" s="33"/>
      <c r="BSF25" s="33"/>
      <c r="BSG25" s="137"/>
      <c r="BSH25" s="33"/>
      <c r="BSI25" s="33"/>
      <c r="BSJ25" s="33"/>
      <c r="BSK25" s="33"/>
      <c r="BSL25" s="33"/>
      <c r="BSM25" s="74"/>
      <c r="BSN25" s="33"/>
      <c r="BSO25" s="33"/>
      <c r="BSP25" s="33"/>
      <c r="BSQ25" s="33"/>
      <c r="BSR25" s="33"/>
      <c r="BSS25" s="34"/>
      <c r="BST25" s="32"/>
      <c r="BSU25" s="64"/>
      <c r="BSV25" s="64"/>
      <c r="BSW25" s="64"/>
      <c r="BSX25" s="33"/>
      <c r="BSY25" s="132"/>
      <c r="BSZ25" s="33"/>
      <c r="BTA25" s="33"/>
      <c r="BTB25" s="33"/>
      <c r="BTC25" s="33"/>
      <c r="BTD25" s="33"/>
      <c r="BTE25" s="137"/>
      <c r="BTF25" s="33"/>
      <c r="BTG25" s="33"/>
      <c r="BTH25" s="33"/>
      <c r="BTI25" s="33"/>
      <c r="BTJ25" s="33"/>
      <c r="BTK25" s="74"/>
      <c r="BTL25" s="33"/>
      <c r="BTM25" s="33"/>
      <c r="BTN25" s="33"/>
      <c r="BTO25" s="33"/>
      <c r="BTP25" s="33"/>
      <c r="BTQ25" s="137"/>
      <c r="BTR25" s="33"/>
      <c r="BTS25" s="33"/>
      <c r="BTT25" s="33"/>
      <c r="BTU25" s="33"/>
      <c r="BTV25" s="33"/>
      <c r="BTW25" s="74"/>
      <c r="BTX25" s="64"/>
      <c r="BTY25" s="64"/>
      <c r="BTZ25" s="64"/>
      <c r="BUA25" s="64"/>
      <c r="BUB25" s="33"/>
      <c r="BUC25" s="137"/>
      <c r="BUD25" s="33"/>
      <c r="BUE25" s="33"/>
      <c r="BUF25" s="33"/>
      <c r="BUG25" s="33"/>
      <c r="BUH25" s="33"/>
      <c r="BUI25" s="74"/>
      <c r="BUJ25" s="33"/>
      <c r="BUK25" s="33"/>
      <c r="BUL25" s="33"/>
      <c r="BUM25" s="33"/>
      <c r="BUN25" s="33"/>
      <c r="BUO25" s="137"/>
      <c r="BUP25" s="33"/>
      <c r="BUQ25" s="33"/>
      <c r="BUR25" s="33"/>
      <c r="BUS25" s="33"/>
      <c r="BUT25" s="33"/>
      <c r="BUU25" s="74"/>
      <c r="BUV25" s="33"/>
      <c r="BUW25" s="33"/>
      <c r="BUX25" s="33"/>
      <c r="BUY25" s="33"/>
      <c r="BUZ25" s="33"/>
      <c r="BVA25" s="34"/>
      <c r="BVB25" s="32"/>
      <c r="BVC25" s="64"/>
      <c r="BVD25" s="64"/>
      <c r="BVE25" s="64"/>
      <c r="BVF25" s="33"/>
      <c r="BVG25" s="132"/>
      <c r="BVH25" s="33"/>
      <c r="BVI25" s="33"/>
      <c r="BVJ25" s="33"/>
      <c r="BVK25" s="33"/>
      <c r="BVL25" s="33"/>
      <c r="BVM25" s="137"/>
      <c r="BVN25" s="33"/>
      <c r="BVO25" s="33"/>
      <c r="BVP25" s="33"/>
      <c r="BVQ25" s="33"/>
      <c r="BVR25" s="33"/>
      <c r="BVS25" s="74"/>
      <c r="BVT25" s="33"/>
      <c r="BVU25" s="33"/>
      <c r="BVV25" s="33"/>
      <c r="BVW25" s="33"/>
      <c r="BVX25" s="33"/>
      <c r="BVY25" s="137"/>
      <c r="BVZ25" s="33"/>
      <c r="BWA25" s="33"/>
      <c r="BWB25" s="33"/>
      <c r="BWC25" s="33"/>
      <c r="BWD25" s="33"/>
      <c r="BWE25" s="74"/>
      <c r="BWF25" s="64"/>
      <c r="BWG25" s="64"/>
      <c r="BWH25" s="64"/>
      <c r="BWI25" s="64"/>
      <c r="BWJ25" s="33"/>
      <c r="BWK25" s="137"/>
      <c r="BWL25" s="33"/>
      <c r="BWM25" s="33"/>
      <c r="BWN25" s="33"/>
      <c r="BWO25" s="33"/>
      <c r="BWP25" s="33"/>
      <c r="BWQ25" s="74"/>
      <c r="BWR25" s="33"/>
      <c r="BWS25" s="33"/>
      <c r="BWT25" s="33"/>
      <c r="BWU25" s="33"/>
      <c r="BWV25" s="33"/>
      <c r="BWW25" s="137"/>
      <c r="BWX25" s="33"/>
      <c r="BWY25" s="33"/>
      <c r="BWZ25" s="33"/>
      <c r="BXA25" s="33"/>
      <c r="BXB25" s="33"/>
      <c r="BXC25" s="74"/>
      <c r="BXD25" s="33"/>
      <c r="BXE25" s="33"/>
      <c r="BXF25" s="33"/>
      <c r="BXG25" s="33"/>
      <c r="BXH25" s="33"/>
      <c r="BXI25" s="34"/>
      <c r="BXJ25" s="32"/>
      <c r="BXK25" s="64"/>
      <c r="BXL25" s="64"/>
      <c r="BXM25" s="64"/>
      <c r="BXN25" s="33"/>
      <c r="BXO25" s="132"/>
      <c r="BXP25" s="33"/>
      <c r="BXQ25" s="33"/>
      <c r="BXR25" s="33"/>
      <c r="BXS25" s="33"/>
      <c r="BXT25" s="33"/>
      <c r="BXU25" s="137"/>
      <c r="BXV25" s="33"/>
      <c r="BXW25" s="33"/>
      <c r="BXX25" s="33"/>
      <c r="BXY25" s="33"/>
      <c r="BXZ25" s="33"/>
      <c r="BYA25" s="74"/>
      <c r="BYB25" s="33"/>
      <c r="BYC25" s="33"/>
      <c r="BYD25" s="33"/>
      <c r="BYE25" s="33"/>
      <c r="BYF25" s="33"/>
      <c r="BYG25" s="137"/>
      <c r="BYH25" s="33"/>
      <c r="BYI25" s="33"/>
      <c r="BYJ25" s="33"/>
      <c r="BYK25" s="33"/>
      <c r="BYL25" s="33"/>
      <c r="BYM25" s="74"/>
      <c r="BYN25" s="64"/>
      <c r="BYO25" s="64"/>
      <c r="BYP25" s="64"/>
      <c r="BYQ25" s="64"/>
      <c r="BYR25" s="33"/>
      <c r="BYS25" s="137"/>
      <c r="BYT25" s="33"/>
      <c r="BYU25" s="33"/>
      <c r="BYV25" s="33"/>
      <c r="BYW25" s="33"/>
      <c r="BYX25" s="33"/>
      <c r="BYY25" s="74"/>
      <c r="BYZ25" s="33"/>
      <c r="BZA25" s="33"/>
      <c r="BZB25" s="33"/>
      <c r="BZC25" s="33"/>
      <c r="BZD25" s="33"/>
      <c r="BZE25" s="137"/>
      <c r="BZF25" s="33"/>
      <c r="BZG25" s="33"/>
      <c r="BZH25" s="33"/>
      <c r="BZI25" s="33"/>
      <c r="BZJ25" s="33"/>
      <c r="BZK25" s="74"/>
      <c r="BZL25" s="33"/>
      <c r="BZM25" s="33"/>
      <c r="BZN25" s="33"/>
      <c r="BZO25" s="33"/>
      <c r="BZP25" s="33"/>
      <c r="BZQ25" s="34"/>
      <c r="BZR25" s="32"/>
      <c r="BZS25" s="64"/>
      <c r="BZT25" s="64"/>
      <c r="BZU25" s="64"/>
      <c r="BZV25" s="33"/>
      <c r="BZW25" s="132"/>
      <c r="BZX25" s="33"/>
      <c r="BZY25" s="33"/>
      <c r="BZZ25" s="33"/>
      <c r="CAA25" s="33"/>
      <c r="CAB25" s="33"/>
      <c r="CAC25" s="137"/>
      <c r="CAD25" s="33"/>
      <c r="CAE25" s="33"/>
      <c r="CAF25" s="33"/>
      <c r="CAG25" s="33"/>
      <c r="CAH25" s="33"/>
      <c r="CAI25" s="74"/>
      <c r="CAJ25" s="33"/>
      <c r="CAK25" s="33"/>
      <c r="CAL25" s="33"/>
      <c r="CAM25" s="33"/>
      <c r="CAN25" s="33"/>
      <c r="CAO25" s="137"/>
      <c r="CAP25" s="33"/>
      <c r="CAQ25" s="33"/>
      <c r="CAR25" s="33"/>
      <c r="CAS25" s="33"/>
      <c r="CAT25" s="33"/>
      <c r="CAU25" s="74"/>
      <c r="CAV25" s="64"/>
      <c r="CAW25" s="64"/>
      <c r="CAX25" s="64"/>
      <c r="CAY25" s="64"/>
      <c r="CAZ25" s="33"/>
      <c r="CBA25" s="137"/>
      <c r="CBB25" s="33"/>
      <c r="CBC25" s="33"/>
      <c r="CBD25" s="33"/>
      <c r="CBE25" s="33"/>
      <c r="CBF25" s="33"/>
      <c r="CBG25" s="74"/>
      <c r="CBH25" s="33"/>
      <c r="CBI25" s="33"/>
      <c r="CBJ25" s="33"/>
      <c r="CBK25" s="33"/>
      <c r="CBL25" s="33"/>
      <c r="CBM25" s="137"/>
      <c r="CBN25" s="33"/>
      <c r="CBO25" s="33"/>
      <c r="CBP25" s="33"/>
      <c r="CBQ25" s="33"/>
      <c r="CBR25" s="33"/>
      <c r="CBS25" s="74"/>
      <c r="CBT25" s="33"/>
      <c r="CBU25" s="33"/>
      <c r="CBV25" s="33"/>
      <c r="CBW25" s="33"/>
      <c r="CBX25" s="33"/>
      <c r="CBY25" s="34"/>
      <c r="CBZ25" s="90"/>
    </row>
    <row r="26" spans="1:2106" ht="20.100000000000001" customHeight="1" x14ac:dyDescent="0.3">
      <c r="A26" s="100" t="s">
        <v>23</v>
      </c>
      <c r="B26" s="63" t="str">
        <f>IF(LEN(C37)=0,"",C37)</f>
        <v/>
      </c>
      <c r="C26" s="171"/>
      <c r="D26" s="149"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36"/>
      <c r="BLW26" s="65"/>
      <c r="BLX26" s="65"/>
      <c r="BLY26" s="65"/>
      <c r="BLZ26" s="37"/>
      <c r="BMA26" s="133"/>
      <c r="BMB26" s="37"/>
      <c r="BMC26" s="37"/>
      <c r="BMD26" s="37"/>
      <c r="BME26" s="37"/>
      <c r="BMF26" s="37"/>
      <c r="BMG26" s="138"/>
      <c r="BMH26" s="37"/>
      <c r="BMI26" s="37"/>
      <c r="BMJ26" s="37"/>
      <c r="BMK26" s="37"/>
      <c r="BML26" s="37"/>
      <c r="BMM26" s="75"/>
      <c r="BMN26" s="37"/>
      <c r="BMO26" s="37"/>
      <c r="BMP26" s="37"/>
      <c r="BMQ26" s="37"/>
      <c r="BMR26" s="37"/>
      <c r="BMS26" s="138"/>
      <c r="BMT26" s="37"/>
      <c r="BMU26" s="37"/>
      <c r="BMV26" s="37"/>
      <c r="BMW26" s="37"/>
      <c r="BMX26" s="37"/>
      <c r="BMY26" s="75"/>
      <c r="BMZ26" s="65"/>
      <c r="BNA26" s="65"/>
      <c r="BNB26" s="65"/>
      <c r="BNC26" s="65"/>
      <c r="BND26" s="37"/>
      <c r="BNE26" s="138"/>
      <c r="BNF26" s="37"/>
      <c r="BNG26" s="37"/>
      <c r="BNH26" s="37"/>
      <c r="BNI26" s="37"/>
      <c r="BNJ26" s="37"/>
      <c r="BNK26" s="75"/>
      <c r="BNL26" s="37"/>
      <c r="BNM26" s="37"/>
      <c r="BNN26" s="37"/>
      <c r="BNO26" s="37"/>
      <c r="BNP26" s="37"/>
      <c r="BNQ26" s="138"/>
      <c r="BNR26" s="37"/>
      <c r="BNS26" s="37"/>
      <c r="BNT26" s="37"/>
      <c r="BNU26" s="37"/>
      <c r="BNV26" s="37"/>
      <c r="BNW26" s="75"/>
      <c r="BNX26" s="37"/>
      <c r="BNY26" s="37"/>
      <c r="BNZ26" s="37"/>
      <c r="BOA26" s="37"/>
      <c r="BOB26" s="37"/>
      <c r="BOC26" s="38"/>
      <c r="BOD26" s="36"/>
      <c r="BOE26" s="65"/>
      <c r="BOF26" s="65"/>
      <c r="BOG26" s="65"/>
      <c r="BOH26" s="37"/>
      <c r="BOI26" s="133"/>
      <c r="BOJ26" s="37"/>
      <c r="BOK26" s="37"/>
      <c r="BOL26" s="37"/>
      <c r="BOM26" s="37"/>
      <c r="BON26" s="37"/>
      <c r="BOO26" s="138"/>
      <c r="BOP26" s="37"/>
      <c r="BOQ26" s="37"/>
      <c r="BOR26" s="37"/>
      <c r="BOS26" s="37"/>
      <c r="BOT26" s="37"/>
      <c r="BOU26" s="75"/>
      <c r="BOV26" s="37"/>
      <c r="BOW26" s="37"/>
      <c r="BOX26" s="37"/>
      <c r="BOY26" s="37"/>
      <c r="BOZ26" s="37"/>
      <c r="BPA26" s="138"/>
      <c r="BPB26" s="37"/>
      <c r="BPC26" s="37"/>
      <c r="BPD26" s="37"/>
      <c r="BPE26" s="37"/>
      <c r="BPF26" s="37"/>
      <c r="BPG26" s="75"/>
      <c r="BPH26" s="65"/>
      <c r="BPI26" s="65"/>
      <c r="BPJ26" s="65"/>
      <c r="BPK26" s="65"/>
      <c r="BPL26" s="37"/>
      <c r="BPM26" s="138"/>
      <c r="BPN26" s="37"/>
      <c r="BPO26" s="37"/>
      <c r="BPP26" s="37"/>
      <c r="BPQ26" s="37"/>
      <c r="BPR26" s="37"/>
      <c r="BPS26" s="75"/>
      <c r="BPT26" s="37"/>
      <c r="BPU26" s="37"/>
      <c r="BPV26" s="37"/>
      <c r="BPW26" s="37"/>
      <c r="BPX26" s="37"/>
      <c r="BPY26" s="138"/>
      <c r="BPZ26" s="37"/>
      <c r="BQA26" s="37"/>
      <c r="BQB26" s="37"/>
      <c r="BQC26" s="37"/>
      <c r="BQD26" s="37"/>
      <c r="BQE26" s="75"/>
      <c r="BQF26" s="37"/>
      <c r="BQG26" s="37"/>
      <c r="BQH26" s="37"/>
      <c r="BQI26" s="37"/>
      <c r="BQJ26" s="37"/>
      <c r="BQK26" s="38"/>
      <c r="BQL26" s="36"/>
      <c r="BQM26" s="65"/>
      <c r="BQN26" s="65"/>
      <c r="BQO26" s="65"/>
      <c r="BQP26" s="37"/>
      <c r="BQQ26" s="133"/>
      <c r="BQR26" s="37"/>
      <c r="BQS26" s="37"/>
      <c r="BQT26" s="37"/>
      <c r="BQU26" s="37"/>
      <c r="BQV26" s="37"/>
      <c r="BQW26" s="138"/>
      <c r="BQX26" s="37"/>
      <c r="BQY26" s="37"/>
      <c r="BQZ26" s="37"/>
      <c r="BRA26" s="37"/>
      <c r="BRB26" s="37"/>
      <c r="BRC26" s="75"/>
      <c r="BRD26" s="37"/>
      <c r="BRE26" s="37"/>
      <c r="BRF26" s="37"/>
      <c r="BRG26" s="37"/>
      <c r="BRH26" s="37"/>
      <c r="BRI26" s="138"/>
      <c r="BRJ26" s="37"/>
      <c r="BRK26" s="37"/>
      <c r="BRL26" s="37"/>
      <c r="BRM26" s="37"/>
      <c r="BRN26" s="37"/>
      <c r="BRO26" s="75"/>
      <c r="BRP26" s="65"/>
      <c r="BRQ26" s="65"/>
      <c r="BRR26" s="65"/>
      <c r="BRS26" s="65"/>
      <c r="BRT26" s="37"/>
      <c r="BRU26" s="138"/>
      <c r="BRV26" s="37"/>
      <c r="BRW26" s="37"/>
      <c r="BRX26" s="37"/>
      <c r="BRY26" s="37"/>
      <c r="BRZ26" s="37"/>
      <c r="BSA26" s="75"/>
      <c r="BSB26" s="37"/>
      <c r="BSC26" s="37"/>
      <c r="BSD26" s="37"/>
      <c r="BSE26" s="37"/>
      <c r="BSF26" s="37"/>
      <c r="BSG26" s="138"/>
      <c r="BSH26" s="37"/>
      <c r="BSI26" s="37"/>
      <c r="BSJ26" s="37"/>
      <c r="BSK26" s="37"/>
      <c r="BSL26" s="37"/>
      <c r="BSM26" s="75"/>
      <c r="BSN26" s="37"/>
      <c r="BSO26" s="37"/>
      <c r="BSP26" s="37"/>
      <c r="BSQ26" s="37"/>
      <c r="BSR26" s="37"/>
      <c r="BSS26" s="38"/>
      <c r="BST26" s="36"/>
      <c r="BSU26" s="65"/>
      <c r="BSV26" s="65"/>
      <c r="BSW26" s="65"/>
      <c r="BSX26" s="37"/>
      <c r="BSY26" s="133"/>
      <c r="BSZ26" s="37"/>
      <c r="BTA26" s="37"/>
      <c r="BTB26" s="37"/>
      <c r="BTC26" s="37"/>
      <c r="BTD26" s="37"/>
      <c r="BTE26" s="138"/>
      <c r="BTF26" s="37"/>
      <c r="BTG26" s="37"/>
      <c r="BTH26" s="37"/>
      <c r="BTI26" s="37"/>
      <c r="BTJ26" s="37"/>
      <c r="BTK26" s="75"/>
      <c r="BTL26" s="37"/>
      <c r="BTM26" s="37"/>
      <c r="BTN26" s="37"/>
      <c r="BTO26" s="37"/>
      <c r="BTP26" s="37"/>
      <c r="BTQ26" s="138"/>
      <c r="BTR26" s="37"/>
      <c r="BTS26" s="37"/>
      <c r="BTT26" s="37"/>
      <c r="BTU26" s="37"/>
      <c r="BTV26" s="37"/>
      <c r="BTW26" s="75"/>
      <c r="BTX26" s="65"/>
      <c r="BTY26" s="65"/>
      <c r="BTZ26" s="65"/>
      <c r="BUA26" s="65"/>
      <c r="BUB26" s="37"/>
      <c r="BUC26" s="138"/>
      <c r="BUD26" s="37"/>
      <c r="BUE26" s="37"/>
      <c r="BUF26" s="37"/>
      <c r="BUG26" s="37"/>
      <c r="BUH26" s="37"/>
      <c r="BUI26" s="75"/>
      <c r="BUJ26" s="37"/>
      <c r="BUK26" s="37"/>
      <c r="BUL26" s="37"/>
      <c r="BUM26" s="37"/>
      <c r="BUN26" s="37"/>
      <c r="BUO26" s="138"/>
      <c r="BUP26" s="37"/>
      <c r="BUQ26" s="37"/>
      <c r="BUR26" s="37"/>
      <c r="BUS26" s="37"/>
      <c r="BUT26" s="37"/>
      <c r="BUU26" s="75"/>
      <c r="BUV26" s="37"/>
      <c r="BUW26" s="37"/>
      <c r="BUX26" s="37"/>
      <c r="BUY26" s="37"/>
      <c r="BUZ26" s="37"/>
      <c r="BVA26" s="38"/>
      <c r="BVB26" s="36"/>
      <c r="BVC26" s="65"/>
      <c r="BVD26" s="65"/>
      <c r="BVE26" s="65"/>
      <c r="BVF26" s="37"/>
      <c r="BVG26" s="133"/>
      <c r="BVH26" s="37"/>
      <c r="BVI26" s="37"/>
      <c r="BVJ26" s="37"/>
      <c r="BVK26" s="37"/>
      <c r="BVL26" s="37"/>
      <c r="BVM26" s="138"/>
      <c r="BVN26" s="37"/>
      <c r="BVO26" s="37"/>
      <c r="BVP26" s="37"/>
      <c r="BVQ26" s="37"/>
      <c r="BVR26" s="37"/>
      <c r="BVS26" s="75"/>
      <c r="BVT26" s="37"/>
      <c r="BVU26" s="37"/>
      <c r="BVV26" s="37"/>
      <c r="BVW26" s="37"/>
      <c r="BVX26" s="37"/>
      <c r="BVY26" s="138"/>
      <c r="BVZ26" s="37"/>
      <c r="BWA26" s="37"/>
      <c r="BWB26" s="37"/>
      <c r="BWC26" s="37"/>
      <c r="BWD26" s="37"/>
      <c r="BWE26" s="75"/>
      <c r="BWF26" s="65"/>
      <c r="BWG26" s="65"/>
      <c r="BWH26" s="65"/>
      <c r="BWI26" s="65"/>
      <c r="BWJ26" s="37"/>
      <c r="BWK26" s="138"/>
      <c r="BWL26" s="37"/>
      <c r="BWM26" s="37"/>
      <c r="BWN26" s="37"/>
      <c r="BWO26" s="37"/>
      <c r="BWP26" s="37"/>
      <c r="BWQ26" s="75"/>
      <c r="BWR26" s="37"/>
      <c r="BWS26" s="37"/>
      <c r="BWT26" s="37"/>
      <c r="BWU26" s="37"/>
      <c r="BWV26" s="37"/>
      <c r="BWW26" s="138"/>
      <c r="BWX26" s="37"/>
      <c r="BWY26" s="37"/>
      <c r="BWZ26" s="37"/>
      <c r="BXA26" s="37"/>
      <c r="BXB26" s="37"/>
      <c r="BXC26" s="75"/>
      <c r="BXD26" s="37"/>
      <c r="BXE26" s="37"/>
      <c r="BXF26" s="37"/>
      <c r="BXG26" s="37"/>
      <c r="BXH26" s="37"/>
      <c r="BXI26" s="38"/>
      <c r="BXJ26" s="36"/>
      <c r="BXK26" s="65"/>
      <c r="BXL26" s="65"/>
      <c r="BXM26" s="65"/>
      <c r="BXN26" s="37"/>
      <c r="BXO26" s="133"/>
      <c r="BXP26" s="37"/>
      <c r="BXQ26" s="37"/>
      <c r="BXR26" s="37"/>
      <c r="BXS26" s="37"/>
      <c r="BXT26" s="37"/>
      <c r="BXU26" s="138"/>
      <c r="BXV26" s="37"/>
      <c r="BXW26" s="37"/>
      <c r="BXX26" s="37"/>
      <c r="BXY26" s="37"/>
      <c r="BXZ26" s="37"/>
      <c r="BYA26" s="75"/>
      <c r="BYB26" s="37"/>
      <c r="BYC26" s="37"/>
      <c r="BYD26" s="37"/>
      <c r="BYE26" s="37"/>
      <c r="BYF26" s="37"/>
      <c r="BYG26" s="138"/>
      <c r="BYH26" s="37"/>
      <c r="BYI26" s="37"/>
      <c r="BYJ26" s="37"/>
      <c r="BYK26" s="37"/>
      <c r="BYL26" s="37"/>
      <c r="BYM26" s="75"/>
      <c r="BYN26" s="65"/>
      <c r="BYO26" s="65"/>
      <c r="BYP26" s="65"/>
      <c r="BYQ26" s="65"/>
      <c r="BYR26" s="37"/>
      <c r="BYS26" s="138"/>
      <c r="BYT26" s="37"/>
      <c r="BYU26" s="37"/>
      <c r="BYV26" s="37"/>
      <c r="BYW26" s="37"/>
      <c r="BYX26" s="37"/>
      <c r="BYY26" s="75"/>
      <c r="BYZ26" s="37"/>
      <c r="BZA26" s="37"/>
      <c r="BZB26" s="37"/>
      <c r="BZC26" s="37"/>
      <c r="BZD26" s="37"/>
      <c r="BZE26" s="138"/>
      <c r="BZF26" s="37"/>
      <c r="BZG26" s="37"/>
      <c r="BZH26" s="37"/>
      <c r="BZI26" s="37"/>
      <c r="BZJ26" s="37"/>
      <c r="BZK26" s="75"/>
      <c r="BZL26" s="37"/>
      <c r="BZM26" s="37"/>
      <c r="BZN26" s="37"/>
      <c r="BZO26" s="37"/>
      <c r="BZP26" s="37"/>
      <c r="BZQ26" s="38"/>
      <c r="BZR26" s="36"/>
      <c r="BZS26" s="65"/>
      <c r="BZT26" s="65"/>
      <c r="BZU26" s="65"/>
      <c r="BZV26" s="37"/>
      <c r="BZW26" s="133"/>
      <c r="BZX26" s="37"/>
      <c r="BZY26" s="37"/>
      <c r="BZZ26" s="37"/>
      <c r="CAA26" s="37"/>
      <c r="CAB26" s="37"/>
      <c r="CAC26" s="138"/>
      <c r="CAD26" s="37"/>
      <c r="CAE26" s="37"/>
      <c r="CAF26" s="37"/>
      <c r="CAG26" s="37"/>
      <c r="CAH26" s="37"/>
      <c r="CAI26" s="75"/>
      <c r="CAJ26" s="37"/>
      <c r="CAK26" s="37"/>
      <c r="CAL26" s="37"/>
      <c r="CAM26" s="37"/>
      <c r="CAN26" s="37"/>
      <c r="CAO26" s="138"/>
      <c r="CAP26" s="37"/>
      <c r="CAQ26" s="37"/>
      <c r="CAR26" s="37"/>
      <c r="CAS26" s="37"/>
      <c r="CAT26" s="37"/>
      <c r="CAU26" s="75"/>
      <c r="CAV26" s="65"/>
      <c r="CAW26" s="65"/>
      <c r="CAX26" s="65"/>
      <c r="CAY26" s="65"/>
      <c r="CAZ26" s="37"/>
      <c r="CBA26" s="138"/>
      <c r="CBB26" s="37"/>
      <c r="CBC26" s="37"/>
      <c r="CBD26" s="37"/>
      <c r="CBE26" s="37"/>
      <c r="CBF26" s="37"/>
      <c r="CBG26" s="75"/>
      <c r="CBH26" s="37"/>
      <c r="CBI26" s="37"/>
      <c r="CBJ26" s="37"/>
      <c r="CBK26" s="37"/>
      <c r="CBL26" s="37"/>
      <c r="CBM26" s="138"/>
      <c r="CBN26" s="37"/>
      <c r="CBO26" s="37"/>
      <c r="CBP26" s="37"/>
      <c r="CBQ26" s="37"/>
      <c r="CBR26" s="37"/>
      <c r="CBS26" s="75"/>
      <c r="CBT26" s="37"/>
      <c r="CBU26" s="37"/>
      <c r="CBV26" s="37"/>
      <c r="CBW26" s="37"/>
      <c r="CBX26" s="37"/>
      <c r="CBY26" s="38"/>
      <c r="CBZ26" s="90"/>
    </row>
    <row r="27" spans="1:2106" ht="20.100000000000001" customHeight="1" x14ac:dyDescent="0.25">
      <c r="A27" s="100" t="s">
        <v>22</v>
      </c>
      <c r="B27" s="63" t="str">
        <f>IF(LEN(C39)=0,"",C39)</f>
        <v/>
      </c>
      <c r="C27" s="170"/>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40"/>
      <c r="BLW27" s="66"/>
      <c r="BLX27" s="66"/>
      <c r="BLY27" s="66"/>
      <c r="BLZ27" s="41"/>
      <c r="BMA27" s="134"/>
      <c r="BMB27" s="41"/>
      <c r="BMC27" s="41"/>
      <c r="BMD27" s="41"/>
      <c r="BME27" s="41"/>
      <c r="BMF27" s="41"/>
      <c r="BMG27" s="139"/>
      <c r="BMH27" s="41"/>
      <c r="BMI27" s="41"/>
      <c r="BMJ27" s="41"/>
      <c r="BMK27" s="41"/>
      <c r="BML27" s="41"/>
      <c r="BMM27" s="76"/>
      <c r="BMN27" s="41"/>
      <c r="BMO27" s="41"/>
      <c r="BMP27" s="41"/>
      <c r="BMQ27" s="41"/>
      <c r="BMR27" s="41"/>
      <c r="BMS27" s="139"/>
      <c r="BMT27" s="41"/>
      <c r="BMU27" s="41"/>
      <c r="BMV27" s="41"/>
      <c r="BMW27" s="41"/>
      <c r="BMX27" s="41"/>
      <c r="BMY27" s="76"/>
      <c r="BMZ27" s="66"/>
      <c r="BNA27" s="66"/>
      <c r="BNB27" s="66"/>
      <c r="BNC27" s="66"/>
      <c r="BND27" s="41"/>
      <c r="BNE27" s="139"/>
      <c r="BNF27" s="41"/>
      <c r="BNG27" s="41"/>
      <c r="BNH27" s="41"/>
      <c r="BNI27" s="41"/>
      <c r="BNJ27" s="41"/>
      <c r="BNK27" s="76"/>
      <c r="BNL27" s="41"/>
      <c r="BNM27" s="41"/>
      <c r="BNN27" s="41"/>
      <c r="BNO27" s="41"/>
      <c r="BNP27" s="41"/>
      <c r="BNQ27" s="139"/>
      <c r="BNR27" s="41"/>
      <c r="BNS27" s="41"/>
      <c r="BNT27" s="41"/>
      <c r="BNU27" s="41"/>
      <c r="BNV27" s="41"/>
      <c r="BNW27" s="76"/>
      <c r="BNX27" s="41"/>
      <c r="BNY27" s="41"/>
      <c r="BNZ27" s="41"/>
      <c r="BOA27" s="41"/>
      <c r="BOB27" s="41"/>
      <c r="BOC27" s="42"/>
      <c r="BOD27" s="40"/>
      <c r="BOE27" s="66"/>
      <c r="BOF27" s="66"/>
      <c r="BOG27" s="66"/>
      <c r="BOH27" s="41"/>
      <c r="BOI27" s="134"/>
      <c r="BOJ27" s="41"/>
      <c r="BOK27" s="41"/>
      <c r="BOL27" s="41"/>
      <c r="BOM27" s="41"/>
      <c r="BON27" s="41"/>
      <c r="BOO27" s="139"/>
      <c r="BOP27" s="41"/>
      <c r="BOQ27" s="41"/>
      <c r="BOR27" s="41"/>
      <c r="BOS27" s="41"/>
      <c r="BOT27" s="41"/>
      <c r="BOU27" s="76"/>
      <c r="BOV27" s="41"/>
      <c r="BOW27" s="41"/>
      <c r="BOX27" s="41"/>
      <c r="BOY27" s="41"/>
      <c r="BOZ27" s="41"/>
      <c r="BPA27" s="139"/>
      <c r="BPB27" s="41"/>
      <c r="BPC27" s="41"/>
      <c r="BPD27" s="41"/>
      <c r="BPE27" s="41"/>
      <c r="BPF27" s="41"/>
      <c r="BPG27" s="76"/>
      <c r="BPH27" s="66"/>
      <c r="BPI27" s="66"/>
      <c r="BPJ27" s="66"/>
      <c r="BPK27" s="66"/>
      <c r="BPL27" s="41"/>
      <c r="BPM27" s="139"/>
      <c r="BPN27" s="41"/>
      <c r="BPO27" s="41"/>
      <c r="BPP27" s="41"/>
      <c r="BPQ27" s="41"/>
      <c r="BPR27" s="41"/>
      <c r="BPS27" s="76"/>
      <c r="BPT27" s="41"/>
      <c r="BPU27" s="41"/>
      <c r="BPV27" s="41"/>
      <c r="BPW27" s="41"/>
      <c r="BPX27" s="41"/>
      <c r="BPY27" s="139"/>
      <c r="BPZ27" s="41"/>
      <c r="BQA27" s="41"/>
      <c r="BQB27" s="41"/>
      <c r="BQC27" s="41"/>
      <c r="BQD27" s="41"/>
      <c r="BQE27" s="76"/>
      <c r="BQF27" s="41"/>
      <c r="BQG27" s="41"/>
      <c r="BQH27" s="41"/>
      <c r="BQI27" s="41"/>
      <c r="BQJ27" s="41"/>
      <c r="BQK27" s="42"/>
      <c r="BQL27" s="40"/>
      <c r="BQM27" s="66"/>
      <c r="BQN27" s="66"/>
      <c r="BQO27" s="66"/>
      <c r="BQP27" s="41"/>
      <c r="BQQ27" s="134"/>
      <c r="BQR27" s="41"/>
      <c r="BQS27" s="41"/>
      <c r="BQT27" s="41"/>
      <c r="BQU27" s="41"/>
      <c r="BQV27" s="41"/>
      <c r="BQW27" s="139"/>
      <c r="BQX27" s="41"/>
      <c r="BQY27" s="41"/>
      <c r="BQZ27" s="41"/>
      <c r="BRA27" s="41"/>
      <c r="BRB27" s="41"/>
      <c r="BRC27" s="76"/>
      <c r="BRD27" s="41"/>
      <c r="BRE27" s="41"/>
      <c r="BRF27" s="41"/>
      <c r="BRG27" s="41"/>
      <c r="BRH27" s="41"/>
      <c r="BRI27" s="139"/>
      <c r="BRJ27" s="41"/>
      <c r="BRK27" s="41"/>
      <c r="BRL27" s="41"/>
      <c r="BRM27" s="41"/>
      <c r="BRN27" s="41"/>
      <c r="BRO27" s="76"/>
      <c r="BRP27" s="66"/>
      <c r="BRQ27" s="66"/>
      <c r="BRR27" s="66"/>
      <c r="BRS27" s="66"/>
      <c r="BRT27" s="41"/>
      <c r="BRU27" s="139"/>
      <c r="BRV27" s="41"/>
      <c r="BRW27" s="41"/>
      <c r="BRX27" s="41"/>
      <c r="BRY27" s="41"/>
      <c r="BRZ27" s="41"/>
      <c r="BSA27" s="76"/>
      <c r="BSB27" s="41"/>
      <c r="BSC27" s="41"/>
      <c r="BSD27" s="41"/>
      <c r="BSE27" s="41"/>
      <c r="BSF27" s="41"/>
      <c r="BSG27" s="139"/>
      <c r="BSH27" s="41"/>
      <c r="BSI27" s="41"/>
      <c r="BSJ27" s="41"/>
      <c r="BSK27" s="41"/>
      <c r="BSL27" s="41"/>
      <c r="BSM27" s="76"/>
      <c r="BSN27" s="41"/>
      <c r="BSO27" s="41"/>
      <c r="BSP27" s="41"/>
      <c r="BSQ27" s="41"/>
      <c r="BSR27" s="41"/>
      <c r="BSS27" s="42"/>
      <c r="BST27" s="40"/>
      <c r="BSU27" s="66"/>
      <c r="BSV27" s="66"/>
      <c r="BSW27" s="66"/>
      <c r="BSX27" s="41"/>
      <c r="BSY27" s="134"/>
      <c r="BSZ27" s="41"/>
      <c r="BTA27" s="41"/>
      <c r="BTB27" s="41"/>
      <c r="BTC27" s="41"/>
      <c r="BTD27" s="41"/>
      <c r="BTE27" s="139"/>
      <c r="BTF27" s="41"/>
      <c r="BTG27" s="41"/>
      <c r="BTH27" s="41"/>
      <c r="BTI27" s="41"/>
      <c r="BTJ27" s="41"/>
      <c r="BTK27" s="76"/>
      <c r="BTL27" s="41"/>
      <c r="BTM27" s="41"/>
      <c r="BTN27" s="41"/>
      <c r="BTO27" s="41"/>
      <c r="BTP27" s="41"/>
      <c r="BTQ27" s="139"/>
      <c r="BTR27" s="41"/>
      <c r="BTS27" s="41"/>
      <c r="BTT27" s="41"/>
      <c r="BTU27" s="41"/>
      <c r="BTV27" s="41"/>
      <c r="BTW27" s="76"/>
      <c r="BTX27" s="66"/>
      <c r="BTY27" s="66"/>
      <c r="BTZ27" s="66"/>
      <c r="BUA27" s="66"/>
      <c r="BUB27" s="41"/>
      <c r="BUC27" s="139"/>
      <c r="BUD27" s="41"/>
      <c r="BUE27" s="41"/>
      <c r="BUF27" s="41"/>
      <c r="BUG27" s="41"/>
      <c r="BUH27" s="41"/>
      <c r="BUI27" s="76"/>
      <c r="BUJ27" s="41"/>
      <c r="BUK27" s="41"/>
      <c r="BUL27" s="41"/>
      <c r="BUM27" s="41"/>
      <c r="BUN27" s="41"/>
      <c r="BUO27" s="139"/>
      <c r="BUP27" s="41"/>
      <c r="BUQ27" s="41"/>
      <c r="BUR27" s="41"/>
      <c r="BUS27" s="41"/>
      <c r="BUT27" s="41"/>
      <c r="BUU27" s="76"/>
      <c r="BUV27" s="41"/>
      <c r="BUW27" s="41"/>
      <c r="BUX27" s="41"/>
      <c r="BUY27" s="41"/>
      <c r="BUZ27" s="41"/>
      <c r="BVA27" s="42"/>
      <c r="BVB27" s="40"/>
      <c r="BVC27" s="66"/>
      <c r="BVD27" s="66"/>
      <c r="BVE27" s="66"/>
      <c r="BVF27" s="41"/>
      <c r="BVG27" s="134"/>
      <c r="BVH27" s="41"/>
      <c r="BVI27" s="41"/>
      <c r="BVJ27" s="41"/>
      <c r="BVK27" s="41"/>
      <c r="BVL27" s="41"/>
      <c r="BVM27" s="139"/>
      <c r="BVN27" s="41"/>
      <c r="BVO27" s="41"/>
      <c r="BVP27" s="41"/>
      <c r="BVQ27" s="41"/>
      <c r="BVR27" s="41"/>
      <c r="BVS27" s="76"/>
      <c r="BVT27" s="41"/>
      <c r="BVU27" s="41"/>
      <c r="BVV27" s="41"/>
      <c r="BVW27" s="41"/>
      <c r="BVX27" s="41"/>
      <c r="BVY27" s="139"/>
      <c r="BVZ27" s="41"/>
      <c r="BWA27" s="41"/>
      <c r="BWB27" s="41"/>
      <c r="BWC27" s="41"/>
      <c r="BWD27" s="41"/>
      <c r="BWE27" s="76"/>
      <c r="BWF27" s="66"/>
      <c r="BWG27" s="66"/>
      <c r="BWH27" s="66"/>
      <c r="BWI27" s="66"/>
      <c r="BWJ27" s="41"/>
      <c r="BWK27" s="139"/>
      <c r="BWL27" s="41"/>
      <c r="BWM27" s="41"/>
      <c r="BWN27" s="41"/>
      <c r="BWO27" s="41"/>
      <c r="BWP27" s="41"/>
      <c r="BWQ27" s="76"/>
      <c r="BWR27" s="41"/>
      <c r="BWS27" s="41"/>
      <c r="BWT27" s="41"/>
      <c r="BWU27" s="41"/>
      <c r="BWV27" s="41"/>
      <c r="BWW27" s="139"/>
      <c r="BWX27" s="41"/>
      <c r="BWY27" s="41"/>
      <c r="BWZ27" s="41"/>
      <c r="BXA27" s="41"/>
      <c r="BXB27" s="41"/>
      <c r="BXC27" s="76"/>
      <c r="BXD27" s="41"/>
      <c r="BXE27" s="41"/>
      <c r="BXF27" s="41"/>
      <c r="BXG27" s="41"/>
      <c r="BXH27" s="41"/>
      <c r="BXI27" s="42"/>
      <c r="BXJ27" s="40"/>
      <c r="BXK27" s="66"/>
      <c r="BXL27" s="66"/>
      <c r="BXM27" s="66"/>
      <c r="BXN27" s="41"/>
      <c r="BXO27" s="134"/>
      <c r="BXP27" s="41"/>
      <c r="BXQ27" s="41"/>
      <c r="BXR27" s="41"/>
      <c r="BXS27" s="41"/>
      <c r="BXT27" s="41"/>
      <c r="BXU27" s="139"/>
      <c r="BXV27" s="41"/>
      <c r="BXW27" s="41"/>
      <c r="BXX27" s="41"/>
      <c r="BXY27" s="41"/>
      <c r="BXZ27" s="41"/>
      <c r="BYA27" s="76"/>
      <c r="BYB27" s="41"/>
      <c r="BYC27" s="41"/>
      <c r="BYD27" s="41"/>
      <c r="BYE27" s="41"/>
      <c r="BYF27" s="41"/>
      <c r="BYG27" s="139"/>
      <c r="BYH27" s="41"/>
      <c r="BYI27" s="41"/>
      <c r="BYJ27" s="41"/>
      <c r="BYK27" s="41"/>
      <c r="BYL27" s="41"/>
      <c r="BYM27" s="76"/>
      <c r="BYN27" s="66"/>
      <c r="BYO27" s="66"/>
      <c r="BYP27" s="66"/>
      <c r="BYQ27" s="66"/>
      <c r="BYR27" s="41"/>
      <c r="BYS27" s="139"/>
      <c r="BYT27" s="41"/>
      <c r="BYU27" s="41"/>
      <c r="BYV27" s="41"/>
      <c r="BYW27" s="41"/>
      <c r="BYX27" s="41"/>
      <c r="BYY27" s="76"/>
      <c r="BYZ27" s="41"/>
      <c r="BZA27" s="41"/>
      <c r="BZB27" s="41"/>
      <c r="BZC27" s="41"/>
      <c r="BZD27" s="41"/>
      <c r="BZE27" s="139"/>
      <c r="BZF27" s="41"/>
      <c r="BZG27" s="41"/>
      <c r="BZH27" s="41"/>
      <c r="BZI27" s="41"/>
      <c r="BZJ27" s="41"/>
      <c r="BZK27" s="76"/>
      <c r="BZL27" s="41"/>
      <c r="BZM27" s="41"/>
      <c r="BZN27" s="41"/>
      <c r="BZO27" s="41"/>
      <c r="BZP27" s="41"/>
      <c r="BZQ27" s="42"/>
      <c r="BZR27" s="40"/>
      <c r="BZS27" s="66"/>
      <c r="BZT27" s="66"/>
      <c r="BZU27" s="66"/>
      <c r="BZV27" s="41"/>
      <c r="BZW27" s="134"/>
      <c r="BZX27" s="41"/>
      <c r="BZY27" s="41"/>
      <c r="BZZ27" s="41"/>
      <c r="CAA27" s="41"/>
      <c r="CAB27" s="41"/>
      <c r="CAC27" s="139"/>
      <c r="CAD27" s="41"/>
      <c r="CAE27" s="41"/>
      <c r="CAF27" s="41"/>
      <c r="CAG27" s="41"/>
      <c r="CAH27" s="41"/>
      <c r="CAI27" s="76"/>
      <c r="CAJ27" s="41"/>
      <c r="CAK27" s="41"/>
      <c r="CAL27" s="41"/>
      <c r="CAM27" s="41"/>
      <c r="CAN27" s="41"/>
      <c r="CAO27" s="139"/>
      <c r="CAP27" s="41"/>
      <c r="CAQ27" s="41"/>
      <c r="CAR27" s="41"/>
      <c r="CAS27" s="41"/>
      <c r="CAT27" s="41"/>
      <c r="CAU27" s="76"/>
      <c r="CAV27" s="66"/>
      <c r="CAW27" s="66"/>
      <c r="CAX27" s="66"/>
      <c r="CAY27" s="66"/>
      <c r="CAZ27" s="41"/>
      <c r="CBA27" s="139"/>
      <c r="CBB27" s="41"/>
      <c r="CBC27" s="41"/>
      <c r="CBD27" s="41"/>
      <c r="CBE27" s="41"/>
      <c r="CBF27" s="41"/>
      <c r="CBG27" s="76"/>
      <c r="CBH27" s="41"/>
      <c r="CBI27" s="41"/>
      <c r="CBJ27" s="41"/>
      <c r="CBK27" s="41"/>
      <c r="CBL27" s="41"/>
      <c r="CBM27" s="139"/>
      <c r="CBN27" s="41"/>
      <c r="CBO27" s="41"/>
      <c r="CBP27" s="41"/>
      <c r="CBQ27" s="41"/>
      <c r="CBR27" s="41"/>
      <c r="CBS27" s="76"/>
      <c r="CBT27" s="41"/>
      <c r="CBU27" s="41"/>
      <c r="CBV27" s="41"/>
      <c r="CBW27" s="41"/>
      <c r="CBX27" s="41"/>
      <c r="CBY27" s="42"/>
      <c r="CBZ27" s="90"/>
    </row>
    <row r="28" spans="1:2106" ht="20.100000000000001" customHeight="1" x14ac:dyDescent="0.3">
      <c r="A28" s="100" t="s">
        <v>23</v>
      </c>
      <c r="B28" s="63" t="str">
        <f>IF(LEN(C41)=0,"",C41)</f>
        <v/>
      </c>
      <c r="C28" s="171"/>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28"/>
      <c r="BLW28" s="67"/>
      <c r="BLX28" s="67"/>
      <c r="BLY28" s="67"/>
      <c r="BLZ28" s="29"/>
      <c r="BMA28" s="131"/>
      <c r="BMB28" s="29"/>
      <c r="BMC28" s="29"/>
      <c r="BMD28" s="29"/>
      <c r="BME28" s="29"/>
      <c r="BMF28" s="29"/>
      <c r="BMG28" s="136"/>
      <c r="BMH28" s="29"/>
      <c r="BMI28" s="29"/>
      <c r="BMJ28" s="29"/>
      <c r="BMK28" s="29"/>
      <c r="BML28" s="29"/>
      <c r="BMM28" s="73"/>
      <c r="BMN28" s="29"/>
      <c r="BMO28" s="29"/>
      <c r="BMP28" s="29"/>
      <c r="BMQ28" s="29"/>
      <c r="BMR28" s="29"/>
      <c r="BMS28" s="136"/>
      <c r="BMT28" s="29"/>
      <c r="BMU28" s="29"/>
      <c r="BMV28" s="29"/>
      <c r="BMW28" s="29"/>
      <c r="BMX28" s="29"/>
      <c r="BMY28" s="73"/>
      <c r="BMZ28" s="67"/>
      <c r="BNA28" s="67"/>
      <c r="BNB28" s="67"/>
      <c r="BNC28" s="67"/>
      <c r="BND28" s="29"/>
      <c r="BNE28" s="136"/>
      <c r="BNF28" s="29"/>
      <c r="BNG28" s="29"/>
      <c r="BNH28" s="29"/>
      <c r="BNI28" s="29"/>
      <c r="BNJ28" s="29"/>
      <c r="BNK28" s="73"/>
      <c r="BNL28" s="29"/>
      <c r="BNM28" s="29"/>
      <c r="BNN28" s="29"/>
      <c r="BNO28" s="29"/>
      <c r="BNP28" s="29"/>
      <c r="BNQ28" s="136"/>
      <c r="BNR28" s="29"/>
      <c r="BNS28" s="29"/>
      <c r="BNT28" s="29"/>
      <c r="BNU28" s="29"/>
      <c r="BNV28" s="29"/>
      <c r="BNW28" s="73"/>
      <c r="BNX28" s="29"/>
      <c r="BNY28" s="29"/>
      <c r="BNZ28" s="29"/>
      <c r="BOA28" s="29"/>
      <c r="BOB28" s="29"/>
      <c r="BOC28" s="30"/>
      <c r="BOD28" s="28"/>
      <c r="BOE28" s="67"/>
      <c r="BOF28" s="67"/>
      <c r="BOG28" s="67"/>
      <c r="BOH28" s="29"/>
      <c r="BOI28" s="131"/>
      <c r="BOJ28" s="29"/>
      <c r="BOK28" s="29"/>
      <c r="BOL28" s="29"/>
      <c r="BOM28" s="29"/>
      <c r="BON28" s="29"/>
      <c r="BOO28" s="136"/>
      <c r="BOP28" s="29"/>
      <c r="BOQ28" s="29"/>
      <c r="BOR28" s="29"/>
      <c r="BOS28" s="29"/>
      <c r="BOT28" s="29"/>
      <c r="BOU28" s="73"/>
      <c r="BOV28" s="29"/>
      <c r="BOW28" s="29"/>
      <c r="BOX28" s="29"/>
      <c r="BOY28" s="29"/>
      <c r="BOZ28" s="29"/>
      <c r="BPA28" s="136"/>
      <c r="BPB28" s="29"/>
      <c r="BPC28" s="29"/>
      <c r="BPD28" s="29"/>
      <c r="BPE28" s="29"/>
      <c r="BPF28" s="29"/>
      <c r="BPG28" s="73"/>
      <c r="BPH28" s="67"/>
      <c r="BPI28" s="67"/>
      <c r="BPJ28" s="67"/>
      <c r="BPK28" s="67"/>
      <c r="BPL28" s="29"/>
      <c r="BPM28" s="136"/>
      <c r="BPN28" s="29"/>
      <c r="BPO28" s="29"/>
      <c r="BPP28" s="29"/>
      <c r="BPQ28" s="29"/>
      <c r="BPR28" s="29"/>
      <c r="BPS28" s="73"/>
      <c r="BPT28" s="29"/>
      <c r="BPU28" s="29"/>
      <c r="BPV28" s="29"/>
      <c r="BPW28" s="29"/>
      <c r="BPX28" s="29"/>
      <c r="BPY28" s="136"/>
      <c r="BPZ28" s="29"/>
      <c r="BQA28" s="29"/>
      <c r="BQB28" s="29"/>
      <c r="BQC28" s="29"/>
      <c r="BQD28" s="29"/>
      <c r="BQE28" s="73"/>
      <c r="BQF28" s="29"/>
      <c r="BQG28" s="29"/>
      <c r="BQH28" s="29"/>
      <c r="BQI28" s="29"/>
      <c r="BQJ28" s="29"/>
      <c r="BQK28" s="30"/>
      <c r="BQL28" s="28"/>
      <c r="BQM28" s="67"/>
      <c r="BQN28" s="67"/>
      <c r="BQO28" s="67"/>
      <c r="BQP28" s="29"/>
      <c r="BQQ28" s="131"/>
      <c r="BQR28" s="29"/>
      <c r="BQS28" s="29"/>
      <c r="BQT28" s="29"/>
      <c r="BQU28" s="29"/>
      <c r="BQV28" s="29"/>
      <c r="BQW28" s="136"/>
      <c r="BQX28" s="29"/>
      <c r="BQY28" s="29"/>
      <c r="BQZ28" s="29"/>
      <c r="BRA28" s="29"/>
      <c r="BRB28" s="29"/>
      <c r="BRC28" s="73"/>
      <c r="BRD28" s="29"/>
      <c r="BRE28" s="29"/>
      <c r="BRF28" s="29"/>
      <c r="BRG28" s="29"/>
      <c r="BRH28" s="29"/>
      <c r="BRI28" s="136"/>
      <c r="BRJ28" s="29"/>
      <c r="BRK28" s="29"/>
      <c r="BRL28" s="29"/>
      <c r="BRM28" s="29"/>
      <c r="BRN28" s="29"/>
      <c r="BRO28" s="73"/>
      <c r="BRP28" s="67"/>
      <c r="BRQ28" s="67"/>
      <c r="BRR28" s="67"/>
      <c r="BRS28" s="67"/>
      <c r="BRT28" s="29"/>
      <c r="BRU28" s="136"/>
      <c r="BRV28" s="29"/>
      <c r="BRW28" s="29"/>
      <c r="BRX28" s="29"/>
      <c r="BRY28" s="29"/>
      <c r="BRZ28" s="29"/>
      <c r="BSA28" s="73"/>
      <c r="BSB28" s="29"/>
      <c r="BSC28" s="29"/>
      <c r="BSD28" s="29"/>
      <c r="BSE28" s="29"/>
      <c r="BSF28" s="29"/>
      <c r="BSG28" s="136"/>
      <c r="BSH28" s="29"/>
      <c r="BSI28" s="29"/>
      <c r="BSJ28" s="29"/>
      <c r="BSK28" s="29"/>
      <c r="BSL28" s="29"/>
      <c r="BSM28" s="73"/>
      <c r="BSN28" s="29"/>
      <c r="BSO28" s="29"/>
      <c r="BSP28" s="29"/>
      <c r="BSQ28" s="29"/>
      <c r="BSR28" s="29"/>
      <c r="BSS28" s="30"/>
      <c r="BST28" s="28"/>
      <c r="BSU28" s="67"/>
      <c r="BSV28" s="67"/>
      <c r="BSW28" s="67"/>
      <c r="BSX28" s="29"/>
      <c r="BSY28" s="131"/>
      <c r="BSZ28" s="29"/>
      <c r="BTA28" s="29"/>
      <c r="BTB28" s="29"/>
      <c r="BTC28" s="29"/>
      <c r="BTD28" s="29"/>
      <c r="BTE28" s="136"/>
      <c r="BTF28" s="29"/>
      <c r="BTG28" s="29"/>
      <c r="BTH28" s="29"/>
      <c r="BTI28" s="29"/>
      <c r="BTJ28" s="29"/>
      <c r="BTK28" s="73"/>
      <c r="BTL28" s="29"/>
      <c r="BTM28" s="29"/>
      <c r="BTN28" s="29"/>
      <c r="BTO28" s="29"/>
      <c r="BTP28" s="29"/>
      <c r="BTQ28" s="136"/>
      <c r="BTR28" s="29"/>
      <c r="BTS28" s="29"/>
      <c r="BTT28" s="29"/>
      <c r="BTU28" s="29"/>
      <c r="BTV28" s="29"/>
      <c r="BTW28" s="73"/>
      <c r="BTX28" s="67"/>
      <c r="BTY28" s="67"/>
      <c r="BTZ28" s="67"/>
      <c r="BUA28" s="67"/>
      <c r="BUB28" s="29"/>
      <c r="BUC28" s="136"/>
      <c r="BUD28" s="29"/>
      <c r="BUE28" s="29"/>
      <c r="BUF28" s="29"/>
      <c r="BUG28" s="29"/>
      <c r="BUH28" s="29"/>
      <c r="BUI28" s="73"/>
      <c r="BUJ28" s="29"/>
      <c r="BUK28" s="29"/>
      <c r="BUL28" s="29"/>
      <c r="BUM28" s="29"/>
      <c r="BUN28" s="29"/>
      <c r="BUO28" s="136"/>
      <c r="BUP28" s="29"/>
      <c r="BUQ28" s="29"/>
      <c r="BUR28" s="29"/>
      <c r="BUS28" s="29"/>
      <c r="BUT28" s="29"/>
      <c r="BUU28" s="73"/>
      <c r="BUV28" s="29"/>
      <c r="BUW28" s="29"/>
      <c r="BUX28" s="29"/>
      <c r="BUY28" s="29"/>
      <c r="BUZ28" s="29"/>
      <c r="BVA28" s="30"/>
      <c r="BVB28" s="28"/>
      <c r="BVC28" s="67"/>
      <c r="BVD28" s="67"/>
      <c r="BVE28" s="67"/>
      <c r="BVF28" s="29"/>
      <c r="BVG28" s="131"/>
      <c r="BVH28" s="29"/>
      <c r="BVI28" s="29"/>
      <c r="BVJ28" s="29"/>
      <c r="BVK28" s="29"/>
      <c r="BVL28" s="29"/>
      <c r="BVM28" s="136"/>
      <c r="BVN28" s="29"/>
      <c r="BVO28" s="29"/>
      <c r="BVP28" s="29"/>
      <c r="BVQ28" s="29"/>
      <c r="BVR28" s="29"/>
      <c r="BVS28" s="73"/>
      <c r="BVT28" s="29"/>
      <c r="BVU28" s="29"/>
      <c r="BVV28" s="29"/>
      <c r="BVW28" s="29"/>
      <c r="BVX28" s="29"/>
      <c r="BVY28" s="136"/>
      <c r="BVZ28" s="29"/>
      <c r="BWA28" s="29"/>
      <c r="BWB28" s="29"/>
      <c r="BWC28" s="29"/>
      <c r="BWD28" s="29"/>
      <c r="BWE28" s="73"/>
      <c r="BWF28" s="67"/>
      <c r="BWG28" s="67"/>
      <c r="BWH28" s="67"/>
      <c r="BWI28" s="67"/>
      <c r="BWJ28" s="29"/>
      <c r="BWK28" s="136"/>
      <c r="BWL28" s="29"/>
      <c r="BWM28" s="29"/>
      <c r="BWN28" s="29"/>
      <c r="BWO28" s="29"/>
      <c r="BWP28" s="29"/>
      <c r="BWQ28" s="73"/>
      <c r="BWR28" s="29"/>
      <c r="BWS28" s="29"/>
      <c r="BWT28" s="29"/>
      <c r="BWU28" s="29"/>
      <c r="BWV28" s="29"/>
      <c r="BWW28" s="136"/>
      <c r="BWX28" s="29"/>
      <c r="BWY28" s="29"/>
      <c r="BWZ28" s="29"/>
      <c r="BXA28" s="29"/>
      <c r="BXB28" s="29"/>
      <c r="BXC28" s="73"/>
      <c r="BXD28" s="29"/>
      <c r="BXE28" s="29"/>
      <c r="BXF28" s="29"/>
      <c r="BXG28" s="29"/>
      <c r="BXH28" s="29"/>
      <c r="BXI28" s="30"/>
      <c r="BXJ28" s="28"/>
      <c r="BXK28" s="67"/>
      <c r="BXL28" s="67"/>
      <c r="BXM28" s="67"/>
      <c r="BXN28" s="29"/>
      <c r="BXO28" s="131"/>
      <c r="BXP28" s="29"/>
      <c r="BXQ28" s="29"/>
      <c r="BXR28" s="29"/>
      <c r="BXS28" s="29"/>
      <c r="BXT28" s="29"/>
      <c r="BXU28" s="136"/>
      <c r="BXV28" s="29"/>
      <c r="BXW28" s="29"/>
      <c r="BXX28" s="29"/>
      <c r="BXY28" s="29"/>
      <c r="BXZ28" s="29"/>
      <c r="BYA28" s="73"/>
      <c r="BYB28" s="29"/>
      <c r="BYC28" s="29"/>
      <c r="BYD28" s="29"/>
      <c r="BYE28" s="29"/>
      <c r="BYF28" s="29"/>
      <c r="BYG28" s="136"/>
      <c r="BYH28" s="29"/>
      <c r="BYI28" s="29"/>
      <c r="BYJ28" s="29"/>
      <c r="BYK28" s="29"/>
      <c r="BYL28" s="29"/>
      <c r="BYM28" s="73"/>
      <c r="BYN28" s="67"/>
      <c r="BYO28" s="67"/>
      <c r="BYP28" s="67"/>
      <c r="BYQ28" s="67"/>
      <c r="BYR28" s="29"/>
      <c r="BYS28" s="136"/>
      <c r="BYT28" s="29"/>
      <c r="BYU28" s="29"/>
      <c r="BYV28" s="29"/>
      <c r="BYW28" s="29"/>
      <c r="BYX28" s="29"/>
      <c r="BYY28" s="73"/>
      <c r="BYZ28" s="29"/>
      <c r="BZA28" s="29"/>
      <c r="BZB28" s="29"/>
      <c r="BZC28" s="29"/>
      <c r="BZD28" s="29"/>
      <c r="BZE28" s="136"/>
      <c r="BZF28" s="29"/>
      <c r="BZG28" s="29"/>
      <c r="BZH28" s="29"/>
      <c r="BZI28" s="29"/>
      <c r="BZJ28" s="29"/>
      <c r="BZK28" s="73"/>
      <c r="BZL28" s="29"/>
      <c r="BZM28" s="29"/>
      <c r="BZN28" s="29"/>
      <c r="BZO28" s="29"/>
      <c r="BZP28" s="29"/>
      <c r="BZQ28" s="30"/>
      <c r="BZR28" s="28"/>
      <c r="BZS28" s="67"/>
      <c r="BZT28" s="67"/>
      <c r="BZU28" s="67"/>
      <c r="BZV28" s="29"/>
      <c r="BZW28" s="131"/>
      <c r="BZX28" s="29"/>
      <c r="BZY28" s="29"/>
      <c r="BZZ28" s="29"/>
      <c r="CAA28" s="29"/>
      <c r="CAB28" s="29"/>
      <c r="CAC28" s="136"/>
      <c r="CAD28" s="29"/>
      <c r="CAE28" s="29"/>
      <c r="CAF28" s="29"/>
      <c r="CAG28" s="29"/>
      <c r="CAH28" s="29"/>
      <c r="CAI28" s="73"/>
      <c r="CAJ28" s="29"/>
      <c r="CAK28" s="29"/>
      <c r="CAL28" s="29"/>
      <c r="CAM28" s="29"/>
      <c r="CAN28" s="29"/>
      <c r="CAO28" s="136"/>
      <c r="CAP28" s="29"/>
      <c r="CAQ28" s="29"/>
      <c r="CAR28" s="29"/>
      <c r="CAS28" s="29"/>
      <c r="CAT28" s="29"/>
      <c r="CAU28" s="73"/>
      <c r="CAV28" s="67"/>
      <c r="CAW28" s="67"/>
      <c r="CAX28" s="67"/>
      <c r="CAY28" s="67"/>
      <c r="CAZ28" s="29"/>
      <c r="CBA28" s="136"/>
      <c r="CBB28" s="29"/>
      <c r="CBC28" s="29"/>
      <c r="CBD28" s="29"/>
      <c r="CBE28" s="29"/>
      <c r="CBF28" s="29"/>
      <c r="CBG28" s="73"/>
      <c r="CBH28" s="29"/>
      <c r="CBI28" s="29"/>
      <c r="CBJ28" s="29"/>
      <c r="CBK28" s="29"/>
      <c r="CBL28" s="29"/>
      <c r="CBM28" s="136"/>
      <c r="CBN28" s="29"/>
      <c r="CBO28" s="29"/>
      <c r="CBP28" s="29"/>
      <c r="CBQ28" s="29"/>
      <c r="CBR28" s="29"/>
      <c r="CBS28" s="73"/>
      <c r="CBT28" s="29"/>
      <c r="CBU28" s="29"/>
      <c r="CBV28" s="29"/>
      <c r="CBW28" s="29"/>
      <c r="CBX28" s="29"/>
      <c r="CBY28" s="30"/>
      <c r="CBZ28" s="90"/>
    </row>
    <row r="29" spans="1:2106" ht="20.100000000000001" customHeight="1" x14ac:dyDescent="0.25">
      <c r="A29" s="100" t="s">
        <v>22</v>
      </c>
      <c r="B29" s="63" t="str">
        <f>IF(LEN(C43)=0,"",C43)</f>
        <v/>
      </c>
      <c r="C29" s="170"/>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32"/>
      <c r="BLW29" s="64"/>
      <c r="BLX29" s="64"/>
      <c r="BLY29" s="64"/>
      <c r="BLZ29" s="33"/>
      <c r="BMA29" s="132"/>
      <c r="BMB29" s="33"/>
      <c r="BMC29" s="33"/>
      <c r="BMD29" s="33"/>
      <c r="BME29" s="33"/>
      <c r="BMF29" s="33"/>
      <c r="BMG29" s="137"/>
      <c r="BMH29" s="33"/>
      <c r="BMI29" s="33"/>
      <c r="BMJ29" s="33"/>
      <c r="BMK29" s="33"/>
      <c r="BML29" s="33"/>
      <c r="BMM29" s="74"/>
      <c r="BMN29" s="33"/>
      <c r="BMO29" s="33"/>
      <c r="BMP29" s="33"/>
      <c r="BMQ29" s="33"/>
      <c r="BMR29" s="33"/>
      <c r="BMS29" s="137"/>
      <c r="BMT29" s="33"/>
      <c r="BMU29" s="33"/>
      <c r="BMV29" s="33"/>
      <c r="BMW29" s="33"/>
      <c r="BMX29" s="33"/>
      <c r="BMY29" s="74"/>
      <c r="BMZ29" s="64"/>
      <c r="BNA29" s="64"/>
      <c r="BNB29" s="64"/>
      <c r="BNC29" s="64"/>
      <c r="BND29" s="33"/>
      <c r="BNE29" s="137"/>
      <c r="BNF29" s="33"/>
      <c r="BNG29" s="33"/>
      <c r="BNH29" s="33"/>
      <c r="BNI29" s="33"/>
      <c r="BNJ29" s="33"/>
      <c r="BNK29" s="74"/>
      <c r="BNL29" s="33"/>
      <c r="BNM29" s="33"/>
      <c r="BNN29" s="33"/>
      <c r="BNO29" s="33"/>
      <c r="BNP29" s="33"/>
      <c r="BNQ29" s="137"/>
      <c r="BNR29" s="33"/>
      <c r="BNS29" s="33"/>
      <c r="BNT29" s="33"/>
      <c r="BNU29" s="33"/>
      <c r="BNV29" s="33"/>
      <c r="BNW29" s="74"/>
      <c r="BNX29" s="33"/>
      <c r="BNY29" s="33"/>
      <c r="BNZ29" s="33"/>
      <c r="BOA29" s="33"/>
      <c r="BOB29" s="33"/>
      <c r="BOC29" s="34"/>
      <c r="BOD29" s="32"/>
      <c r="BOE29" s="64"/>
      <c r="BOF29" s="64"/>
      <c r="BOG29" s="64"/>
      <c r="BOH29" s="33"/>
      <c r="BOI29" s="132"/>
      <c r="BOJ29" s="33"/>
      <c r="BOK29" s="33"/>
      <c r="BOL29" s="33"/>
      <c r="BOM29" s="33"/>
      <c r="BON29" s="33"/>
      <c r="BOO29" s="137"/>
      <c r="BOP29" s="33"/>
      <c r="BOQ29" s="33"/>
      <c r="BOR29" s="33"/>
      <c r="BOS29" s="33"/>
      <c r="BOT29" s="33"/>
      <c r="BOU29" s="74"/>
      <c r="BOV29" s="33"/>
      <c r="BOW29" s="33"/>
      <c r="BOX29" s="33"/>
      <c r="BOY29" s="33"/>
      <c r="BOZ29" s="33"/>
      <c r="BPA29" s="137"/>
      <c r="BPB29" s="33"/>
      <c r="BPC29" s="33"/>
      <c r="BPD29" s="33"/>
      <c r="BPE29" s="33"/>
      <c r="BPF29" s="33"/>
      <c r="BPG29" s="74"/>
      <c r="BPH29" s="64"/>
      <c r="BPI29" s="64"/>
      <c r="BPJ29" s="64"/>
      <c r="BPK29" s="64"/>
      <c r="BPL29" s="33"/>
      <c r="BPM29" s="137"/>
      <c r="BPN29" s="33"/>
      <c r="BPO29" s="33"/>
      <c r="BPP29" s="33"/>
      <c r="BPQ29" s="33"/>
      <c r="BPR29" s="33"/>
      <c r="BPS29" s="74"/>
      <c r="BPT29" s="33"/>
      <c r="BPU29" s="33"/>
      <c r="BPV29" s="33"/>
      <c r="BPW29" s="33"/>
      <c r="BPX29" s="33"/>
      <c r="BPY29" s="137"/>
      <c r="BPZ29" s="33"/>
      <c r="BQA29" s="33"/>
      <c r="BQB29" s="33"/>
      <c r="BQC29" s="33"/>
      <c r="BQD29" s="33"/>
      <c r="BQE29" s="74"/>
      <c r="BQF29" s="33"/>
      <c r="BQG29" s="33"/>
      <c r="BQH29" s="33"/>
      <c r="BQI29" s="33"/>
      <c r="BQJ29" s="33"/>
      <c r="BQK29" s="34"/>
      <c r="BQL29" s="32"/>
      <c r="BQM29" s="64"/>
      <c r="BQN29" s="64"/>
      <c r="BQO29" s="64"/>
      <c r="BQP29" s="33"/>
      <c r="BQQ29" s="132"/>
      <c r="BQR29" s="33"/>
      <c r="BQS29" s="33"/>
      <c r="BQT29" s="33"/>
      <c r="BQU29" s="33"/>
      <c r="BQV29" s="33"/>
      <c r="BQW29" s="137"/>
      <c r="BQX29" s="33"/>
      <c r="BQY29" s="33"/>
      <c r="BQZ29" s="33"/>
      <c r="BRA29" s="33"/>
      <c r="BRB29" s="33"/>
      <c r="BRC29" s="74"/>
      <c r="BRD29" s="33"/>
      <c r="BRE29" s="33"/>
      <c r="BRF29" s="33"/>
      <c r="BRG29" s="33"/>
      <c r="BRH29" s="33"/>
      <c r="BRI29" s="137"/>
      <c r="BRJ29" s="33"/>
      <c r="BRK29" s="33"/>
      <c r="BRL29" s="33"/>
      <c r="BRM29" s="33"/>
      <c r="BRN29" s="33"/>
      <c r="BRO29" s="74"/>
      <c r="BRP29" s="64"/>
      <c r="BRQ29" s="64"/>
      <c r="BRR29" s="64"/>
      <c r="BRS29" s="64"/>
      <c r="BRT29" s="33"/>
      <c r="BRU29" s="137"/>
      <c r="BRV29" s="33"/>
      <c r="BRW29" s="33"/>
      <c r="BRX29" s="33"/>
      <c r="BRY29" s="33"/>
      <c r="BRZ29" s="33"/>
      <c r="BSA29" s="74"/>
      <c r="BSB29" s="33"/>
      <c r="BSC29" s="33"/>
      <c r="BSD29" s="33"/>
      <c r="BSE29" s="33"/>
      <c r="BSF29" s="33"/>
      <c r="BSG29" s="137"/>
      <c r="BSH29" s="33"/>
      <c r="BSI29" s="33"/>
      <c r="BSJ29" s="33"/>
      <c r="BSK29" s="33"/>
      <c r="BSL29" s="33"/>
      <c r="BSM29" s="74"/>
      <c r="BSN29" s="33"/>
      <c r="BSO29" s="33"/>
      <c r="BSP29" s="33"/>
      <c r="BSQ29" s="33"/>
      <c r="BSR29" s="33"/>
      <c r="BSS29" s="34"/>
      <c r="BST29" s="32"/>
      <c r="BSU29" s="64"/>
      <c r="BSV29" s="64"/>
      <c r="BSW29" s="64"/>
      <c r="BSX29" s="33"/>
      <c r="BSY29" s="132"/>
      <c r="BSZ29" s="33"/>
      <c r="BTA29" s="33"/>
      <c r="BTB29" s="33"/>
      <c r="BTC29" s="33"/>
      <c r="BTD29" s="33"/>
      <c r="BTE29" s="137"/>
      <c r="BTF29" s="33"/>
      <c r="BTG29" s="33"/>
      <c r="BTH29" s="33"/>
      <c r="BTI29" s="33"/>
      <c r="BTJ29" s="33"/>
      <c r="BTK29" s="74"/>
      <c r="BTL29" s="33"/>
      <c r="BTM29" s="33"/>
      <c r="BTN29" s="33"/>
      <c r="BTO29" s="33"/>
      <c r="BTP29" s="33"/>
      <c r="BTQ29" s="137"/>
      <c r="BTR29" s="33"/>
      <c r="BTS29" s="33"/>
      <c r="BTT29" s="33"/>
      <c r="BTU29" s="33"/>
      <c r="BTV29" s="33"/>
      <c r="BTW29" s="74"/>
      <c r="BTX29" s="64"/>
      <c r="BTY29" s="64"/>
      <c r="BTZ29" s="64"/>
      <c r="BUA29" s="64"/>
      <c r="BUB29" s="33"/>
      <c r="BUC29" s="137"/>
      <c r="BUD29" s="33"/>
      <c r="BUE29" s="33"/>
      <c r="BUF29" s="33"/>
      <c r="BUG29" s="33"/>
      <c r="BUH29" s="33"/>
      <c r="BUI29" s="74"/>
      <c r="BUJ29" s="33"/>
      <c r="BUK29" s="33"/>
      <c r="BUL29" s="33"/>
      <c r="BUM29" s="33"/>
      <c r="BUN29" s="33"/>
      <c r="BUO29" s="137"/>
      <c r="BUP29" s="33"/>
      <c r="BUQ29" s="33"/>
      <c r="BUR29" s="33"/>
      <c r="BUS29" s="33"/>
      <c r="BUT29" s="33"/>
      <c r="BUU29" s="74"/>
      <c r="BUV29" s="33"/>
      <c r="BUW29" s="33"/>
      <c r="BUX29" s="33"/>
      <c r="BUY29" s="33"/>
      <c r="BUZ29" s="33"/>
      <c r="BVA29" s="34"/>
      <c r="BVB29" s="32"/>
      <c r="BVC29" s="64"/>
      <c r="BVD29" s="64"/>
      <c r="BVE29" s="64"/>
      <c r="BVF29" s="33"/>
      <c r="BVG29" s="132"/>
      <c r="BVH29" s="33"/>
      <c r="BVI29" s="33"/>
      <c r="BVJ29" s="33"/>
      <c r="BVK29" s="33"/>
      <c r="BVL29" s="33"/>
      <c r="BVM29" s="137"/>
      <c r="BVN29" s="33"/>
      <c r="BVO29" s="33"/>
      <c r="BVP29" s="33"/>
      <c r="BVQ29" s="33"/>
      <c r="BVR29" s="33"/>
      <c r="BVS29" s="74"/>
      <c r="BVT29" s="33"/>
      <c r="BVU29" s="33"/>
      <c r="BVV29" s="33"/>
      <c r="BVW29" s="33"/>
      <c r="BVX29" s="33"/>
      <c r="BVY29" s="137"/>
      <c r="BVZ29" s="33"/>
      <c r="BWA29" s="33"/>
      <c r="BWB29" s="33"/>
      <c r="BWC29" s="33"/>
      <c r="BWD29" s="33"/>
      <c r="BWE29" s="74"/>
      <c r="BWF29" s="64"/>
      <c r="BWG29" s="64"/>
      <c r="BWH29" s="64"/>
      <c r="BWI29" s="64"/>
      <c r="BWJ29" s="33"/>
      <c r="BWK29" s="137"/>
      <c r="BWL29" s="33"/>
      <c r="BWM29" s="33"/>
      <c r="BWN29" s="33"/>
      <c r="BWO29" s="33"/>
      <c r="BWP29" s="33"/>
      <c r="BWQ29" s="74"/>
      <c r="BWR29" s="33"/>
      <c r="BWS29" s="33"/>
      <c r="BWT29" s="33"/>
      <c r="BWU29" s="33"/>
      <c r="BWV29" s="33"/>
      <c r="BWW29" s="137"/>
      <c r="BWX29" s="33"/>
      <c r="BWY29" s="33"/>
      <c r="BWZ29" s="33"/>
      <c r="BXA29" s="33"/>
      <c r="BXB29" s="33"/>
      <c r="BXC29" s="74"/>
      <c r="BXD29" s="33"/>
      <c r="BXE29" s="33"/>
      <c r="BXF29" s="33"/>
      <c r="BXG29" s="33"/>
      <c r="BXH29" s="33"/>
      <c r="BXI29" s="34"/>
      <c r="BXJ29" s="32"/>
      <c r="BXK29" s="64"/>
      <c r="BXL29" s="64"/>
      <c r="BXM29" s="64"/>
      <c r="BXN29" s="33"/>
      <c r="BXO29" s="132"/>
      <c r="BXP29" s="33"/>
      <c r="BXQ29" s="33"/>
      <c r="BXR29" s="33"/>
      <c r="BXS29" s="33"/>
      <c r="BXT29" s="33"/>
      <c r="BXU29" s="137"/>
      <c r="BXV29" s="33"/>
      <c r="BXW29" s="33"/>
      <c r="BXX29" s="33"/>
      <c r="BXY29" s="33"/>
      <c r="BXZ29" s="33"/>
      <c r="BYA29" s="74"/>
      <c r="BYB29" s="33"/>
      <c r="BYC29" s="33"/>
      <c r="BYD29" s="33"/>
      <c r="BYE29" s="33"/>
      <c r="BYF29" s="33"/>
      <c r="BYG29" s="137"/>
      <c r="BYH29" s="33"/>
      <c r="BYI29" s="33"/>
      <c r="BYJ29" s="33"/>
      <c r="BYK29" s="33"/>
      <c r="BYL29" s="33"/>
      <c r="BYM29" s="74"/>
      <c r="BYN29" s="64"/>
      <c r="BYO29" s="64"/>
      <c r="BYP29" s="64"/>
      <c r="BYQ29" s="64"/>
      <c r="BYR29" s="33"/>
      <c r="BYS29" s="137"/>
      <c r="BYT29" s="33"/>
      <c r="BYU29" s="33"/>
      <c r="BYV29" s="33"/>
      <c r="BYW29" s="33"/>
      <c r="BYX29" s="33"/>
      <c r="BYY29" s="74"/>
      <c r="BYZ29" s="33"/>
      <c r="BZA29" s="33"/>
      <c r="BZB29" s="33"/>
      <c r="BZC29" s="33"/>
      <c r="BZD29" s="33"/>
      <c r="BZE29" s="137"/>
      <c r="BZF29" s="33"/>
      <c r="BZG29" s="33"/>
      <c r="BZH29" s="33"/>
      <c r="BZI29" s="33"/>
      <c r="BZJ29" s="33"/>
      <c r="BZK29" s="74"/>
      <c r="BZL29" s="33"/>
      <c r="BZM29" s="33"/>
      <c r="BZN29" s="33"/>
      <c r="BZO29" s="33"/>
      <c r="BZP29" s="33"/>
      <c r="BZQ29" s="34"/>
      <c r="BZR29" s="32"/>
      <c r="BZS29" s="64"/>
      <c r="BZT29" s="64"/>
      <c r="BZU29" s="64"/>
      <c r="BZV29" s="33"/>
      <c r="BZW29" s="132"/>
      <c r="BZX29" s="33"/>
      <c r="BZY29" s="33"/>
      <c r="BZZ29" s="33"/>
      <c r="CAA29" s="33"/>
      <c r="CAB29" s="33"/>
      <c r="CAC29" s="137"/>
      <c r="CAD29" s="33"/>
      <c r="CAE29" s="33"/>
      <c r="CAF29" s="33"/>
      <c r="CAG29" s="33"/>
      <c r="CAH29" s="33"/>
      <c r="CAI29" s="74"/>
      <c r="CAJ29" s="33"/>
      <c r="CAK29" s="33"/>
      <c r="CAL29" s="33"/>
      <c r="CAM29" s="33"/>
      <c r="CAN29" s="33"/>
      <c r="CAO29" s="137"/>
      <c r="CAP29" s="33"/>
      <c r="CAQ29" s="33"/>
      <c r="CAR29" s="33"/>
      <c r="CAS29" s="33"/>
      <c r="CAT29" s="33"/>
      <c r="CAU29" s="74"/>
      <c r="CAV29" s="64"/>
      <c r="CAW29" s="64"/>
      <c r="CAX29" s="64"/>
      <c r="CAY29" s="64"/>
      <c r="CAZ29" s="33"/>
      <c r="CBA29" s="137"/>
      <c r="CBB29" s="33"/>
      <c r="CBC29" s="33"/>
      <c r="CBD29" s="33"/>
      <c r="CBE29" s="33"/>
      <c r="CBF29" s="33"/>
      <c r="CBG29" s="74"/>
      <c r="CBH29" s="33"/>
      <c r="CBI29" s="33"/>
      <c r="CBJ29" s="33"/>
      <c r="CBK29" s="33"/>
      <c r="CBL29" s="33"/>
      <c r="CBM29" s="137"/>
      <c r="CBN29" s="33"/>
      <c r="CBO29" s="33"/>
      <c r="CBP29" s="33"/>
      <c r="CBQ29" s="33"/>
      <c r="CBR29" s="33"/>
      <c r="CBS29" s="74"/>
      <c r="CBT29" s="33"/>
      <c r="CBU29" s="33"/>
      <c r="CBV29" s="33"/>
      <c r="CBW29" s="33"/>
      <c r="CBX29" s="33"/>
      <c r="CBY29" s="34"/>
      <c r="CBZ29" s="90"/>
    </row>
    <row r="30" spans="1:2106" ht="20.100000000000001" customHeight="1" x14ac:dyDescent="0.3">
      <c r="A30" s="100" t="s">
        <v>23</v>
      </c>
      <c r="B30" s="63" t="str">
        <f>IF(LEN(C45)=0,"",C45)</f>
        <v/>
      </c>
      <c r="C30" s="171"/>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36"/>
      <c r="BLW30" s="65"/>
      <c r="BLX30" s="65"/>
      <c r="BLY30" s="65"/>
      <c r="BLZ30" s="37"/>
      <c r="BMA30" s="133"/>
      <c r="BMB30" s="37"/>
      <c r="BMC30" s="37"/>
      <c r="BMD30" s="37"/>
      <c r="BME30" s="37"/>
      <c r="BMF30" s="37"/>
      <c r="BMG30" s="138"/>
      <c r="BMH30" s="37"/>
      <c r="BMI30" s="37"/>
      <c r="BMJ30" s="37"/>
      <c r="BMK30" s="37"/>
      <c r="BML30" s="37"/>
      <c r="BMM30" s="75"/>
      <c r="BMN30" s="37"/>
      <c r="BMO30" s="37"/>
      <c r="BMP30" s="37"/>
      <c r="BMQ30" s="37"/>
      <c r="BMR30" s="37"/>
      <c r="BMS30" s="138"/>
      <c r="BMT30" s="37"/>
      <c r="BMU30" s="37"/>
      <c r="BMV30" s="37"/>
      <c r="BMW30" s="37"/>
      <c r="BMX30" s="37"/>
      <c r="BMY30" s="75"/>
      <c r="BMZ30" s="65"/>
      <c r="BNA30" s="65"/>
      <c r="BNB30" s="65"/>
      <c r="BNC30" s="65"/>
      <c r="BND30" s="37"/>
      <c r="BNE30" s="138"/>
      <c r="BNF30" s="37"/>
      <c r="BNG30" s="37"/>
      <c r="BNH30" s="37"/>
      <c r="BNI30" s="37"/>
      <c r="BNJ30" s="37"/>
      <c r="BNK30" s="75"/>
      <c r="BNL30" s="37"/>
      <c r="BNM30" s="37"/>
      <c r="BNN30" s="37"/>
      <c r="BNO30" s="37"/>
      <c r="BNP30" s="37"/>
      <c r="BNQ30" s="138"/>
      <c r="BNR30" s="37"/>
      <c r="BNS30" s="37"/>
      <c r="BNT30" s="37"/>
      <c r="BNU30" s="37"/>
      <c r="BNV30" s="37"/>
      <c r="BNW30" s="75"/>
      <c r="BNX30" s="37"/>
      <c r="BNY30" s="37"/>
      <c r="BNZ30" s="37"/>
      <c r="BOA30" s="37"/>
      <c r="BOB30" s="37"/>
      <c r="BOC30" s="38"/>
      <c r="BOD30" s="36"/>
      <c r="BOE30" s="65"/>
      <c r="BOF30" s="65"/>
      <c r="BOG30" s="65"/>
      <c r="BOH30" s="37"/>
      <c r="BOI30" s="133"/>
      <c r="BOJ30" s="37"/>
      <c r="BOK30" s="37"/>
      <c r="BOL30" s="37"/>
      <c r="BOM30" s="37"/>
      <c r="BON30" s="37"/>
      <c r="BOO30" s="138"/>
      <c r="BOP30" s="37"/>
      <c r="BOQ30" s="37"/>
      <c r="BOR30" s="37"/>
      <c r="BOS30" s="37"/>
      <c r="BOT30" s="37"/>
      <c r="BOU30" s="75"/>
      <c r="BOV30" s="37"/>
      <c r="BOW30" s="37"/>
      <c r="BOX30" s="37"/>
      <c r="BOY30" s="37"/>
      <c r="BOZ30" s="37"/>
      <c r="BPA30" s="138"/>
      <c r="BPB30" s="37"/>
      <c r="BPC30" s="37"/>
      <c r="BPD30" s="37"/>
      <c r="BPE30" s="37"/>
      <c r="BPF30" s="37"/>
      <c r="BPG30" s="75"/>
      <c r="BPH30" s="65"/>
      <c r="BPI30" s="65"/>
      <c r="BPJ30" s="65"/>
      <c r="BPK30" s="65"/>
      <c r="BPL30" s="37"/>
      <c r="BPM30" s="138"/>
      <c r="BPN30" s="37"/>
      <c r="BPO30" s="37"/>
      <c r="BPP30" s="37"/>
      <c r="BPQ30" s="37"/>
      <c r="BPR30" s="37"/>
      <c r="BPS30" s="75"/>
      <c r="BPT30" s="37"/>
      <c r="BPU30" s="37"/>
      <c r="BPV30" s="37"/>
      <c r="BPW30" s="37"/>
      <c r="BPX30" s="37"/>
      <c r="BPY30" s="138"/>
      <c r="BPZ30" s="37"/>
      <c r="BQA30" s="37"/>
      <c r="BQB30" s="37"/>
      <c r="BQC30" s="37"/>
      <c r="BQD30" s="37"/>
      <c r="BQE30" s="75"/>
      <c r="BQF30" s="37"/>
      <c r="BQG30" s="37"/>
      <c r="BQH30" s="37"/>
      <c r="BQI30" s="37"/>
      <c r="BQJ30" s="37"/>
      <c r="BQK30" s="38"/>
      <c r="BQL30" s="36"/>
      <c r="BQM30" s="65"/>
      <c r="BQN30" s="65"/>
      <c r="BQO30" s="65"/>
      <c r="BQP30" s="37"/>
      <c r="BQQ30" s="133"/>
      <c r="BQR30" s="37"/>
      <c r="BQS30" s="37"/>
      <c r="BQT30" s="37"/>
      <c r="BQU30" s="37"/>
      <c r="BQV30" s="37"/>
      <c r="BQW30" s="138"/>
      <c r="BQX30" s="37"/>
      <c r="BQY30" s="37"/>
      <c r="BQZ30" s="37"/>
      <c r="BRA30" s="37"/>
      <c r="BRB30" s="37"/>
      <c r="BRC30" s="75"/>
      <c r="BRD30" s="37"/>
      <c r="BRE30" s="37"/>
      <c r="BRF30" s="37"/>
      <c r="BRG30" s="37"/>
      <c r="BRH30" s="37"/>
      <c r="BRI30" s="138"/>
      <c r="BRJ30" s="37"/>
      <c r="BRK30" s="37"/>
      <c r="BRL30" s="37"/>
      <c r="BRM30" s="37"/>
      <c r="BRN30" s="37"/>
      <c r="BRO30" s="75"/>
      <c r="BRP30" s="65"/>
      <c r="BRQ30" s="65"/>
      <c r="BRR30" s="65"/>
      <c r="BRS30" s="65"/>
      <c r="BRT30" s="37"/>
      <c r="BRU30" s="138"/>
      <c r="BRV30" s="37"/>
      <c r="BRW30" s="37"/>
      <c r="BRX30" s="37"/>
      <c r="BRY30" s="37"/>
      <c r="BRZ30" s="37"/>
      <c r="BSA30" s="75"/>
      <c r="BSB30" s="37"/>
      <c r="BSC30" s="37"/>
      <c r="BSD30" s="37"/>
      <c r="BSE30" s="37"/>
      <c r="BSF30" s="37"/>
      <c r="BSG30" s="138"/>
      <c r="BSH30" s="37"/>
      <c r="BSI30" s="37"/>
      <c r="BSJ30" s="37"/>
      <c r="BSK30" s="37"/>
      <c r="BSL30" s="37"/>
      <c r="BSM30" s="75"/>
      <c r="BSN30" s="37"/>
      <c r="BSO30" s="37"/>
      <c r="BSP30" s="37"/>
      <c r="BSQ30" s="37"/>
      <c r="BSR30" s="37"/>
      <c r="BSS30" s="38"/>
      <c r="BST30" s="36"/>
      <c r="BSU30" s="65"/>
      <c r="BSV30" s="65"/>
      <c r="BSW30" s="65"/>
      <c r="BSX30" s="37"/>
      <c r="BSY30" s="133"/>
      <c r="BSZ30" s="37"/>
      <c r="BTA30" s="37"/>
      <c r="BTB30" s="37"/>
      <c r="BTC30" s="37"/>
      <c r="BTD30" s="37"/>
      <c r="BTE30" s="138"/>
      <c r="BTF30" s="37"/>
      <c r="BTG30" s="37"/>
      <c r="BTH30" s="37"/>
      <c r="BTI30" s="37"/>
      <c r="BTJ30" s="37"/>
      <c r="BTK30" s="75"/>
      <c r="BTL30" s="37"/>
      <c r="BTM30" s="37"/>
      <c r="BTN30" s="37"/>
      <c r="BTO30" s="37"/>
      <c r="BTP30" s="37"/>
      <c r="BTQ30" s="138"/>
      <c r="BTR30" s="37"/>
      <c r="BTS30" s="37"/>
      <c r="BTT30" s="37"/>
      <c r="BTU30" s="37"/>
      <c r="BTV30" s="37"/>
      <c r="BTW30" s="75"/>
      <c r="BTX30" s="65"/>
      <c r="BTY30" s="65"/>
      <c r="BTZ30" s="65"/>
      <c r="BUA30" s="65"/>
      <c r="BUB30" s="37"/>
      <c r="BUC30" s="138"/>
      <c r="BUD30" s="37"/>
      <c r="BUE30" s="37"/>
      <c r="BUF30" s="37"/>
      <c r="BUG30" s="37"/>
      <c r="BUH30" s="37"/>
      <c r="BUI30" s="75"/>
      <c r="BUJ30" s="37"/>
      <c r="BUK30" s="37"/>
      <c r="BUL30" s="37"/>
      <c r="BUM30" s="37"/>
      <c r="BUN30" s="37"/>
      <c r="BUO30" s="138"/>
      <c r="BUP30" s="37"/>
      <c r="BUQ30" s="37"/>
      <c r="BUR30" s="37"/>
      <c r="BUS30" s="37"/>
      <c r="BUT30" s="37"/>
      <c r="BUU30" s="75"/>
      <c r="BUV30" s="37"/>
      <c r="BUW30" s="37"/>
      <c r="BUX30" s="37"/>
      <c r="BUY30" s="37"/>
      <c r="BUZ30" s="37"/>
      <c r="BVA30" s="38"/>
      <c r="BVB30" s="36"/>
      <c r="BVC30" s="65"/>
      <c r="BVD30" s="65"/>
      <c r="BVE30" s="65"/>
      <c r="BVF30" s="37"/>
      <c r="BVG30" s="133"/>
      <c r="BVH30" s="37"/>
      <c r="BVI30" s="37"/>
      <c r="BVJ30" s="37"/>
      <c r="BVK30" s="37"/>
      <c r="BVL30" s="37"/>
      <c r="BVM30" s="138"/>
      <c r="BVN30" s="37"/>
      <c r="BVO30" s="37"/>
      <c r="BVP30" s="37"/>
      <c r="BVQ30" s="37"/>
      <c r="BVR30" s="37"/>
      <c r="BVS30" s="75"/>
      <c r="BVT30" s="37"/>
      <c r="BVU30" s="37"/>
      <c r="BVV30" s="37"/>
      <c r="BVW30" s="37"/>
      <c r="BVX30" s="37"/>
      <c r="BVY30" s="138"/>
      <c r="BVZ30" s="37"/>
      <c r="BWA30" s="37"/>
      <c r="BWB30" s="37"/>
      <c r="BWC30" s="37"/>
      <c r="BWD30" s="37"/>
      <c r="BWE30" s="75"/>
      <c r="BWF30" s="65"/>
      <c r="BWG30" s="65"/>
      <c r="BWH30" s="65"/>
      <c r="BWI30" s="65"/>
      <c r="BWJ30" s="37"/>
      <c r="BWK30" s="138"/>
      <c r="BWL30" s="37"/>
      <c r="BWM30" s="37"/>
      <c r="BWN30" s="37"/>
      <c r="BWO30" s="37"/>
      <c r="BWP30" s="37"/>
      <c r="BWQ30" s="75"/>
      <c r="BWR30" s="37"/>
      <c r="BWS30" s="37"/>
      <c r="BWT30" s="37"/>
      <c r="BWU30" s="37"/>
      <c r="BWV30" s="37"/>
      <c r="BWW30" s="138"/>
      <c r="BWX30" s="37"/>
      <c r="BWY30" s="37"/>
      <c r="BWZ30" s="37"/>
      <c r="BXA30" s="37"/>
      <c r="BXB30" s="37"/>
      <c r="BXC30" s="75"/>
      <c r="BXD30" s="37"/>
      <c r="BXE30" s="37"/>
      <c r="BXF30" s="37"/>
      <c r="BXG30" s="37"/>
      <c r="BXH30" s="37"/>
      <c r="BXI30" s="38"/>
      <c r="BXJ30" s="36"/>
      <c r="BXK30" s="65"/>
      <c r="BXL30" s="65"/>
      <c r="BXM30" s="65"/>
      <c r="BXN30" s="37"/>
      <c r="BXO30" s="133"/>
      <c r="BXP30" s="37"/>
      <c r="BXQ30" s="37"/>
      <c r="BXR30" s="37"/>
      <c r="BXS30" s="37"/>
      <c r="BXT30" s="37"/>
      <c r="BXU30" s="138"/>
      <c r="BXV30" s="37"/>
      <c r="BXW30" s="37"/>
      <c r="BXX30" s="37"/>
      <c r="BXY30" s="37"/>
      <c r="BXZ30" s="37"/>
      <c r="BYA30" s="75"/>
      <c r="BYB30" s="37"/>
      <c r="BYC30" s="37"/>
      <c r="BYD30" s="37"/>
      <c r="BYE30" s="37"/>
      <c r="BYF30" s="37"/>
      <c r="BYG30" s="138"/>
      <c r="BYH30" s="37"/>
      <c r="BYI30" s="37"/>
      <c r="BYJ30" s="37"/>
      <c r="BYK30" s="37"/>
      <c r="BYL30" s="37"/>
      <c r="BYM30" s="75"/>
      <c r="BYN30" s="65"/>
      <c r="BYO30" s="65"/>
      <c r="BYP30" s="65"/>
      <c r="BYQ30" s="65"/>
      <c r="BYR30" s="37"/>
      <c r="BYS30" s="138"/>
      <c r="BYT30" s="37"/>
      <c r="BYU30" s="37"/>
      <c r="BYV30" s="37"/>
      <c r="BYW30" s="37"/>
      <c r="BYX30" s="37"/>
      <c r="BYY30" s="75"/>
      <c r="BYZ30" s="37"/>
      <c r="BZA30" s="37"/>
      <c r="BZB30" s="37"/>
      <c r="BZC30" s="37"/>
      <c r="BZD30" s="37"/>
      <c r="BZE30" s="138"/>
      <c r="BZF30" s="37"/>
      <c r="BZG30" s="37"/>
      <c r="BZH30" s="37"/>
      <c r="BZI30" s="37"/>
      <c r="BZJ30" s="37"/>
      <c r="BZK30" s="75"/>
      <c r="BZL30" s="37"/>
      <c r="BZM30" s="37"/>
      <c r="BZN30" s="37"/>
      <c r="BZO30" s="37"/>
      <c r="BZP30" s="37"/>
      <c r="BZQ30" s="38"/>
      <c r="BZR30" s="36"/>
      <c r="BZS30" s="65"/>
      <c r="BZT30" s="65"/>
      <c r="BZU30" s="65"/>
      <c r="BZV30" s="37"/>
      <c r="BZW30" s="133"/>
      <c r="BZX30" s="37"/>
      <c r="BZY30" s="37"/>
      <c r="BZZ30" s="37"/>
      <c r="CAA30" s="37"/>
      <c r="CAB30" s="37"/>
      <c r="CAC30" s="138"/>
      <c r="CAD30" s="37"/>
      <c r="CAE30" s="37"/>
      <c r="CAF30" s="37"/>
      <c r="CAG30" s="37"/>
      <c r="CAH30" s="37"/>
      <c r="CAI30" s="75"/>
      <c r="CAJ30" s="37"/>
      <c r="CAK30" s="37"/>
      <c r="CAL30" s="37"/>
      <c r="CAM30" s="37"/>
      <c r="CAN30" s="37"/>
      <c r="CAO30" s="138"/>
      <c r="CAP30" s="37"/>
      <c r="CAQ30" s="37"/>
      <c r="CAR30" s="37"/>
      <c r="CAS30" s="37"/>
      <c r="CAT30" s="37"/>
      <c r="CAU30" s="75"/>
      <c r="CAV30" s="65"/>
      <c r="CAW30" s="65"/>
      <c r="CAX30" s="65"/>
      <c r="CAY30" s="65"/>
      <c r="CAZ30" s="37"/>
      <c r="CBA30" s="138"/>
      <c r="CBB30" s="37"/>
      <c r="CBC30" s="37"/>
      <c r="CBD30" s="37"/>
      <c r="CBE30" s="37"/>
      <c r="CBF30" s="37"/>
      <c r="CBG30" s="75"/>
      <c r="CBH30" s="37"/>
      <c r="CBI30" s="37"/>
      <c r="CBJ30" s="37"/>
      <c r="CBK30" s="37"/>
      <c r="CBL30" s="37"/>
      <c r="CBM30" s="138"/>
      <c r="CBN30" s="37"/>
      <c r="CBO30" s="37"/>
      <c r="CBP30" s="37"/>
      <c r="CBQ30" s="37"/>
      <c r="CBR30" s="37"/>
      <c r="CBS30" s="75"/>
      <c r="CBT30" s="37"/>
      <c r="CBU30" s="37"/>
      <c r="CBV30" s="37"/>
      <c r="CBW30" s="37"/>
      <c r="CBX30" s="37"/>
      <c r="CBY30" s="38"/>
      <c r="CBZ30" s="90"/>
    </row>
    <row r="31" spans="1:2106" ht="20.100000000000001" customHeight="1" x14ac:dyDescent="0.25">
      <c r="A31" s="100" t="s">
        <v>22</v>
      </c>
      <c r="B31" s="63" t="str">
        <f>IF(LEN(C47)=0,"",C47)</f>
        <v/>
      </c>
      <c r="C31" s="170"/>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40"/>
      <c r="BLW31" s="66"/>
      <c r="BLX31" s="66"/>
      <c r="BLY31" s="66"/>
      <c r="BLZ31" s="41"/>
      <c r="BMA31" s="134"/>
      <c r="BMB31" s="41"/>
      <c r="BMC31" s="41"/>
      <c r="BMD31" s="41"/>
      <c r="BME31" s="41"/>
      <c r="BMF31" s="41"/>
      <c r="BMG31" s="139"/>
      <c r="BMH31" s="41"/>
      <c r="BMI31" s="41"/>
      <c r="BMJ31" s="41"/>
      <c r="BMK31" s="41"/>
      <c r="BML31" s="41"/>
      <c r="BMM31" s="76"/>
      <c r="BMN31" s="41"/>
      <c r="BMO31" s="41"/>
      <c r="BMP31" s="41"/>
      <c r="BMQ31" s="41"/>
      <c r="BMR31" s="41"/>
      <c r="BMS31" s="139"/>
      <c r="BMT31" s="41"/>
      <c r="BMU31" s="41"/>
      <c r="BMV31" s="41"/>
      <c r="BMW31" s="41"/>
      <c r="BMX31" s="41"/>
      <c r="BMY31" s="76"/>
      <c r="BMZ31" s="66"/>
      <c r="BNA31" s="66"/>
      <c r="BNB31" s="66"/>
      <c r="BNC31" s="66"/>
      <c r="BND31" s="41"/>
      <c r="BNE31" s="139"/>
      <c r="BNF31" s="41"/>
      <c r="BNG31" s="41"/>
      <c r="BNH31" s="41"/>
      <c r="BNI31" s="41"/>
      <c r="BNJ31" s="41"/>
      <c r="BNK31" s="76"/>
      <c r="BNL31" s="41"/>
      <c r="BNM31" s="41"/>
      <c r="BNN31" s="41"/>
      <c r="BNO31" s="41"/>
      <c r="BNP31" s="41"/>
      <c r="BNQ31" s="139"/>
      <c r="BNR31" s="41"/>
      <c r="BNS31" s="41"/>
      <c r="BNT31" s="41"/>
      <c r="BNU31" s="41"/>
      <c r="BNV31" s="41"/>
      <c r="BNW31" s="76"/>
      <c r="BNX31" s="41"/>
      <c r="BNY31" s="41"/>
      <c r="BNZ31" s="41"/>
      <c r="BOA31" s="41"/>
      <c r="BOB31" s="41"/>
      <c r="BOC31" s="42"/>
      <c r="BOD31" s="40"/>
      <c r="BOE31" s="66"/>
      <c r="BOF31" s="66"/>
      <c r="BOG31" s="66"/>
      <c r="BOH31" s="41"/>
      <c r="BOI31" s="134"/>
      <c r="BOJ31" s="41"/>
      <c r="BOK31" s="41"/>
      <c r="BOL31" s="41"/>
      <c r="BOM31" s="41"/>
      <c r="BON31" s="41"/>
      <c r="BOO31" s="139"/>
      <c r="BOP31" s="41"/>
      <c r="BOQ31" s="41"/>
      <c r="BOR31" s="41"/>
      <c r="BOS31" s="41"/>
      <c r="BOT31" s="41"/>
      <c r="BOU31" s="76"/>
      <c r="BOV31" s="41"/>
      <c r="BOW31" s="41"/>
      <c r="BOX31" s="41"/>
      <c r="BOY31" s="41"/>
      <c r="BOZ31" s="41"/>
      <c r="BPA31" s="139"/>
      <c r="BPB31" s="41"/>
      <c r="BPC31" s="41"/>
      <c r="BPD31" s="41"/>
      <c r="BPE31" s="41"/>
      <c r="BPF31" s="41"/>
      <c r="BPG31" s="76"/>
      <c r="BPH31" s="66"/>
      <c r="BPI31" s="66"/>
      <c r="BPJ31" s="66"/>
      <c r="BPK31" s="66"/>
      <c r="BPL31" s="41"/>
      <c r="BPM31" s="139"/>
      <c r="BPN31" s="41"/>
      <c r="BPO31" s="41"/>
      <c r="BPP31" s="41"/>
      <c r="BPQ31" s="41"/>
      <c r="BPR31" s="41"/>
      <c r="BPS31" s="76"/>
      <c r="BPT31" s="41"/>
      <c r="BPU31" s="41"/>
      <c r="BPV31" s="41"/>
      <c r="BPW31" s="41"/>
      <c r="BPX31" s="41"/>
      <c r="BPY31" s="139"/>
      <c r="BPZ31" s="41"/>
      <c r="BQA31" s="41"/>
      <c r="BQB31" s="41"/>
      <c r="BQC31" s="41"/>
      <c r="BQD31" s="41"/>
      <c r="BQE31" s="76"/>
      <c r="BQF31" s="41"/>
      <c r="BQG31" s="41"/>
      <c r="BQH31" s="41"/>
      <c r="BQI31" s="41"/>
      <c r="BQJ31" s="41"/>
      <c r="BQK31" s="42"/>
      <c r="BQL31" s="40"/>
      <c r="BQM31" s="66"/>
      <c r="BQN31" s="66"/>
      <c r="BQO31" s="66"/>
      <c r="BQP31" s="41"/>
      <c r="BQQ31" s="134"/>
      <c r="BQR31" s="41"/>
      <c r="BQS31" s="41"/>
      <c r="BQT31" s="41"/>
      <c r="BQU31" s="41"/>
      <c r="BQV31" s="41"/>
      <c r="BQW31" s="139"/>
      <c r="BQX31" s="41"/>
      <c r="BQY31" s="41"/>
      <c r="BQZ31" s="41"/>
      <c r="BRA31" s="41"/>
      <c r="BRB31" s="41"/>
      <c r="BRC31" s="76"/>
      <c r="BRD31" s="41"/>
      <c r="BRE31" s="41"/>
      <c r="BRF31" s="41"/>
      <c r="BRG31" s="41"/>
      <c r="BRH31" s="41"/>
      <c r="BRI31" s="139"/>
      <c r="BRJ31" s="41"/>
      <c r="BRK31" s="41"/>
      <c r="BRL31" s="41"/>
      <c r="BRM31" s="41"/>
      <c r="BRN31" s="41"/>
      <c r="BRO31" s="76"/>
      <c r="BRP31" s="66"/>
      <c r="BRQ31" s="66"/>
      <c r="BRR31" s="66"/>
      <c r="BRS31" s="66"/>
      <c r="BRT31" s="41"/>
      <c r="BRU31" s="139"/>
      <c r="BRV31" s="41"/>
      <c r="BRW31" s="41"/>
      <c r="BRX31" s="41"/>
      <c r="BRY31" s="41"/>
      <c r="BRZ31" s="41"/>
      <c r="BSA31" s="76"/>
      <c r="BSB31" s="41"/>
      <c r="BSC31" s="41"/>
      <c r="BSD31" s="41"/>
      <c r="BSE31" s="41"/>
      <c r="BSF31" s="41"/>
      <c r="BSG31" s="139"/>
      <c r="BSH31" s="41"/>
      <c r="BSI31" s="41"/>
      <c r="BSJ31" s="41"/>
      <c r="BSK31" s="41"/>
      <c r="BSL31" s="41"/>
      <c r="BSM31" s="76"/>
      <c r="BSN31" s="41"/>
      <c r="BSO31" s="41"/>
      <c r="BSP31" s="41"/>
      <c r="BSQ31" s="41"/>
      <c r="BSR31" s="41"/>
      <c r="BSS31" s="42"/>
      <c r="BST31" s="40"/>
      <c r="BSU31" s="66"/>
      <c r="BSV31" s="66"/>
      <c r="BSW31" s="66"/>
      <c r="BSX31" s="41"/>
      <c r="BSY31" s="134"/>
      <c r="BSZ31" s="41"/>
      <c r="BTA31" s="41"/>
      <c r="BTB31" s="41"/>
      <c r="BTC31" s="41"/>
      <c r="BTD31" s="41"/>
      <c r="BTE31" s="139"/>
      <c r="BTF31" s="41"/>
      <c r="BTG31" s="41"/>
      <c r="BTH31" s="41"/>
      <c r="BTI31" s="41"/>
      <c r="BTJ31" s="41"/>
      <c r="BTK31" s="76"/>
      <c r="BTL31" s="41"/>
      <c r="BTM31" s="41"/>
      <c r="BTN31" s="41"/>
      <c r="BTO31" s="41"/>
      <c r="BTP31" s="41"/>
      <c r="BTQ31" s="139"/>
      <c r="BTR31" s="41"/>
      <c r="BTS31" s="41"/>
      <c r="BTT31" s="41"/>
      <c r="BTU31" s="41"/>
      <c r="BTV31" s="41"/>
      <c r="BTW31" s="76"/>
      <c r="BTX31" s="66"/>
      <c r="BTY31" s="66"/>
      <c r="BTZ31" s="66"/>
      <c r="BUA31" s="66"/>
      <c r="BUB31" s="41"/>
      <c r="BUC31" s="139"/>
      <c r="BUD31" s="41"/>
      <c r="BUE31" s="41"/>
      <c r="BUF31" s="41"/>
      <c r="BUG31" s="41"/>
      <c r="BUH31" s="41"/>
      <c r="BUI31" s="76"/>
      <c r="BUJ31" s="41"/>
      <c r="BUK31" s="41"/>
      <c r="BUL31" s="41"/>
      <c r="BUM31" s="41"/>
      <c r="BUN31" s="41"/>
      <c r="BUO31" s="139"/>
      <c r="BUP31" s="41"/>
      <c r="BUQ31" s="41"/>
      <c r="BUR31" s="41"/>
      <c r="BUS31" s="41"/>
      <c r="BUT31" s="41"/>
      <c r="BUU31" s="76"/>
      <c r="BUV31" s="41"/>
      <c r="BUW31" s="41"/>
      <c r="BUX31" s="41"/>
      <c r="BUY31" s="41"/>
      <c r="BUZ31" s="41"/>
      <c r="BVA31" s="42"/>
      <c r="BVB31" s="40"/>
      <c r="BVC31" s="66"/>
      <c r="BVD31" s="66"/>
      <c r="BVE31" s="66"/>
      <c r="BVF31" s="41"/>
      <c r="BVG31" s="134"/>
      <c r="BVH31" s="41"/>
      <c r="BVI31" s="41"/>
      <c r="BVJ31" s="41"/>
      <c r="BVK31" s="41"/>
      <c r="BVL31" s="41"/>
      <c r="BVM31" s="139"/>
      <c r="BVN31" s="41"/>
      <c r="BVO31" s="41"/>
      <c r="BVP31" s="41"/>
      <c r="BVQ31" s="41"/>
      <c r="BVR31" s="41"/>
      <c r="BVS31" s="76"/>
      <c r="BVT31" s="41"/>
      <c r="BVU31" s="41"/>
      <c r="BVV31" s="41"/>
      <c r="BVW31" s="41"/>
      <c r="BVX31" s="41"/>
      <c r="BVY31" s="139"/>
      <c r="BVZ31" s="41"/>
      <c r="BWA31" s="41"/>
      <c r="BWB31" s="41"/>
      <c r="BWC31" s="41"/>
      <c r="BWD31" s="41"/>
      <c r="BWE31" s="76"/>
      <c r="BWF31" s="66"/>
      <c r="BWG31" s="66"/>
      <c r="BWH31" s="66"/>
      <c r="BWI31" s="66"/>
      <c r="BWJ31" s="41"/>
      <c r="BWK31" s="139"/>
      <c r="BWL31" s="41"/>
      <c r="BWM31" s="41"/>
      <c r="BWN31" s="41"/>
      <c r="BWO31" s="41"/>
      <c r="BWP31" s="41"/>
      <c r="BWQ31" s="76"/>
      <c r="BWR31" s="41"/>
      <c r="BWS31" s="41"/>
      <c r="BWT31" s="41"/>
      <c r="BWU31" s="41"/>
      <c r="BWV31" s="41"/>
      <c r="BWW31" s="139"/>
      <c r="BWX31" s="41"/>
      <c r="BWY31" s="41"/>
      <c r="BWZ31" s="41"/>
      <c r="BXA31" s="41"/>
      <c r="BXB31" s="41"/>
      <c r="BXC31" s="76"/>
      <c r="BXD31" s="41"/>
      <c r="BXE31" s="41"/>
      <c r="BXF31" s="41"/>
      <c r="BXG31" s="41"/>
      <c r="BXH31" s="41"/>
      <c r="BXI31" s="42"/>
      <c r="BXJ31" s="40"/>
      <c r="BXK31" s="66"/>
      <c r="BXL31" s="66"/>
      <c r="BXM31" s="66"/>
      <c r="BXN31" s="41"/>
      <c r="BXO31" s="134"/>
      <c r="BXP31" s="41"/>
      <c r="BXQ31" s="41"/>
      <c r="BXR31" s="41"/>
      <c r="BXS31" s="41"/>
      <c r="BXT31" s="41"/>
      <c r="BXU31" s="139"/>
      <c r="BXV31" s="41"/>
      <c r="BXW31" s="41"/>
      <c r="BXX31" s="41"/>
      <c r="BXY31" s="41"/>
      <c r="BXZ31" s="41"/>
      <c r="BYA31" s="76"/>
      <c r="BYB31" s="41"/>
      <c r="BYC31" s="41"/>
      <c r="BYD31" s="41"/>
      <c r="BYE31" s="41"/>
      <c r="BYF31" s="41"/>
      <c r="BYG31" s="139"/>
      <c r="BYH31" s="41"/>
      <c r="BYI31" s="41"/>
      <c r="BYJ31" s="41"/>
      <c r="BYK31" s="41"/>
      <c r="BYL31" s="41"/>
      <c r="BYM31" s="76"/>
      <c r="BYN31" s="66"/>
      <c r="BYO31" s="66"/>
      <c r="BYP31" s="66"/>
      <c r="BYQ31" s="66"/>
      <c r="BYR31" s="41"/>
      <c r="BYS31" s="139"/>
      <c r="BYT31" s="41"/>
      <c r="BYU31" s="41"/>
      <c r="BYV31" s="41"/>
      <c r="BYW31" s="41"/>
      <c r="BYX31" s="41"/>
      <c r="BYY31" s="76"/>
      <c r="BYZ31" s="41"/>
      <c r="BZA31" s="41"/>
      <c r="BZB31" s="41"/>
      <c r="BZC31" s="41"/>
      <c r="BZD31" s="41"/>
      <c r="BZE31" s="139"/>
      <c r="BZF31" s="41"/>
      <c r="BZG31" s="41"/>
      <c r="BZH31" s="41"/>
      <c r="BZI31" s="41"/>
      <c r="BZJ31" s="41"/>
      <c r="BZK31" s="76"/>
      <c r="BZL31" s="41"/>
      <c r="BZM31" s="41"/>
      <c r="BZN31" s="41"/>
      <c r="BZO31" s="41"/>
      <c r="BZP31" s="41"/>
      <c r="BZQ31" s="42"/>
      <c r="BZR31" s="40"/>
      <c r="BZS31" s="66"/>
      <c r="BZT31" s="66"/>
      <c r="BZU31" s="66"/>
      <c r="BZV31" s="41"/>
      <c r="BZW31" s="134"/>
      <c r="BZX31" s="41"/>
      <c r="BZY31" s="41"/>
      <c r="BZZ31" s="41"/>
      <c r="CAA31" s="41"/>
      <c r="CAB31" s="41"/>
      <c r="CAC31" s="139"/>
      <c r="CAD31" s="41"/>
      <c r="CAE31" s="41"/>
      <c r="CAF31" s="41"/>
      <c r="CAG31" s="41"/>
      <c r="CAH31" s="41"/>
      <c r="CAI31" s="76"/>
      <c r="CAJ31" s="41"/>
      <c r="CAK31" s="41"/>
      <c r="CAL31" s="41"/>
      <c r="CAM31" s="41"/>
      <c r="CAN31" s="41"/>
      <c r="CAO31" s="139"/>
      <c r="CAP31" s="41"/>
      <c r="CAQ31" s="41"/>
      <c r="CAR31" s="41"/>
      <c r="CAS31" s="41"/>
      <c r="CAT31" s="41"/>
      <c r="CAU31" s="76"/>
      <c r="CAV31" s="66"/>
      <c r="CAW31" s="66"/>
      <c r="CAX31" s="66"/>
      <c r="CAY31" s="66"/>
      <c r="CAZ31" s="41"/>
      <c r="CBA31" s="139"/>
      <c r="CBB31" s="41"/>
      <c r="CBC31" s="41"/>
      <c r="CBD31" s="41"/>
      <c r="CBE31" s="41"/>
      <c r="CBF31" s="41"/>
      <c r="CBG31" s="76"/>
      <c r="CBH31" s="41"/>
      <c r="CBI31" s="41"/>
      <c r="CBJ31" s="41"/>
      <c r="CBK31" s="41"/>
      <c r="CBL31" s="41"/>
      <c r="CBM31" s="139"/>
      <c r="CBN31" s="41"/>
      <c r="CBO31" s="41"/>
      <c r="CBP31" s="41"/>
      <c r="CBQ31" s="41"/>
      <c r="CBR31" s="41"/>
      <c r="CBS31" s="76"/>
      <c r="CBT31" s="41"/>
      <c r="CBU31" s="41"/>
      <c r="CBV31" s="41"/>
      <c r="CBW31" s="41"/>
      <c r="CBX31" s="41"/>
      <c r="CBY31" s="42"/>
      <c r="CBZ31" s="90"/>
    </row>
    <row r="32" spans="1:2106" ht="20.100000000000001" customHeight="1" x14ac:dyDescent="0.3">
      <c r="A32" s="100" t="s">
        <v>23</v>
      </c>
      <c r="B32" s="63" t="str">
        <f>IF(LEN(C49)=0,"",C49)</f>
        <v/>
      </c>
      <c r="C32" s="171"/>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28"/>
      <c r="BLW32" s="67"/>
      <c r="BLX32" s="67"/>
      <c r="BLY32" s="67"/>
      <c r="BLZ32" s="29"/>
      <c r="BMA32" s="131"/>
      <c r="BMB32" s="29"/>
      <c r="BMC32" s="29"/>
      <c r="BMD32" s="29"/>
      <c r="BME32" s="29"/>
      <c r="BMF32" s="29"/>
      <c r="BMG32" s="136"/>
      <c r="BMH32" s="29"/>
      <c r="BMI32" s="29"/>
      <c r="BMJ32" s="29"/>
      <c r="BMK32" s="29"/>
      <c r="BML32" s="29"/>
      <c r="BMM32" s="73"/>
      <c r="BMN32" s="29"/>
      <c r="BMO32" s="29"/>
      <c r="BMP32" s="29"/>
      <c r="BMQ32" s="29"/>
      <c r="BMR32" s="29"/>
      <c r="BMS32" s="136"/>
      <c r="BMT32" s="29"/>
      <c r="BMU32" s="29"/>
      <c r="BMV32" s="29"/>
      <c r="BMW32" s="29"/>
      <c r="BMX32" s="29"/>
      <c r="BMY32" s="73"/>
      <c r="BMZ32" s="67"/>
      <c r="BNA32" s="67"/>
      <c r="BNB32" s="67"/>
      <c r="BNC32" s="67"/>
      <c r="BND32" s="29"/>
      <c r="BNE32" s="136"/>
      <c r="BNF32" s="29"/>
      <c r="BNG32" s="29"/>
      <c r="BNH32" s="29"/>
      <c r="BNI32" s="29"/>
      <c r="BNJ32" s="29"/>
      <c r="BNK32" s="73"/>
      <c r="BNL32" s="29"/>
      <c r="BNM32" s="29"/>
      <c r="BNN32" s="29"/>
      <c r="BNO32" s="29"/>
      <c r="BNP32" s="29"/>
      <c r="BNQ32" s="136"/>
      <c r="BNR32" s="29"/>
      <c r="BNS32" s="29"/>
      <c r="BNT32" s="29"/>
      <c r="BNU32" s="29"/>
      <c r="BNV32" s="29"/>
      <c r="BNW32" s="73"/>
      <c r="BNX32" s="29"/>
      <c r="BNY32" s="29"/>
      <c r="BNZ32" s="29"/>
      <c r="BOA32" s="29"/>
      <c r="BOB32" s="29"/>
      <c r="BOC32" s="30"/>
      <c r="BOD32" s="28"/>
      <c r="BOE32" s="67"/>
      <c r="BOF32" s="67"/>
      <c r="BOG32" s="67"/>
      <c r="BOH32" s="29"/>
      <c r="BOI32" s="131"/>
      <c r="BOJ32" s="29"/>
      <c r="BOK32" s="29"/>
      <c r="BOL32" s="29"/>
      <c r="BOM32" s="29"/>
      <c r="BON32" s="29"/>
      <c r="BOO32" s="136"/>
      <c r="BOP32" s="29"/>
      <c r="BOQ32" s="29"/>
      <c r="BOR32" s="29"/>
      <c r="BOS32" s="29"/>
      <c r="BOT32" s="29"/>
      <c r="BOU32" s="73"/>
      <c r="BOV32" s="29"/>
      <c r="BOW32" s="29"/>
      <c r="BOX32" s="29"/>
      <c r="BOY32" s="29"/>
      <c r="BOZ32" s="29"/>
      <c r="BPA32" s="136"/>
      <c r="BPB32" s="29"/>
      <c r="BPC32" s="29"/>
      <c r="BPD32" s="29"/>
      <c r="BPE32" s="29"/>
      <c r="BPF32" s="29"/>
      <c r="BPG32" s="73"/>
      <c r="BPH32" s="67"/>
      <c r="BPI32" s="67"/>
      <c r="BPJ32" s="67"/>
      <c r="BPK32" s="67"/>
      <c r="BPL32" s="29"/>
      <c r="BPM32" s="136"/>
      <c r="BPN32" s="29"/>
      <c r="BPO32" s="29"/>
      <c r="BPP32" s="29"/>
      <c r="BPQ32" s="29"/>
      <c r="BPR32" s="29"/>
      <c r="BPS32" s="73"/>
      <c r="BPT32" s="29"/>
      <c r="BPU32" s="29"/>
      <c r="BPV32" s="29"/>
      <c r="BPW32" s="29"/>
      <c r="BPX32" s="29"/>
      <c r="BPY32" s="136"/>
      <c r="BPZ32" s="29"/>
      <c r="BQA32" s="29"/>
      <c r="BQB32" s="29"/>
      <c r="BQC32" s="29"/>
      <c r="BQD32" s="29"/>
      <c r="BQE32" s="73"/>
      <c r="BQF32" s="29"/>
      <c r="BQG32" s="29"/>
      <c r="BQH32" s="29"/>
      <c r="BQI32" s="29"/>
      <c r="BQJ32" s="29"/>
      <c r="BQK32" s="30"/>
      <c r="BQL32" s="28"/>
      <c r="BQM32" s="67"/>
      <c r="BQN32" s="67"/>
      <c r="BQO32" s="67"/>
      <c r="BQP32" s="29"/>
      <c r="BQQ32" s="131"/>
      <c r="BQR32" s="29"/>
      <c r="BQS32" s="29"/>
      <c r="BQT32" s="29"/>
      <c r="BQU32" s="29"/>
      <c r="BQV32" s="29"/>
      <c r="BQW32" s="136"/>
      <c r="BQX32" s="29"/>
      <c r="BQY32" s="29"/>
      <c r="BQZ32" s="29"/>
      <c r="BRA32" s="29"/>
      <c r="BRB32" s="29"/>
      <c r="BRC32" s="73"/>
      <c r="BRD32" s="29"/>
      <c r="BRE32" s="29"/>
      <c r="BRF32" s="29"/>
      <c r="BRG32" s="29"/>
      <c r="BRH32" s="29"/>
      <c r="BRI32" s="136"/>
      <c r="BRJ32" s="29"/>
      <c r="BRK32" s="29"/>
      <c r="BRL32" s="29"/>
      <c r="BRM32" s="29"/>
      <c r="BRN32" s="29"/>
      <c r="BRO32" s="73"/>
      <c r="BRP32" s="67"/>
      <c r="BRQ32" s="67"/>
      <c r="BRR32" s="67"/>
      <c r="BRS32" s="67"/>
      <c r="BRT32" s="29"/>
      <c r="BRU32" s="136"/>
      <c r="BRV32" s="29"/>
      <c r="BRW32" s="29"/>
      <c r="BRX32" s="29"/>
      <c r="BRY32" s="29"/>
      <c r="BRZ32" s="29"/>
      <c r="BSA32" s="73"/>
      <c r="BSB32" s="29"/>
      <c r="BSC32" s="29"/>
      <c r="BSD32" s="29"/>
      <c r="BSE32" s="29"/>
      <c r="BSF32" s="29"/>
      <c r="BSG32" s="136"/>
      <c r="BSH32" s="29"/>
      <c r="BSI32" s="29"/>
      <c r="BSJ32" s="29"/>
      <c r="BSK32" s="29"/>
      <c r="BSL32" s="29"/>
      <c r="BSM32" s="73"/>
      <c r="BSN32" s="29"/>
      <c r="BSO32" s="29"/>
      <c r="BSP32" s="29"/>
      <c r="BSQ32" s="29"/>
      <c r="BSR32" s="29"/>
      <c r="BSS32" s="30"/>
      <c r="BST32" s="28"/>
      <c r="BSU32" s="67"/>
      <c r="BSV32" s="67"/>
      <c r="BSW32" s="67"/>
      <c r="BSX32" s="29"/>
      <c r="BSY32" s="131"/>
      <c r="BSZ32" s="29"/>
      <c r="BTA32" s="29"/>
      <c r="BTB32" s="29"/>
      <c r="BTC32" s="29"/>
      <c r="BTD32" s="29"/>
      <c r="BTE32" s="136"/>
      <c r="BTF32" s="29"/>
      <c r="BTG32" s="29"/>
      <c r="BTH32" s="29"/>
      <c r="BTI32" s="29"/>
      <c r="BTJ32" s="29"/>
      <c r="BTK32" s="73"/>
      <c r="BTL32" s="29"/>
      <c r="BTM32" s="29"/>
      <c r="BTN32" s="29"/>
      <c r="BTO32" s="29"/>
      <c r="BTP32" s="29"/>
      <c r="BTQ32" s="136"/>
      <c r="BTR32" s="29"/>
      <c r="BTS32" s="29"/>
      <c r="BTT32" s="29"/>
      <c r="BTU32" s="29"/>
      <c r="BTV32" s="29"/>
      <c r="BTW32" s="73"/>
      <c r="BTX32" s="67"/>
      <c r="BTY32" s="67"/>
      <c r="BTZ32" s="67"/>
      <c r="BUA32" s="67"/>
      <c r="BUB32" s="29"/>
      <c r="BUC32" s="136"/>
      <c r="BUD32" s="29"/>
      <c r="BUE32" s="29"/>
      <c r="BUF32" s="29"/>
      <c r="BUG32" s="29"/>
      <c r="BUH32" s="29"/>
      <c r="BUI32" s="73"/>
      <c r="BUJ32" s="29"/>
      <c r="BUK32" s="29"/>
      <c r="BUL32" s="29"/>
      <c r="BUM32" s="29"/>
      <c r="BUN32" s="29"/>
      <c r="BUO32" s="136"/>
      <c r="BUP32" s="29"/>
      <c r="BUQ32" s="29"/>
      <c r="BUR32" s="29"/>
      <c r="BUS32" s="29"/>
      <c r="BUT32" s="29"/>
      <c r="BUU32" s="73"/>
      <c r="BUV32" s="29"/>
      <c r="BUW32" s="29"/>
      <c r="BUX32" s="29"/>
      <c r="BUY32" s="29"/>
      <c r="BUZ32" s="29"/>
      <c r="BVA32" s="30"/>
      <c r="BVB32" s="28"/>
      <c r="BVC32" s="67"/>
      <c r="BVD32" s="67"/>
      <c r="BVE32" s="67"/>
      <c r="BVF32" s="29"/>
      <c r="BVG32" s="131"/>
      <c r="BVH32" s="29"/>
      <c r="BVI32" s="29"/>
      <c r="BVJ32" s="29"/>
      <c r="BVK32" s="29"/>
      <c r="BVL32" s="29"/>
      <c r="BVM32" s="136"/>
      <c r="BVN32" s="29"/>
      <c r="BVO32" s="29"/>
      <c r="BVP32" s="29"/>
      <c r="BVQ32" s="29"/>
      <c r="BVR32" s="29"/>
      <c r="BVS32" s="73"/>
      <c r="BVT32" s="29"/>
      <c r="BVU32" s="29"/>
      <c r="BVV32" s="29"/>
      <c r="BVW32" s="29"/>
      <c r="BVX32" s="29"/>
      <c r="BVY32" s="136"/>
      <c r="BVZ32" s="29"/>
      <c r="BWA32" s="29"/>
      <c r="BWB32" s="29"/>
      <c r="BWC32" s="29"/>
      <c r="BWD32" s="29"/>
      <c r="BWE32" s="73"/>
      <c r="BWF32" s="67"/>
      <c r="BWG32" s="67"/>
      <c r="BWH32" s="67"/>
      <c r="BWI32" s="67"/>
      <c r="BWJ32" s="29"/>
      <c r="BWK32" s="136"/>
      <c r="BWL32" s="29"/>
      <c r="BWM32" s="29"/>
      <c r="BWN32" s="29"/>
      <c r="BWO32" s="29"/>
      <c r="BWP32" s="29"/>
      <c r="BWQ32" s="73"/>
      <c r="BWR32" s="29"/>
      <c r="BWS32" s="29"/>
      <c r="BWT32" s="29"/>
      <c r="BWU32" s="29"/>
      <c r="BWV32" s="29"/>
      <c r="BWW32" s="136"/>
      <c r="BWX32" s="29"/>
      <c r="BWY32" s="29"/>
      <c r="BWZ32" s="29"/>
      <c r="BXA32" s="29"/>
      <c r="BXB32" s="29"/>
      <c r="BXC32" s="73"/>
      <c r="BXD32" s="29"/>
      <c r="BXE32" s="29"/>
      <c r="BXF32" s="29"/>
      <c r="BXG32" s="29"/>
      <c r="BXH32" s="29"/>
      <c r="BXI32" s="30"/>
      <c r="BXJ32" s="28"/>
      <c r="BXK32" s="67"/>
      <c r="BXL32" s="67"/>
      <c r="BXM32" s="67"/>
      <c r="BXN32" s="29"/>
      <c r="BXO32" s="131"/>
      <c r="BXP32" s="29"/>
      <c r="BXQ32" s="29"/>
      <c r="BXR32" s="29"/>
      <c r="BXS32" s="29"/>
      <c r="BXT32" s="29"/>
      <c r="BXU32" s="136"/>
      <c r="BXV32" s="29"/>
      <c r="BXW32" s="29"/>
      <c r="BXX32" s="29"/>
      <c r="BXY32" s="29"/>
      <c r="BXZ32" s="29"/>
      <c r="BYA32" s="73"/>
      <c r="BYB32" s="29"/>
      <c r="BYC32" s="29"/>
      <c r="BYD32" s="29"/>
      <c r="BYE32" s="29"/>
      <c r="BYF32" s="29"/>
      <c r="BYG32" s="136"/>
      <c r="BYH32" s="29"/>
      <c r="BYI32" s="29"/>
      <c r="BYJ32" s="29"/>
      <c r="BYK32" s="29"/>
      <c r="BYL32" s="29"/>
      <c r="BYM32" s="73"/>
      <c r="BYN32" s="67"/>
      <c r="BYO32" s="67"/>
      <c r="BYP32" s="67"/>
      <c r="BYQ32" s="67"/>
      <c r="BYR32" s="29"/>
      <c r="BYS32" s="136"/>
      <c r="BYT32" s="29"/>
      <c r="BYU32" s="29"/>
      <c r="BYV32" s="29"/>
      <c r="BYW32" s="29"/>
      <c r="BYX32" s="29"/>
      <c r="BYY32" s="73"/>
      <c r="BYZ32" s="29"/>
      <c r="BZA32" s="29"/>
      <c r="BZB32" s="29"/>
      <c r="BZC32" s="29"/>
      <c r="BZD32" s="29"/>
      <c r="BZE32" s="136"/>
      <c r="BZF32" s="29"/>
      <c r="BZG32" s="29"/>
      <c r="BZH32" s="29"/>
      <c r="BZI32" s="29"/>
      <c r="BZJ32" s="29"/>
      <c r="BZK32" s="73"/>
      <c r="BZL32" s="29"/>
      <c r="BZM32" s="29"/>
      <c r="BZN32" s="29"/>
      <c r="BZO32" s="29"/>
      <c r="BZP32" s="29"/>
      <c r="BZQ32" s="30"/>
      <c r="BZR32" s="28"/>
      <c r="BZS32" s="67"/>
      <c r="BZT32" s="67"/>
      <c r="BZU32" s="67"/>
      <c r="BZV32" s="29"/>
      <c r="BZW32" s="131"/>
      <c r="BZX32" s="29"/>
      <c r="BZY32" s="29"/>
      <c r="BZZ32" s="29"/>
      <c r="CAA32" s="29"/>
      <c r="CAB32" s="29"/>
      <c r="CAC32" s="136"/>
      <c r="CAD32" s="29"/>
      <c r="CAE32" s="29"/>
      <c r="CAF32" s="29"/>
      <c r="CAG32" s="29"/>
      <c r="CAH32" s="29"/>
      <c r="CAI32" s="73"/>
      <c r="CAJ32" s="29"/>
      <c r="CAK32" s="29"/>
      <c r="CAL32" s="29"/>
      <c r="CAM32" s="29"/>
      <c r="CAN32" s="29"/>
      <c r="CAO32" s="136"/>
      <c r="CAP32" s="29"/>
      <c r="CAQ32" s="29"/>
      <c r="CAR32" s="29"/>
      <c r="CAS32" s="29"/>
      <c r="CAT32" s="29"/>
      <c r="CAU32" s="73"/>
      <c r="CAV32" s="67"/>
      <c r="CAW32" s="67"/>
      <c r="CAX32" s="67"/>
      <c r="CAY32" s="67"/>
      <c r="CAZ32" s="29"/>
      <c r="CBA32" s="136"/>
      <c r="CBB32" s="29"/>
      <c r="CBC32" s="29"/>
      <c r="CBD32" s="29"/>
      <c r="CBE32" s="29"/>
      <c r="CBF32" s="29"/>
      <c r="CBG32" s="73"/>
      <c r="CBH32" s="29"/>
      <c r="CBI32" s="29"/>
      <c r="CBJ32" s="29"/>
      <c r="CBK32" s="29"/>
      <c r="CBL32" s="29"/>
      <c r="CBM32" s="136"/>
      <c r="CBN32" s="29"/>
      <c r="CBO32" s="29"/>
      <c r="CBP32" s="29"/>
      <c r="CBQ32" s="29"/>
      <c r="CBR32" s="29"/>
      <c r="CBS32" s="73"/>
      <c r="CBT32" s="29"/>
      <c r="CBU32" s="29"/>
      <c r="CBV32" s="29"/>
      <c r="CBW32" s="29"/>
      <c r="CBX32" s="29"/>
      <c r="CBY32" s="30"/>
      <c r="CBZ32" s="90"/>
    </row>
    <row r="33" spans="1:2106" ht="20.100000000000001" customHeight="1" x14ac:dyDescent="0.25">
      <c r="A33" s="100" t="s">
        <v>22</v>
      </c>
      <c r="B33" s="63" t="str">
        <f>IF(LEN(C51)=0,"",C51)</f>
        <v/>
      </c>
      <c r="C33" s="170"/>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32"/>
      <c r="BLW33" s="64"/>
      <c r="BLX33" s="64"/>
      <c r="BLY33" s="64"/>
      <c r="BLZ33" s="33"/>
      <c r="BMA33" s="132"/>
      <c r="BMB33" s="33"/>
      <c r="BMC33" s="33"/>
      <c r="BMD33" s="33"/>
      <c r="BME33" s="33"/>
      <c r="BMF33" s="33"/>
      <c r="BMG33" s="137"/>
      <c r="BMH33" s="33"/>
      <c r="BMI33" s="33"/>
      <c r="BMJ33" s="33"/>
      <c r="BMK33" s="33"/>
      <c r="BML33" s="33"/>
      <c r="BMM33" s="74"/>
      <c r="BMN33" s="33"/>
      <c r="BMO33" s="33"/>
      <c r="BMP33" s="33"/>
      <c r="BMQ33" s="33"/>
      <c r="BMR33" s="33"/>
      <c r="BMS33" s="137"/>
      <c r="BMT33" s="33"/>
      <c r="BMU33" s="33"/>
      <c r="BMV33" s="33"/>
      <c r="BMW33" s="33"/>
      <c r="BMX33" s="33"/>
      <c r="BMY33" s="74"/>
      <c r="BMZ33" s="64"/>
      <c r="BNA33" s="64"/>
      <c r="BNB33" s="64"/>
      <c r="BNC33" s="64"/>
      <c r="BND33" s="33"/>
      <c r="BNE33" s="137"/>
      <c r="BNF33" s="33"/>
      <c r="BNG33" s="33"/>
      <c r="BNH33" s="33"/>
      <c r="BNI33" s="33"/>
      <c r="BNJ33" s="33"/>
      <c r="BNK33" s="74"/>
      <c r="BNL33" s="33"/>
      <c r="BNM33" s="33"/>
      <c r="BNN33" s="33"/>
      <c r="BNO33" s="33"/>
      <c r="BNP33" s="33"/>
      <c r="BNQ33" s="137"/>
      <c r="BNR33" s="33"/>
      <c r="BNS33" s="33"/>
      <c r="BNT33" s="33"/>
      <c r="BNU33" s="33"/>
      <c r="BNV33" s="33"/>
      <c r="BNW33" s="74"/>
      <c r="BNX33" s="33"/>
      <c r="BNY33" s="33"/>
      <c r="BNZ33" s="33"/>
      <c r="BOA33" s="33"/>
      <c r="BOB33" s="33"/>
      <c r="BOC33" s="34"/>
      <c r="BOD33" s="32"/>
      <c r="BOE33" s="64"/>
      <c r="BOF33" s="64"/>
      <c r="BOG33" s="64"/>
      <c r="BOH33" s="33"/>
      <c r="BOI33" s="132"/>
      <c r="BOJ33" s="33"/>
      <c r="BOK33" s="33"/>
      <c r="BOL33" s="33"/>
      <c r="BOM33" s="33"/>
      <c r="BON33" s="33"/>
      <c r="BOO33" s="137"/>
      <c r="BOP33" s="33"/>
      <c r="BOQ33" s="33"/>
      <c r="BOR33" s="33"/>
      <c r="BOS33" s="33"/>
      <c r="BOT33" s="33"/>
      <c r="BOU33" s="74"/>
      <c r="BOV33" s="33"/>
      <c r="BOW33" s="33"/>
      <c r="BOX33" s="33"/>
      <c r="BOY33" s="33"/>
      <c r="BOZ33" s="33"/>
      <c r="BPA33" s="137"/>
      <c r="BPB33" s="33"/>
      <c r="BPC33" s="33"/>
      <c r="BPD33" s="33"/>
      <c r="BPE33" s="33"/>
      <c r="BPF33" s="33"/>
      <c r="BPG33" s="74"/>
      <c r="BPH33" s="64"/>
      <c r="BPI33" s="64"/>
      <c r="BPJ33" s="64"/>
      <c r="BPK33" s="64"/>
      <c r="BPL33" s="33"/>
      <c r="BPM33" s="137"/>
      <c r="BPN33" s="33"/>
      <c r="BPO33" s="33"/>
      <c r="BPP33" s="33"/>
      <c r="BPQ33" s="33"/>
      <c r="BPR33" s="33"/>
      <c r="BPS33" s="74"/>
      <c r="BPT33" s="33"/>
      <c r="BPU33" s="33"/>
      <c r="BPV33" s="33"/>
      <c r="BPW33" s="33"/>
      <c r="BPX33" s="33"/>
      <c r="BPY33" s="137"/>
      <c r="BPZ33" s="33"/>
      <c r="BQA33" s="33"/>
      <c r="BQB33" s="33"/>
      <c r="BQC33" s="33"/>
      <c r="BQD33" s="33"/>
      <c r="BQE33" s="74"/>
      <c r="BQF33" s="33"/>
      <c r="BQG33" s="33"/>
      <c r="BQH33" s="33"/>
      <c r="BQI33" s="33"/>
      <c r="BQJ33" s="33"/>
      <c r="BQK33" s="34"/>
      <c r="BQL33" s="32"/>
      <c r="BQM33" s="64"/>
      <c r="BQN33" s="64"/>
      <c r="BQO33" s="64"/>
      <c r="BQP33" s="33"/>
      <c r="BQQ33" s="132"/>
      <c r="BQR33" s="33"/>
      <c r="BQS33" s="33"/>
      <c r="BQT33" s="33"/>
      <c r="BQU33" s="33"/>
      <c r="BQV33" s="33"/>
      <c r="BQW33" s="137"/>
      <c r="BQX33" s="33"/>
      <c r="BQY33" s="33"/>
      <c r="BQZ33" s="33"/>
      <c r="BRA33" s="33"/>
      <c r="BRB33" s="33"/>
      <c r="BRC33" s="74"/>
      <c r="BRD33" s="33"/>
      <c r="BRE33" s="33"/>
      <c r="BRF33" s="33"/>
      <c r="BRG33" s="33"/>
      <c r="BRH33" s="33"/>
      <c r="BRI33" s="137"/>
      <c r="BRJ33" s="33"/>
      <c r="BRK33" s="33"/>
      <c r="BRL33" s="33"/>
      <c r="BRM33" s="33"/>
      <c r="BRN33" s="33"/>
      <c r="BRO33" s="74"/>
      <c r="BRP33" s="64"/>
      <c r="BRQ33" s="64"/>
      <c r="BRR33" s="64"/>
      <c r="BRS33" s="64"/>
      <c r="BRT33" s="33"/>
      <c r="BRU33" s="137"/>
      <c r="BRV33" s="33"/>
      <c r="BRW33" s="33"/>
      <c r="BRX33" s="33"/>
      <c r="BRY33" s="33"/>
      <c r="BRZ33" s="33"/>
      <c r="BSA33" s="74"/>
      <c r="BSB33" s="33"/>
      <c r="BSC33" s="33"/>
      <c r="BSD33" s="33"/>
      <c r="BSE33" s="33"/>
      <c r="BSF33" s="33"/>
      <c r="BSG33" s="137"/>
      <c r="BSH33" s="33"/>
      <c r="BSI33" s="33"/>
      <c r="BSJ33" s="33"/>
      <c r="BSK33" s="33"/>
      <c r="BSL33" s="33"/>
      <c r="BSM33" s="74"/>
      <c r="BSN33" s="33"/>
      <c r="BSO33" s="33"/>
      <c r="BSP33" s="33"/>
      <c r="BSQ33" s="33"/>
      <c r="BSR33" s="33"/>
      <c r="BSS33" s="34"/>
      <c r="BST33" s="32"/>
      <c r="BSU33" s="64"/>
      <c r="BSV33" s="64"/>
      <c r="BSW33" s="64"/>
      <c r="BSX33" s="33"/>
      <c r="BSY33" s="132"/>
      <c r="BSZ33" s="33"/>
      <c r="BTA33" s="33"/>
      <c r="BTB33" s="33"/>
      <c r="BTC33" s="33"/>
      <c r="BTD33" s="33"/>
      <c r="BTE33" s="137"/>
      <c r="BTF33" s="33"/>
      <c r="BTG33" s="33"/>
      <c r="BTH33" s="33"/>
      <c r="BTI33" s="33"/>
      <c r="BTJ33" s="33"/>
      <c r="BTK33" s="74"/>
      <c r="BTL33" s="33"/>
      <c r="BTM33" s="33"/>
      <c r="BTN33" s="33"/>
      <c r="BTO33" s="33"/>
      <c r="BTP33" s="33"/>
      <c r="BTQ33" s="137"/>
      <c r="BTR33" s="33"/>
      <c r="BTS33" s="33"/>
      <c r="BTT33" s="33"/>
      <c r="BTU33" s="33"/>
      <c r="BTV33" s="33"/>
      <c r="BTW33" s="74"/>
      <c r="BTX33" s="64"/>
      <c r="BTY33" s="64"/>
      <c r="BTZ33" s="64"/>
      <c r="BUA33" s="64"/>
      <c r="BUB33" s="33"/>
      <c r="BUC33" s="137"/>
      <c r="BUD33" s="33"/>
      <c r="BUE33" s="33"/>
      <c r="BUF33" s="33"/>
      <c r="BUG33" s="33"/>
      <c r="BUH33" s="33"/>
      <c r="BUI33" s="74"/>
      <c r="BUJ33" s="33"/>
      <c r="BUK33" s="33"/>
      <c r="BUL33" s="33"/>
      <c r="BUM33" s="33"/>
      <c r="BUN33" s="33"/>
      <c r="BUO33" s="137"/>
      <c r="BUP33" s="33"/>
      <c r="BUQ33" s="33"/>
      <c r="BUR33" s="33"/>
      <c r="BUS33" s="33"/>
      <c r="BUT33" s="33"/>
      <c r="BUU33" s="74"/>
      <c r="BUV33" s="33"/>
      <c r="BUW33" s="33"/>
      <c r="BUX33" s="33"/>
      <c r="BUY33" s="33"/>
      <c r="BUZ33" s="33"/>
      <c r="BVA33" s="34"/>
      <c r="BVB33" s="32"/>
      <c r="BVC33" s="64"/>
      <c r="BVD33" s="64"/>
      <c r="BVE33" s="64"/>
      <c r="BVF33" s="33"/>
      <c r="BVG33" s="132"/>
      <c r="BVH33" s="33"/>
      <c r="BVI33" s="33"/>
      <c r="BVJ33" s="33"/>
      <c r="BVK33" s="33"/>
      <c r="BVL33" s="33"/>
      <c r="BVM33" s="137"/>
      <c r="BVN33" s="33"/>
      <c r="BVO33" s="33"/>
      <c r="BVP33" s="33"/>
      <c r="BVQ33" s="33"/>
      <c r="BVR33" s="33"/>
      <c r="BVS33" s="74"/>
      <c r="BVT33" s="33"/>
      <c r="BVU33" s="33"/>
      <c r="BVV33" s="33"/>
      <c r="BVW33" s="33"/>
      <c r="BVX33" s="33"/>
      <c r="BVY33" s="137"/>
      <c r="BVZ33" s="33"/>
      <c r="BWA33" s="33"/>
      <c r="BWB33" s="33"/>
      <c r="BWC33" s="33"/>
      <c r="BWD33" s="33"/>
      <c r="BWE33" s="74"/>
      <c r="BWF33" s="64"/>
      <c r="BWG33" s="64"/>
      <c r="BWH33" s="64"/>
      <c r="BWI33" s="64"/>
      <c r="BWJ33" s="33"/>
      <c r="BWK33" s="137"/>
      <c r="BWL33" s="33"/>
      <c r="BWM33" s="33"/>
      <c r="BWN33" s="33"/>
      <c r="BWO33" s="33"/>
      <c r="BWP33" s="33"/>
      <c r="BWQ33" s="74"/>
      <c r="BWR33" s="33"/>
      <c r="BWS33" s="33"/>
      <c r="BWT33" s="33"/>
      <c r="BWU33" s="33"/>
      <c r="BWV33" s="33"/>
      <c r="BWW33" s="137"/>
      <c r="BWX33" s="33"/>
      <c r="BWY33" s="33"/>
      <c r="BWZ33" s="33"/>
      <c r="BXA33" s="33"/>
      <c r="BXB33" s="33"/>
      <c r="BXC33" s="74"/>
      <c r="BXD33" s="33"/>
      <c r="BXE33" s="33"/>
      <c r="BXF33" s="33"/>
      <c r="BXG33" s="33"/>
      <c r="BXH33" s="33"/>
      <c r="BXI33" s="34"/>
      <c r="BXJ33" s="32"/>
      <c r="BXK33" s="64"/>
      <c r="BXL33" s="64"/>
      <c r="BXM33" s="64"/>
      <c r="BXN33" s="33"/>
      <c r="BXO33" s="132"/>
      <c r="BXP33" s="33"/>
      <c r="BXQ33" s="33"/>
      <c r="BXR33" s="33"/>
      <c r="BXS33" s="33"/>
      <c r="BXT33" s="33"/>
      <c r="BXU33" s="137"/>
      <c r="BXV33" s="33"/>
      <c r="BXW33" s="33"/>
      <c r="BXX33" s="33"/>
      <c r="BXY33" s="33"/>
      <c r="BXZ33" s="33"/>
      <c r="BYA33" s="74"/>
      <c r="BYB33" s="33"/>
      <c r="BYC33" s="33"/>
      <c r="BYD33" s="33"/>
      <c r="BYE33" s="33"/>
      <c r="BYF33" s="33"/>
      <c r="BYG33" s="137"/>
      <c r="BYH33" s="33"/>
      <c r="BYI33" s="33"/>
      <c r="BYJ33" s="33"/>
      <c r="BYK33" s="33"/>
      <c r="BYL33" s="33"/>
      <c r="BYM33" s="74"/>
      <c r="BYN33" s="64"/>
      <c r="BYO33" s="64"/>
      <c r="BYP33" s="64"/>
      <c r="BYQ33" s="64"/>
      <c r="BYR33" s="33"/>
      <c r="BYS33" s="137"/>
      <c r="BYT33" s="33"/>
      <c r="BYU33" s="33"/>
      <c r="BYV33" s="33"/>
      <c r="BYW33" s="33"/>
      <c r="BYX33" s="33"/>
      <c r="BYY33" s="74"/>
      <c r="BYZ33" s="33"/>
      <c r="BZA33" s="33"/>
      <c r="BZB33" s="33"/>
      <c r="BZC33" s="33"/>
      <c r="BZD33" s="33"/>
      <c r="BZE33" s="137"/>
      <c r="BZF33" s="33"/>
      <c r="BZG33" s="33"/>
      <c r="BZH33" s="33"/>
      <c r="BZI33" s="33"/>
      <c r="BZJ33" s="33"/>
      <c r="BZK33" s="74"/>
      <c r="BZL33" s="33"/>
      <c r="BZM33" s="33"/>
      <c r="BZN33" s="33"/>
      <c r="BZO33" s="33"/>
      <c r="BZP33" s="33"/>
      <c r="BZQ33" s="34"/>
      <c r="BZR33" s="32"/>
      <c r="BZS33" s="64"/>
      <c r="BZT33" s="64"/>
      <c r="BZU33" s="64"/>
      <c r="BZV33" s="33"/>
      <c r="BZW33" s="132"/>
      <c r="BZX33" s="33"/>
      <c r="BZY33" s="33"/>
      <c r="BZZ33" s="33"/>
      <c r="CAA33" s="33"/>
      <c r="CAB33" s="33"/>
      <c r="CAC33" s="137"/>
      <c r="CAD33" s="33"/>
      <c r="CAE33" s="33"/>
      <c r="CAF33" s="33"/>
      <c r="CAG33" s="33"/>
      <c r="CAH33" s="33"/>
      <c r="CAI33" s="74"/>
      <c r="CAJ33" s="33"/>
      <c r="CAK33" s="33"/>
      <c r="CAL33" s="33"/>
      <c r="CAM33" s="33"/>
      <c r="CAN33" s="33"/>
      <c r="CAO33" s="137"/>
      <c r="CAP33" s="33"/>
      <c r="CAQ33" s="33"/>
      <c r="CAR33" s="33"/>
      <c r="CAS33" s="33"/>
      <c r="CAT33" s="33"/>
      <c r="CAU33" s="74"/>
      <c r="CAV33" s="64"/>
      <c r="CAW33" s="64"/>
      <c r="CAX33" s="64"/>
      <c r="CAY33" s="64"/>
      <c r="CAZ33" s="33"/>
      <c r="CBA33" s="137"/>
      <c r="CBB33" s="33"/>
      <c r="CBC33" s="33"/>
      <c r="CBD33" s="33"/>
      <c r="CBE33" s="33"/>
      <c r="CBF33" s="33"/>
      <c r="CBG33" s="74"/>
      <c r="CBH33" s="33"/>
      <c r="CBI33" s="33"/>
      <c r="CBJ33" s="33"/>
      <c r="CBK33" s="33"/>
      <c r="CBL33" s="33"/>
      <c r="CBM33" s="137"/>
      <c r="CBN33" s="33"/>
      <c r="CBO33" s="33"/>
      <c r="CBP33" s="33"/>
      <c r="CBQ33" s="33"/>
      <c r="CBR33" s="33"/>
      <c r="CBS33" s="74"/>
      <c r="CBT33" s="33"/>
      <c r="CBU33" s="33"/>
      <c r="CBV33" s="33"/>
      <c r="CBW33" s="33"/>
      <c r="CBX33" s="33"/>
      <c r="CBY33" s="34"/>
      <c r="CBZ33" s="90"/>
    </row>
    <row r="34" spans="1:2106" ht="20.100000000000001" customHeight="1" x14ac:dyDescent="0.3">
      <c r="A34" s="100" t="s">
        <v>23</v>
      </c>
      <c r="B34" s="63" t="str">
        <f>IF(LEN(C53)=0,"",C53)</f>
        <v/>
      </c>
      <c r="C34" s="171"/>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36"/>
      <c r="BLW34" s="65"/>
      <c r="BLX34" s="65"/>
      <c r="BLY34" s="65"/>
      <c r="BLZ34" s="37"/>
      <c r="BMA34" s="133"/>
      <c r="BMB34" s="37"/>
      <c r="BMC34" s="37"/>
      <c r="BMD34" s="37"/>
      <c r="BME34" s="37"/>
      <c r="BMF34" s="37"/>
      <c r="BMG34" s="138"/>
      <c r="BMH34" s="37"/>
      <c r="BMI34" s="37"/>
      <c r="BMJ34" s="37"/>
      <c r="BMK34" s="37"/>
      <c r="BML34" s="37"/>
      <c r="BMM34" s="75"/>
      <c r="BMN34" s="37"/>
      <c r="BMO34" s="37"/>
      <c r="BMP34" s="37"/>
      <c r="BMQ34" s="37"/>
      <c r="BMR34" s="37"/>
      <c r="BMS34" s="138"/>
      <c r="BMT34" s="37"/>
      <c r="BMU34" s="37"/>
      <c r="BMV34" s="37"/>
      <c r="BMW34" s="37"/>
      <c r="BMX34" s="37"/>
      <c r="BMY34" s="75"/>
      <c r="BMZ34" s="65"/>
      <c r="BNA34" s="65"/>
      <c r="BNB34" s="65"/>
      <c r="BNC34" s="65"/>
      <c r="BND34" s="37"/>
      <c r="BNE34" s="138"/>
      <c r="BNF34" s="37"/>
      <c r="BNG34" s="37"/>
      <c r="BNH34" s="37"/>
      <c r="BNI34" s="37"/>
      <c r="BNJ34" s="37"/>
      <c r="BNK34" s="75"/>
      <c r="BNL34" s="37"/>
      <c r="BNM34" s="37"/>
      <c r="BNN34" s="37"/>
      <c r="BNO34" s="37"/>
      <c r="BNP34" s="37"/>
      <c r="BNQ34" s="138"/>
      <c r="BNR34" s="37"/>
      <c r="BNS34" s="37"/>
      <c r="BNT34" s="37"/>
      <c r="BNU34" s="37"/>
      <c r="BNV34" s="37"/>
      <c r="BNW34" s="75"/>
      <c r="BNX34" s="37"/>
      <c r="BNY34" s="37"/>
      <c r="BNZ34" s="37"/>
      <c r="BOA34" s="37"/>
      <c r="BOB34" s="37"/>
      <c r="BOC34" s="38"/>
      <c r="BOD34" s="36"/>
      <c r="BOE34" s="65"/>
      <c r="BOF34" s="65"/>
      <c r="BOG34" s="65"/>
      <c r="BOH34" s="37"/>
      <c r="BOI34" s="133"/>
      <c r="BOJ34" s="37"/>
      <c r="BOK34" s="37"/>
      <c r="BOL34" s="37"/>
      <c r="BOM34" s="37"/>
      <c r="BON34" s="37"/>
      <c r="BOO34" s="138"/>
      <c r="BOP34" s="37"/>
      <c r="BOQ34" s="37"/>
      <c r="BOR34" s="37"/>
      <c r="BOS34" s="37"/>
      <c r="BOT34" s="37"/>
      <c r="BOU34" s="75"/>
      <c r="BOV34" s="37"/>
      <c r="BOW34" s="37"/>
      <c r="BOX34" s="37"/>
      <c r="BOY34" s="37"/>
      <c r="BOZ34" s="37"/>
      <c r="BPA34" s="138"/>
      <c r="BPB34" s="37"/>
      <c r="BPC34" s="37"/>
      <c r="BPD34" s="37"/>
      <c r="BPE34" s="37"/>
      <c r="BPF34" s="37"/>
      <c r="BPG34" s="75"/>
      <c r="BPH34" s="65"/>
      <c r="BPI34" s="65"/>
      <c r="BPJ34" s="65"/>
      <c r="BPK34" s="65"/>
      <c r="BPL34" s="37"/>
      <c r="BPM34" s="138"/>
      <c r="BPN34" s="37"/>
      <c r="BPO34" s="37"/>
      <c r="BPP34" s="37"/>
      <c r="BPQ34" s="37"/>
      <c r="BPR34" s="37"/>
      <c r="BPS34" s="75"/>
      <c r="BPT34" s="37"/>
      <c r="BPU34" s="37"/>
      <c r="BPV34" s="37"/>
      <c r="BPW34" s="37"/>
      <c r="BPX34" s="37"/>
      <c r="BPY34" s="138"/>
      <c r="BPZ34" s="37"/>
      <c r="BQA34" s="37"/>
      <c r="BQB34" s="37"/>
      <c r="BQC34" s="37"/>
      <c r="BQD34" s="37"/>
      <c r="BQE34" s="75"/>
      <c r="BQF34" s="37"/>
      <c r="BQG34" s="37"/>
      <c r="BQH34" s="37"/>
      <c r="BQI34" s="37"/>
      <c r="BQJ34" s="37"/>
      <c r="BQK34" s="38"/>
      <c r="BQL34" s="36"/>
      <c r="BQM34" s="65"/>
      <c r="BQN34" s="65"/>
      <c r="BQO34" s="65"/>
      <c r="BQP34" s="37"/>
      <c r="BQQ34" s="133"/>
      <c r="BQR34" s="37"/>
      <c r="BQS34" s="37"/>
      <c r="BQT34" s="37"/>
      <c r="BQU34" s="37"/>
      <c r="BQV34" s="37"/>
      <c r="BQW34" s="138"/>
      <c r="BQX34" s="37"/>
      <c r="BQY34" s="37"/>
      <c r="BQZ34" s="37"/>
      <c r="BRA34" s="37"/>
      <c r="BRB34" s="37"/>
      <c r="BRC34" s="75"/>
      <c r="BRD34" s="37"/>
      <c r="BRE34" s="37"/>
      <c r="BRF34" s="37"/>
      <c r="BRG34" s="37"/>
      <c r="BRH34" s="37"/>
      <c r="BRI34" s="138"/>
      <c r="BRJ34" s="37"/>
      <c r="BRK34" s="37"/>
      <c r="BRL34" s="37"/>
      <c r="BRM34" s="37"/>
      <c r="BRN34" s="37"/>
      <c r="BRO34" s="75"/>
      <c r="BRP34" s="65"/>
      <c r="BRQ34" s="65"/>
      <c r="BRR34" s="65"/>
      <c r="BRS34" s="65"/>
      <c r="BRT34" s="37"/>
      <c r="BRU34" s="138"/>
      <c r="BRV34" s="37"/>
      <c r="BRW34" s="37"/>
      <c r="BRX34" s="37"/>
      <c r="BRY34" s="37"/>
      <c r="BRZ34" s="37"/>
      <c r="BSA34" s="75"/>
      <c r="BSB34" s="37"/>
      <c r="BSC34" s="37"/>
      <c r="BSD34" s="37"/>
      <c r="BSE34" s="37"/>
      <c r="BSF34" s="37"/>
      <c r="BSG34" s="138"/>
      <c r="BSH34" s="37"/>
      <c r="BSI34" s="37"/>
      <c r="BSJ34" s="37"/>
      <c r="BSK34" s="37"/>
      <c r="BSL34" s="37"/>
      <c r="BSM34" s="75"/>
      <c r="BSN34" s="37"/>
      <c r="BSO34" s="37"/>
      <c r="BSP34" s="37"/>
      <c r="BSQ34" s="37"/>
      <c r="BSR34" s="37"/>
      <c r="BSS34" s="38"/>
      <c r="BST34" s="36"/>
      <c r="BSU34" s="65"/>
      <c r="BSV34" s="65"/>
      <c r="BSW34" s="65"/>
      <c r="BSX34" s="37"/>
      <c r="BSY34" s="133"/>
      <c r="BSZ34" s="37"/>
      <c r="BTA34" s="37"/>
      <c r="BTB34" s="37"/>
      <c r="BTC34" s="37"/>
      <c r="BTD34" s="37"/>
      <c r="BTE34" s="138"/>
      <c r="BTF34" s="37"/>
      <c r="BTG34" s="37"/>
      <c r="BTH34" s="37"/>
      <c r="BTI34" s="37"/>
      <c r="BTJ34" s="37"/>
      <c r="BTK34" s="75"/>
      <c r="BTL34" s="37"/>
      <c r="BTM34" s="37"/>
      <c r="BTN34" s="37"/>
      <c r="BTO34" s="37"/>
      <c r="BTP34" s="37"/>
      <c r="BTQ34" s="138"/>
      <c r="BTR34" s="37"/>
      <c r="BTS34" s="37"/>
      <c r="BTT34" s="37"/>
      <c r="BTU34" s="37"/>
      <c r="BTV34" s="37"/>
      <c r="BTW34" s="75"/>
      <c r="BTX34" s="65"/>
      <c r="BTY34" s="65"/>
      <c r="BTZ34" s="65"/>
      <c r="BUA34" s="65"/>
      <c r="BUB34" s="37"/>
      <c r="BUC34" s="138"/>
      <c r="BUD34" s="37"/>
      <c r="BUE34" s="37"/>
      <c r="BUF34" s="37"/>
      <c r="BUG34" s="37"/>
      <c r="BUH34" s="37"/>
      <c r="BUI34" s="75"/>
      <c r="BUJ34" s="37"/>
      <c r="BUK34" s="37"/>
      <c r="BUL34" s="37"/>
      <c r="BUM34" s="37"/>
      <c r="BUN34" s="37"/>
      <c r="BUO34" s="138"/>
      <c r="BUP34" s="37"/>
      <c r="BUQ34" s="37"/>
      <c r="BUR34" s="37"/>
      <c r="BUS34" s="37"/>
      <c r="BUT34" s="37"/>
      <c r="BUU34" s="75"/>
      <c r="BUV34" s="37"/>
      <c r="BUW34" s="37"/>
      <c r="BUX34" s="37"/>
      <c r="BUY34" s="37"/>
      <c r="BUZ34" s="37"/>
      <c r="BVA34" s="38"/>
      <c r="BVB34" s="36"/>
      <c r="BVC34" s="65"/>
      <c r="BVD34" s="65"/>
      <c r="BVE34" s="65"/>
      <c r="BVF34" s="37"/>
      <c r="BVG34" s="133"/>
      <c r="BVH34" s="37"/>
      <c r="BVI34" s="37"/>
      <c r="BVJ34" s="37"/>
      <c r="BVK34" s="37"/>
      <c r="BVL34" s="37"/>
      <c r="BVM34" s="138"/>
      <c r="BVN34" s="37"/>
      <c r="BVO34" s="37"/>
      <c r="BVP34" s="37"/>
      <c r="BVQ34" s="37"/>
      <c r="BVR34" s="37"/>
      <c r="BVS34" s="75"/>
      <c r="BVT34" s="37"/>
      <c r="BVU34" s="37"/>
      <c r="BVV34" s="37"/>
      <c r="BVW34" s="37"/>
      <c r="BVX34" s="37"/>
      <c r="BVY34" s="138"/>
      <c r="BVZ34" s="37"/>
      <c r="BWA34" s="37"/>
      <c r="BWB34" s="37"/>
      <c r="BWC34" s="37"/>
      <c r="BWD34" s="37"/>
      <c r="BWE34" s="75"/>
      <c r="BWF34" s="65"/>
      <c r="BWG34" s="65"/>
      <c r="BWH34" s="65"/>
      <c r="BWI34" s="65"/>
      <c r="BWJ34" s="37"/>
      <c r="BWK34" s="138"/>
      <c r="BWL34" s="37"/>
      <c r="BWM34" s="37"/>
      <c r="BWN34" s="37"/>
      <c r="BWO34" s="37"/>
      <c r="BWP34" s="37"/>
      <c r="BWQ34" s="75"/>
      <c r="BWR34" s="37"/>
      <c r="BWS34" s="37"/>
      <c r="BWT34" s="37"/>
      <c r="BWU34" s="37"/>
      <c r="BWV34" s="37"/>
      <c r="BWW34" s="138"/>
      <c r="BWX34" s="37"/>
      <c r="BWY34" s="37"/>
      <c r="BWZ34" s="37"/>
      <c r="BXA34" s="37"/>
      <c r="BXB34" s="37"/>
      <c r="BXC34" s="75"/>
      <c r="BXD34" s="37"/>
      <c r="BXE34" s="37"/>
      <c r="BXF34" s="37"/>
      <c r="BXG34" s="37"/>
      <c r="BXH34" s="37"/>
      <c r="BXI34" s="38"/>
      <c r="BXJ34" s="36"/>
      <c r="BXK34" s="65"/>
      <c r="BXL34" s="65"/>
      <c r="BXM34" s="65"/>
      <c r="BXN34" s="37"/>
      <c r="BXO34" s="133"/>
      <c r="BXP34" s="37"/>
      <c r="BXQ34" s="37"/>
      <c r="BXR34" s="37"/>
      <c r="BXS34" s="37"/>
      <c r="BXT34" s="37"/>
      <c r="BXU34" s="138"/>
      <c r="BXV34" s="37"/>
      <c r="BXW34" s="37"/>
      <c r="BXX34" s="37"/>
      <c r="BXY34" s="37"/>
      <c r="BXZ34" s="37"/>
      <c r="BYA34" s="75"/>
      <c r="BYB34" s="37"/>
      <c r="BYC34" s="37"/>
      <c r="BYD34" s="37"/>
      <c r="BYE34" s="37"/>
      <c r="BYF34" s="37"/>
      <c r="BYG34" s="138"/>
      <c r="BYH34" s="37"/>
      <c r="BYI34" s="37"/>
      <c r="BYJ34" s="37"/>
      <c r="BYK34" s="37"/>
      <c r="BYL34" s="37"/>
      <c r="BYM34" s="75"/>
      <c r="BYN34" s="65"/>
      <c r="BYO34" s="65"/>
      <c r="BYP34" s="65"/>
      <c r="BYQ34" s="65"/>
      <c r="BYR34" s="37"/>
      <c r="BYS34" s="138"/>
      <c r="BYT34" s="37"/>
      <c r="BYU34" s="37"/>
      <c r="BYV34" s="37"/>
      <c r="BYW34" s="37"/>
      <c r="BYX34" s="37"/>
      <c r="BYY34" s="75"/>
      <c r="BYZ34" s="37"/>
      <c r="BZA34" s="37"/>
      <c r="BZB34" s="37"/>
      <c r="BZC34" s="37"/>
      <c r="BZD34" s="37"/>
      <c r="BZE34" s="138"/>
      <c r="BZF34" s="37"/>
      <c r="BZG34" s="37"/>
      <c r="BZH34" s="37"/>
      <c r="BZI34" s="37"/>
      <c r="BZJ34" s="37"/>
      <c r="BZK34" s="75"/>
      <c r="BZL34" s="37"/>
      <c r="BZM34" s="37"/>
      <c r="BZN34" s="37"/>
      <c r="BZO34" s="37"/>
      <c r="BZP34" s="37"/>
      <c r="BZQ34" s="38"/>
      <c r="BZR34" s="36"/>
      <c r="BZS34" s="65"/>
      <c r="BZT34" s="65"/>
      <c r="BZU34" s="65"/>
      <c r="BZV34" s="37"/>
      <c r="BZW34" s="133"/>
      <c r="BZX34" s="37"/>
      <c r="BZY34" s="37"/>
      <c r="BZZ34" s="37"/>
      <c r="CAA34" s="37"/>
      <c r="CAB34" s="37"/>
      <c r="CAC34" s="138"/>
      <c r="CAD34" s="37"/>
      <c r="CAE34" s="37"/>
      <c r="CAF34" s="37"/>
      <c r="CAG34" s="37"/>
      <c r="CAH34" s="37"/>
      <c r="CAI34" s="75"/>
      <c r="CAJ34" s="37"/>
      <c r="CAK34" s="37"/>
      <c r="CAL34" s="37"/>
      <c r="CAM34" s="37"/>
      <c r="CAN34" s="37"/>
      <c r="CAO34" s="138"/>
      <c r="CAP34" s="37"/>
      <c r="CAQ34" s="37"/>
      <c r="CAR34" s="37"/>
      <c r="CAS34" s="37"/>
      <c r="CAT34" s="37"/>
      <c r="CAU34" s="75"/>
      <c r="CAV34" s="65"/>
      <c r="CAW34" s="65"/>
      <c r="CAX34" s="65"/>
      <c r="CAY34" s="65"/>
      <c r="CAZ34" s="37"/>
      <c r="CBA34" s="138"/>
      <c r="CBB34" s="37"/>
      <c r="CBC34" s="37"/>
      <c r="CBD34" s="37"/>
      <c r="CBE34" s="37"/>
      <c r="CBF34" s="37"/>
      <c r="CBG34" s="75"/>
      <c r="CBH34" s="37"/>
      <c r="CBI34" s="37"/>
      <c r="CBJ34" s="37"/>
      <c r="CBK34" s="37"/>
      <c r="CBL34" s="37"/>
      <c r="CBM34" s="138"/>
      <c r="CBN34" s="37"/>
      <c r="CBO34" s="37"/>
      <c r="CBP34" s="37"/>
      <c r="CBQ34" s="37"/>
      <c r="CBR34" s="37"/>
      <c r="CBS34" s="75"/>
      <c r="CBT34" s="37"/>
      <c r="CBU34" s="37"/>
      <c r="CBV34" s="37"/>
      <c r="CBW34" s="37"/>
      <c r="CBX34" s="37"/>
      <c r="CBY34" s="38"/>
      <c r="CBZ34" s="90"/>
    </row>
    <row r="35" spans="1:2106" ht="20.100000000000001" customHeight="1" x14ac:dyDescent="0.25">
      <c r="A35" s="100" t="s">
        <v>22</v>
      </c>
      <c r="B35" s="63" t="str">
        <f>IF(LEN(C55)=0,"",C55)</f>
        <v/>
      </c>
      <c r="C35" s="170"/>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40"/>
      <c r="BLW35" s="66"/>
      <c r="BLX35" s="66"/>
      <c r="BLY35" s="66"/>
      <c r="BLZ35" s="41"/>
      <c r="BMA35" s="134"/>
      <c r="BMB35" s="41"/>
      <c r="BMC35" s="41"/>
      <c r="BMD35" s="41"/>
      <c r="BME35" s="41"/>
      <c r="BMF35" s="41"/>
      <c r="BMG35" s="139"/>
      <c r="BMH35" s="41"/>
      <c r="BMI35" s="41"/>
      <c r="BMJ35" s="41"/>
      <c r="BMK35" s="41"/>
      <c r="BML35" s="41"/>
      <c r="BMM35" s="76"/>
      <c r="BMN35" s="41"/>
      <c r="BMO35" s="41"/>
      <c r="BMP35" s="41"/>
      <c r="BMQ35" s="41"/>
      <c r="BMR35" s="41"/>
      <c r="BMS35" s="139"/>
      <c r="BMT35" s="41"/>
      <c r="BMU35" s="41"/>
      <c r="BMV35" s="41"/>
      <c r="BMW35" s="41"/>
      <c r="BMX35" s="41"/>
      <c r="BMY35" s="76"/>
      <c r="BMZ35" s="66"/>
      <c r="BNA35" s="66"/>
      <c r="BNB35" s="66"/>
      <c r="BNC35" s="66"/>
      <c r="BND35" s="41"/>
      <c r="BNE35" s="139"/>
      <c r="BNF35" s="41"/>
      <c r="BNG35" s="41"/>
      <c r="BNH35" s="41"/>
      <c r="BNI35" s="41"/>
      <c r="BNJ35" s="41"/>
      <c r="BNK35" s="76"/>
      <c r="BNL35" s="41"/>
      <c r="BNM35" s="41"/>
      <c r="BNN35" s="41"/>
      <c r="BNO35" s="41"/>
      <c r="BNP35" s="41"/>
      <c r="BNQ35" s="139"/>
      <c r="BNR35" s="41"/>
      <c r="BNS35" s="41"/>
      <c r="BNT35" s="41"/>
      <c r="BNU35" s="41"/>
      <c r="BNV35" s="41"/>
      <c r="BNW35" s="76"/>
      <c r="BNX35" s="41"/>
      <c r="BNY35" s="41"/>
      <c r="BNZ35" s="41"/>
      <c r="BOA35" s="41"/>
      <c r="BOB35" s="41"/>
      <c r="BOC35" s="42"/>
      <c r="BOD35" s="40"/>
      <c r="BOE35" s="66"/>
      <c r="BOF35" s="66"/>
      <c r="BOG35" s="66"/>
      <c r="BOH35" s="41"/>
      <c r="BOI35" s="134"/>
      <c r="BOJ35" s="41"/>
      <c r="BOK35" s="41"/>
      <c r="BOL35" s="41"/>
      <c r="BOM35" s="41"/>
      <c r="BON35" s="41"/>
      <c r="BOO35" s="139"/>
      <c r="BOP35" s="41"/>
      <c r="BOQ35" s="41"/>
      <c r="BOR35" s="41"/>
      <c r="BOS35" s="41"/>
      <c r="BOT35" s="41"/>
      <c r="BOU35" s="76"/>
      <c r="BOV35" s="41"/>
      <c r="BOW35" s="41"/>
      <c r="BOX35" s="41"/>
      <c r="BOY35" s="41"/>
      <c r="BOZ35" s="41"/>
      <c r="BPA35" s="139"/>
      <c r="BPB35" s="41"/>
      <c r="BPC35" s="41"/>
      <c r="BPD35" s="41"/>
      <c r="BPE35" s="41"/>
      <c r="BPF35" s="41"/>
      <c r="BPG35" s="76"/>
      <c r="BPH35" s="66"/>
      <c r="BPI35" s="66"/>
      <c r="BPJ35" s="66"/>
      <c r="BPK35" s="66"/>
      <c r="BPL35" s="41"/>
      <c r="BPM35" s="139"/>
      <c r="BPN35" s="41"/>
      <c r="BPO35" s="41"/>
      <c r="BPP35" s="41"/>
      <c r="BPQ35" s="41"/>
      <c r="BPR35" s="41"/>
      <c r="BPS35" s="76"/>
      <c r="BPT35" s="41"/>
      <c r="BPU35" s="41"/>
      <c r="BPV35" s="41"/>
      <c r="BPW35" s="41"/>
      <c r="BPX35" s="41"/>
      <c r="BPY35" s="139"/>
      <c r="BPZ35" s="41"/>
      <c r="BQA35" s="41"/>
      <c r="BQB35" s="41"/>
      <c r="BQC35" s="41"/>
      <c r="BQD35" s="41"/>
      <c r="BQE35" s="76"/>
      <c r="BQF35" s="41"/>
      <c r="BQG35" s="41"/>
      <c r="BQH35" s="41"/>
      <c r="BQI35" s="41"/>
      <c r="BQJ35" s="41"/>
      <c r="BQK35" s="42"/>
      <c r="BQL35" s="40"/>
      <c r="BQM35" s="66"/>
      <c r="BQN35" s="66"/>
      <c r="BQO35" s="66"/>
      <c r="BQP35" s="41"/>
      <c r="BQQ35" s="134"/>
      <c r="BQR35" s="41"/>
      <c r="BQS35" s="41"/>
      <c r="BQT35" s="41"/>
      <c r="BQU35" s="41"/>
      <c r="BQV35" s="41"/>
      <c r="BQW35" s="139"/>
      <c r="BQX35" s="41"/>
      <c r="BQY35" s="41"/>
      <c r="BQZ35" s="41"/>
      <c r="BRA35" s="41"/>
      <c r="BRB35" s="41"/>
      <c r="BRC35" s="76"/>
      <c r="BRD35" s="41"/>
      <c r="BRE35" s="41"/>
      <c r="BRF35" s="41"/>
      <c r="BRG35" s="41"/>
      <c r="BRH35" s="41"/>
      <c r="BRI35" s="139"/>
      <c r="BRJ35" s="41"/>
      <c r="BRK35" s="41"/>
      <c r="BRL35" s="41"/>
      <c r="BRM35" s="41"/>
      <c r="BRN35" s="41"/>
      <c r="BRO35" s="76"/>
      <c r="BRP35" s="66"/>
      <c r="BRQ35" s="66"/>
      <c r="BRR35" s="66"/>
      <c r="BRS35" s="66"/>
      <c r="BRT35" s="41"/>
      <c r="BRU35" s="139"/>
      <c r="BRV35" s="41"/>
      <c r="BRW35" s="41"/>
      <c r="BRX35" s="41"/>
      <c r="BRY35" s="41"/>
      <c r="BRZ35" s="41"/>
      <c r="BSA35" s="76"/>
      <c r="BSB35" s="41"/>
      <c r="BSC35" s="41"/>
      <c r="BSD35" s="41"/>
      <c r="BSE35" s="41"/>
      <c r="BSF35" s="41"/>
      <c r="BSG35" s="139"/>
      <c r="BSH35" s="41"/>
      <c r="BSI35" s="41"/>
      <c r="BSJ35" s="41"/>
      <c r="BSK35" s="41"/>
      <c r="BSL35" s="41"/>
      <c r="BSM35" s="76"/>
      <c r="BSN35" s="41"/>
      <c r="BSO35" s="41"/>
      <c r="BSP35" s="41"/>
      <c r="BSQ35" s="41"/>
      <c r="BSR35" s="41"/>
      <c r="BSS35" s="42"/>
      <c r="BST35" s="40"/>
      <c r="BSU35" s="66"/>
      <c r="BSV35" s="66"/>
      <c r="BSW35" s="66"/>
      <c r="BSX35" s="41"/>
      <c r="BSY35" s="134"/>
      <c r="BSZ35" s="41"/>
      <c r="BTA35" s="41"/>
      <c r="BTB35" s="41"/>
      <c r="BTC35" s="41"/>
      <c r="BTD35" s="41"/>
      <c r="BTE35" s="139"/>
      <c r="BTF35" s="41"/>
      <c r="BTG35" s="41"/>
      <c r="BTH35" s="41"/>
      <c r="BTI35" s="41"/>
      <c r="BTJ35" s="41"/>
      <c r="BTK35" s="76"/>
      <c r="BTL35" s="41"/>
      <c r="BTM35" s="41"/>
      <c r="BTN35" s="41"/>
      <c r="BTO35" s="41"/>
      <c r="BTP35" s="41"/>
      <c r="BTQ35" s="139"/>
      <c r="BTR35" s="41"/>
      <c r="BTS35" s="41"/>
      <c r="BTT35" s="41"/>
      <c r="BTU35" s="41"/>
      <c r="BTV35" s="41"/>
      <c r="BTW35" s="76"/>
      <c r="BTX35" s="66"/>
      <c r="BTY35" s="66"/>
      <c r="BTZ35" s="66"/>
      <c r="BUA35" s="66"/>
      <c r="BUB35" s="41"/>
      <c r="BUC35" s="139"/>
      <c r="BUD35" s="41"/>
      <c r="BUE35" s="41"/>
      <c r="BUF35" s="41"/>
      <c r="BUG35" s="41"/>
      <c r="BUH35" s="41"/>
      <c r="BUI35" s="76"/>
      <c r="BUJ35" s="41"/>
      <c r="BUK35" s="41"/>
      <c r="BUL35" s="41"/>
      <c r="BUM35" s="41"/>
      <c r="BUN35" s="41"/>
      <c r="BUO35" s="139"/>
      <c r="BUP35" s="41"/>
      <c r="BUQ35" s="41"/>
      <c r="BUR35" s="41"/>
      <c r="BUS35" s="41"/>
      <c r="BUT35" s="41"/>
      <c r="BUU35" s="76"/>
      <c r="BUV35" s="41"/>
      <c r="BUW35" s="41"/>
      <c r="BUX35" s="41"/>
      <c r="BUY35" s="41"/>
      <c r="BUZ35" s="41"/>
      <c r="BVA35" s="42"/>
      <c r="BVB35" s="40"/>
      <c r="BVC35" s="66"/>
      <c r="BVD35" s="66"/>
      <c r="BVE35" s="66"/>
      <c r="BVF35" s="41"/>
      <c r="BVG35" s="134"/>
      <c r="BVH35" s="41"/>
      <c r="BVI35" s="41"/>
      <c r="BVJ35" s="41"/>
      <c r="BVK35" s="41"/>
      <c r="BVL35" s="41"/>
      <c r="BVM35" s="139"/>
      <c r="BVN35" s="41"/>
      <c r="BVO35" s="41"/>
      <c r="BVP35" s="41"/>
      <c r="BVQ35" s="41"/>
      <c r="BVR35" s="41"/>
      <c r="BVS35" s="76"/>
      <c r="BVT35" s="41"/>
      <c r="BVU35" s="41"/>
      <c r="BVV35" s="41"/>
      <c r="BVW35" s="41"/>
      <c r="BVX35" s="41"/>
      <c r="BVY35" s="139"/>
      <c r="BVZ35" s="41"/>
      <c r="BWA35" s="41"/>
      <c r="BWB35" s="41"/>
      <c r="BWC35" s="41"/>
      <c r="BWD35" s="41"/>
      <c r="BWE35" s="76"/>
      <c r="BWF35" s="66"/>
      <c r="BWG35" s="66"/>
      <c r="BWH35" s="66"/>
      <c r="BWI35" s="66"/>
      <c r="BWJ35" s="41"/>
      <c r="BWK35" s="139"/>
      <c r="BWL35" s="41"/>
      <c r="BWM35" s="41"/>
      <c r="BWN35" s="41"/>
      <c r="BWO35" s="41"/>
      <c r="BWP35" s="41"/>
      <c r="BWQ35" s="76"/>
      <c r="BWR35" s="41"/>
      <c r="BWS35" s="41"/>
      <c r="BWT35" s="41"/>
      <c r="BWU35" s="41"/>
      <c r="BWV35" s="41"/>
      <c r="BWW35" s="139"/>
      <c r="BWX35" s="41"/>
      <c r="BWY35" s="41"/>
      <c r="BWZ35" s="41"/>
      <c r="BXA35" s="41"/>
      <c r="BXB35" s="41"/>
      <c r="BXC35" s="76"/>
      <c r="BXD35" s="41"/>
      <c r="BXE35" s="41"/>
      <c r="BXF35" s="41"/>
      <c r="BXG35" s="41"/>
      <c r="BXH35" s="41"/>
      <c r="BXI35" s="42"/>
      <c r="BXJ35" s="40"/>
      <c r="BXK35" s="66"/>
      <c r="BXL35" s="66"/>
      <c r="BXM35" s="66"/>
      <c r="BXN35" s="41"/>
      <c r="BXO35" s="134"/>
      <c r="BXP35" s="41"/>
      <c r="BXQ35" s="41"/>
      <c r="BXR35" s="41"/>
      <c r="BXS35" s="41"/>
      <c r="BXT35" s="41"/>
      <c r="BXU35" s="139"/>
      <c r="BXV35" s="41"/>
      <c r="BXW35" s="41"/>
      <c r="BXX35" s="41"/>
      <c r="BXY35" s="41"/>
      <c r="BXZ35" s="41"/>
      <c r="BYA35" s="76"/>
      <c r="BYB35" s="41"/>
      <c r="BYC35" s="41"/>
      <c r="BYD35" s="41"/>
      <c r="BYE35" s="41"/>
      <c r="BYF35" s="41"/>
      <c r="BYG35" s="139"/>
      <c r="BYH35" s="41"/>
      <c r="BYI35" s="41"/>
      <c r="BYJ35" s="41"/>
      <c r="BYK35" s="41"/>
      <c r="BYL35" s="41"/>
      <c r="BYM35" s="76"/>
      <c r="BYN35" s="66"/>
      <c r="BYO35" s="66"/>
      <c r="BYP35" s="66"/>
      <c r="BYQ35" s="66"/>
      <c r="BYR35" s="41"/>
      <c r="BYS35" s="139"/>
      <c r="BYT35" s="41"/>
      <c r="BYU35" s="41"/>
      <c r="BYV35" s="41"/>
      <c r="BYW35" s="41"/>
      <c r="BYX35" s="41"/>
      <c r="BYY35" s="76"/>
      <c r="BYZ35" s="41"/>
      <c r="BZA35" s="41"/>
      <c r="BZB35" s="41"/>
      <c r="BZC35" s="41"/>
      <c r="BZD35" s="41"/>
      <c r="BZE35" s="139"/>
      <c r="BZF35" s="41"/>
      <c r="BZG35" s="41"/>
      <c r="BZH35" s="41"/>
      <c r="BZI35" s="41"/>
      <c r="BZJ35" s="41"/>
      <c r="BZK35" s="76"/>
      <c r="BZL35" s="41"/>
      <c r="BZM35" s="41"/>
      <c r="BZN35" s="41"/>
      <c r="BZO35" s="41"/>
      <c r="BZP35" s="41"/>
      <c r="BZQ35" s="42"/>
      <c r="BZR35" s="40"/>
      <c r="BZS35" s="66"/>
      <c r="BZT35" s="66"/>
      <c r="BZU35" s="66"/>
      <c r="BZV35" s="41"/>
      <c r="BZW35" s="134"/>
      <c r="BZX35" s="41"/>
      <c r="BZY35" s="41"/>
      <c r="BZZ35" s="41"/>
      <c r="CAA35" s="41"/>
      <c r="CAB35" s="41"/>
      <c r="CAC35" s="139"/>
      <c r="CAD35" s="41"/>
      <c r="CAE35" s="41"/>
      <c r="CAF35" s="41"/>
      <c r="CAG35" s="41"/>
      <c r="CAH35" s="41"/>
      <c r="CAI35" s="76"/>
      <c r="CAJ35" s="41"/>
      <c r="CAK35" s="41"/>
      <c r="CAL35" s="41"/>
      <c r="CAM35" s="41"/>
      <c r="CAN35" s="41"/>
      <c r="CAO35" s="139"/>
      <c r="CAP35" s="41"/>
      <c r="CAQ35" s="41"/>
      <c r="CAR35" s="41"/>
      <c r="CAS35" s="41"/>
      <c r="CAT35" s="41"/>
      <c r="CAU35" s="76"/>
      <c r="CAV35" s="66"/>
      <c r="CAW35" s="66"/>
      <c r="CAX35" s="66"/>
      <c r="CAY35" s="66"/>
      <c r="CAZ35" s="41"/>
      <c r="CBA35" s="139"/>
      <c r="CBB35" s="41"/>
      <c r="CBC35" s="41"/>
      <c r="CBD35" s="41"/>
      <c r="CBE35" s="41"/>
      <c r="CBF35" s="41"/>
      <c r="CBG35" s="76"/>
      <c r="CBH35" s="41"/>
      <c r="CBI35" s="41"/>
      <c r="CBJ35" s="41"/>
      <c r="CBK35" s="41"/>
      <c r="CBL35" s="41"/>
      <c r="CBM35" s="139"/>
      <c r="CBN35" s="41"/>
      <c r="CBO35" s="41"/>
      <c r="CBP35" s="41"/>
      <c r="CBQ35" s="41"/>
      <c r="CBR35" s="41"/>
      <c r="CBS35" s="76"/>
      <c r="CBT35" s="41"/>
      <c r="CBU35" s="41"/>
      <c r="CBV35" s="41"/>
      <c r="CBW35" s="41"/>
      <c r="CBX35" s="41"/>
      <c r="CBY35" s="42"/>
      <c r="CBZ35" s="90"/>
    </row>
    <row r="36" spans="1:2106" ht="20.100000000000001" customHeight="1" x14ac:dyDescent="0.25">
      <c r="A36" s="100" t="s">
        <v>23</v>
      </c>
      <c r="B36" s="63" t="str">
        <f>IF(LEN(C57)=0,"",C57)</f>
        <v/>
      </c>
      <c r="C36" s="172"/>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28"/>
      <c r="BLW36" s="67"/>
      <c r="BLX36" s="67"/>
      <c r="BLY36" s="67"/>
      <c r="BLZ36" s="29"/>
      <c r="BMA36" s="131"/>
      <c r="BMB36" s="29"/>
      <c r="BMC36" s="29"/>
      <c r="BMD36" s="29"/>
      <c r="BME36" s="29"/>
      <c r="BMF36" s="29"/>
      <c r="BMG36" s="136"/>
      <c r="BMH36" s="29"/>
      <c r="BMI36" s="29"/>
      <c r="BMJ36" s="29"/>
      <c r="BMK36" s="29"/>
      <c r="BML36" s="29"/>
      <c r="BMM36" s="73"/>
      <c r="BMN36" s="29"/>
      <c r="BMO36" s="29"/>
      <c r="BMP36" s="29"/>
      <c r="BMQ36" s="29"/>
      <c r="BMR36" s="29"/>
      <c r="BMS36" s="136"/>
      <c r="BMT36" s="29"/>
      <c r="BMU36" s="29"/>
      <c r="BMV36" s="29"/>
      <c r="BMW36" s="29"/>
      <c r="BMX36" s="29"/>
      <c r="BMY36" s="73"/>
      <c r="BMZ36" s="67"/>
      <c r="BNA36" s="67"/>
      <c r="BNB36" s="67"/>
      <c r="BNC36" s="67"/>
      <c r="BND36" s="29"/>
      <c r="BNE36" s="136"/>
      <c r="BNF36" s="29"/>
      <c r="BNG36" s="29"/>
      <c r="BNH36" s="29"/>
      <c r="BNI36" s="29"/>
      <c r="BNJ36" s="29"/>
      <c r="BNK36" s="73"/>
      <c r="BNL36" s="29"/>
      <c r="BNM36" s="29"/>
      <c r="BNN36" s="29"/>
      <c r="BNO36" s="29"/>
      <c r="BNP36" s="29"/>
      <c r="BNQ36" s="136"/>
      <c r="BNR36" s="29"/>
      <c r="BNS36" s="29"/>
      <c r="BNT36" s="29"/>
      <c r="BNU36" s="29"/>
      <c r="BNV36" s="29"/>
      <c r="BNW36" s="73"/>
      <c r="BNX36" s="29"/>
      <c r="BNY36" s="29"/>
      <c r="BNZ36" s="29"/>
      <c r="BOA36" s="29"/>
      <c r="BOB36" s="29"/>
      <c r="BOC36" s="30"/>
      <c r="BOD36" s="28"/>
      <c r="BOE36" s="67"/>
      <c r="BOF36" s="67"/>
      <c r="BOG36" s="67"/>
      <c r="BOH36" s="29"/>
      <c r="BOI36" s="131"/>
      <c r="BOJ36" s="29"/>
      <c r="BOK36" s="29"/>
      <c r="BOL36" s="29"/>
      <c r="BOM36" s="29"/>
      <c r="BON36" s="29"/>
      <c r="BOO36" s="136"/>
      <c r="BOP36" s="29"/>
      <c r="BOQ36" s="29"/>
      <c r="BOR36" s="29"/>
      <c r="BOS36" s="29"/>
      <c r="BOT36" s="29"/>
      <c r="BOU36" s="73"/>
      <c r="BOV36" s="29"/>
      <c r="BOW36" s="29"/>
      <c r="BOX36" s="29"/>
      <c r="BOY36" s="29"/>
      <c r="BOZ36" s="29"/>
      <c r="BPA36" s="136"/>
      <c r="BPB36" s="29"/>
      <c r="BPC36" s="29"/>
      <c r="BPD36" s="29"/>
      <c r="BPE36" s="29"/>
      <c r="BPF36" s="29"/>
      <c r="BPG36" s="73"/>
      <c r="BPH36" s="67"/>
      <c r="BPI36" s="67"/>
      <c r="BPJ36" s="67"/>
      <c r="BPK36" s="67"/>
      <c r="BPL36" s="29"/>
      <c r="BPM36" s="136"/>
      <c r="BPN36" s="29"/>
      <c r="BPO36" s="29"/>
      <c r="BPP36" s="29"/>
      <c r="BPQ36" s="29"/>
      <c r="BPR36" s="29"/>
      <c r="BPS36" s="73"/>
      <c r="BPT36" s="29"/>
      <c r="BPU36" s="29"/>
      <c r="BPV36" s="29"/>
      <c r="BPW36" s="29"/>
      <c r="BPX36" s="29"/>
      <c r="BPY36" s="136"/>
      <c r="BPZ36" s="29"/>
      <c r="BQA36" s="29"/>
      <c r="BQB36" s="29"/>
      <c r="BQC36" s="29"/>
      <c r="BQD36" s="29"/>
      <c r="BQE36" s="73"/>
      <c r="BQF36" s="29"/>
      <c r="BQG36" s="29"/>
      <c r="BQH36" s="29"/>
      <c r="BQI36" s="29"/>
      <c r="BQJ36" s="29"/>
      <c r="BQK36" s="30"/>
      <c r="BQL36" s="28"/>
      <c r="BQM36" s="67"/>
      <c r="BQN36" s="67"/>
      <c r="BQO36" s="67"/>
      <c r="BQP36" s="29"/>
      <c r="BQQ36" s="131"/>
      <c r="BQR36" s="29"/>
      <c r="BQS36" s="29"/>
      <c r="BQT36" s="29"/>
      <c r="BQU36" s="29"/>
      <c r="BQV36" s="29"/>
      <c r="BQW36" s="136"/>
      <c r="BQX36" s="29"/>
      <c r="BQY36" s="29"/>
      <c r="BQZ36" s="29"/>
      <c r="BRA36" s="29"/>
      <c r="BRB36" s="29"/>
      <c r="BRC36" s="73"/>
      <c r="BRD36" s="29"/>
      <c r="BRE36" s="29"/>
      <c r="BRF36" s="29"/>
      <c r="BRG36" s="29"/>
      <c r="BRH36" s="29"/>
      <c r="BRI36" s="136"/>
      <c r="BRJ36" s="29"/>
      <c r="BRK36" s="29"/>
      <c r="BRL36" s="29"/>
      <c r="BRM36" s="29"/>
      <c r="BRN36" s="29"/>
      <c r="BRO36" s="73"/>
      <c r="BRP36" s="67"/>
      <c r="BRQ36" s="67"/>
      <c r="BRR36" s="67"/>
      <c r="BRS36" s="67"/>
      <c r="BRT36" s="29"/>
      <c r="BRU36" s="136"/>
      <c r="BRV36" s="29"/>
      <c r="BRW36" s="29"/>
      <c r="BRX36" s="29"/>
      <c r="BRY36" s="29"/>
      <c r="BRZ36" s="29"/>
      <c r="BSA36" s="73"/>
      <c r="BSB36" s="29"/>
      <c r="BSC36" s="29"/>
      <c r="BSD36" s="29"/>
      <c r="BSE36" s="29"/>
      <c r="BSF36" s="29"/>
      <c r="BSG36" s="136"/>
      <c r="BSH36" s="29"/>
      <c r="BSI36" s="29"/>
      <c r="BSJ36" s="29"/>
      <c r="BSK36" s="29"/>
      <c r="BSL36" s="29"/>
      <c r="BSM36" s="73"/>
      <c r="BSN36" s="29"/>
      <c r="BSO36" s="29"/>
      <c r="BSP36" s="29"/>
      <c r="BSQ36" s="29"/>
      <c r="BSR36" s="29"/>
      <c r="BSS36" s="30"/>
      <c r="BST36" s="28"/>
      <c r="BSU36" s="67"/>
      <c r="BSV36" s="67"/>
      <c r="BSW36" s="67"/>
      <c r="BSX36" s="29"/>
      <c r="BSY36" s="131"/>
      <c r="BSZ36" s="29"/>
      <c r="BTA36" s="29"/>
      <c r="BTB36" s="29"/>
      <c r="BTC36" s="29"/>
      <c r="BTD36" s="29"/>
      <c r="BTE36" s="136"/>
      <c r="BTF36" s="29"/>
      <c r="BTG36" s="29"/>
      <c r="BTH36" s="29"/>
      <c r="BTI36" s="29"/>
      <c r="BTJ36" s="29"/>
      <c r="BTK36" s="73"/>
      <c r="BTL36" s="29"/>
      <c r="BTM36" s="29"/>
      <c r="BTN36" s="29"/>
      <c r="BTO36" s="29"/>
      <c r="BTP36" s="29"/>
      <c r="BTQ36" s="136"/>
      <c r="BTR36" s="29"/>
      <c r="BTS36" s="29"/>
      <c r="BTT36" s="29"/>
      <c r="BTU36" s="29"/>
      <c r="BTV36" s="29"/>
      <c r="BTW36" s="73"/>
      <c r="BTX36" s="67"/>
      <c r="BTY36" s="67"/>
      <c r="BTZ36" s="67"/>
      <c r="BUA36" s="67"/>
      <c r="BUB36" s="29"/>
      <c r="BUC36" s="136"/>
      <c r="BUD36" s="29"/>
      <c r="BUE36" s="29"/>
      <c r="BUF36" s="29"/>
      <c r="BUG36" s="29"/>
      <c r="BUH36" s="29"/>
      <c r="BUI36" s="73"/>
      <c r="BUJ36" s="29"/>
      <c r="BUK36" s="29"/>
      <c r="BUL36" s="29"/>
      <c r="BUM36" s="29"/>
      <c r="BUN36" s="29"/>
      <c r="BUO36" s="136"/>
      <c r="BUP36" s="29"/>
      <c r="BUQ36" s="29"/>
      <c r="BUR36" s="29"/>
      <c r="BUS36" s="29"/>
      <c r="BUT36" s="29"/>
      <c r="BUU36" s="73"/>
      <c r="BUV36" s="29"/>
      <c r="BUW36" s="29"/>
      <c r="BUX36" s="29"/>
      <c r="BUY36" s="29"/>
      <c r="BUZ36" s="29"/>
      <c r="BVA36" s="30"/>
      <c r="BVB36" s="28"/>
      <c r="BVC36" s="67"/>
      <c r="BVD36" s="67"/>
      <c r="BVE36" s="67"/>
      <c r="BVF36" s="29"/>
      <c r="BVG36" s="131"/>
      <c r="BVH36" s="29"/>
      <c r="BVI36" s="29"/>
      <c r="BVJ36" s="29"/>
      <c r="BVK36" s="29"/>
      <c r="BVL36" s="29"/>
      <c r="BVM36" s="136"/>
      <c r="BVN36" s="29"/>
      <c r="BVO36" s="29"/>
      <c r="BVP36" s="29"/>
      <c r="BVQ36" s="29"/>
      <c r="BVR36" s="29"/>
      <c r="BVS36" s="73"/>
      <c r="BVT36" s="29"/>
      <c r="BVU36" s="29"/>
      <c r="BVV36" s="29"/>
      <c r="BVW36" s="29"/>
      <c r="BVX36" s="29"/>
      <c r="BVY36" s="136"/>
      <c r="BVZ36" s="29"/>
      <c r="BWA36" s="29"/>
      <c r="BWB36" s="29"/>
      <c r="BWC36" s="29"/>
      <c r="BWD36" s="29"/>
      <c r="BWE36" s="73"/>
      <c r="BWF36" s="67"/>
      <c r="BWG36" s="67"/>
      <c r="BWH36" s="67"/>
      <c r="BWI36" s="67"/>
      <c r="BWJ36" s="29"/>
      <c r="BWK36" s="136"/>
      <c r="BWL36" s="29"/>
      <c r="BWM36" s="29"/>
      <c r="BWN36" s="29"/>
      <c r="BWO36" s="29"/>
      <c r="BWP36" s="29"/>
      <c r="BWQ36" s="73"/>
      <c r="BWR36" s="29"/>
      <c r="BWS36" s="29"/>
      <c r="BWT36" s="29"/>
      <c r="BWU36" s="29"/>
      <c r="BWV36" s="29"/>
      <c r="BWW36" s="136"/>
      <c r="BWX36" s="29"/>
      <c r="BWY36" s="29"/>
      <c r="BWZ36" s="29"/>
      <c r="BXA36" s="29"/>
      <c r="BXB36" s="29"/>
      <c r="BXC36" s="73"/>
      <c r="BXD36" s="29"/>
      <c r="BXE36" s="29"/>
      <c r="BXF36" s="29"/>
      <c r="BXG36" s="29"/>
      <c r="BXH36" s="29"/>
      <c r="BXI36" s="30"/>
      <c r="BXJ36" s="28"/>
      <c r="BXK36" s="67"/>
      <c r="BXL36" s="67"/>
      <c r="BXM36" s="67"/>
      <c r="BXN36" s="29"/>
      <c r="BXO36" s="131"/>
      <c r="BXP36" s="29"/>
      <c r="BXQ36" s="29"/>
      <c r="BXR36" s="29"/>
      <c r="BXS36" s="29"/>
      <c r="BXT36" s="29"/>
      <c r="BXU36" s="136"/>
      <c r="BXV36" s="29"/>
      <c r="BXW36" s="29"/>
      <c r="BXX36" s="29"/>
      <c r="BXY36" s="29"/>
      <c r="BXZ36" s="29"/>
      <c r="BYA36" s="73"/>
      <c r="BYB36" s="29"/>
      <c r="BYC36" s="29"/>
      <c r="BYD36" s="29"/>
      <c r="BYE36" s="29"/>
      <c r="BYF36" s="29"/>
      <c r="BYG36" s="136"/>
      <c r="BYH36" s="29"/>
      <c r="BYI36" s="29"/>
      <c r="BYJ36" s="29"/>
      <c r="BYK36" s="29"/>
      <c r="BYL36" s="29"/>
      <c r="BYM36" s="73"/>
      <c r="BYN36" s="67"/>
      <c r="BYO36" s="67"/>
      <c r="BYP36" s="67"/>
      <c r="BYQ36" s="67"/>
      <c r="BYR36" s="29"/>
      <c r="BYS36" s="136"/>
      <c r="BYT36" s="29"/>
      <c r="BYU36" s="29"/>
      <c r="BYV36" s="29"/>
      <c r="BYW36" s="29"/>
      <c r="BYX36" s="29"/>
      <c r="BYY36" s="73"/>
      <c r="BYZ36" s="29"/>
      <c r="BZA36" s="29"/>
      <c r="BZB36" s="29"/>
      <c r="BZC36" s="29"/>
      <c r="BZD36" s="29"/>
      <c r="BZE36" s="136"/>
      <c r="BZF36" s="29"/>
      <c r="BZG36" s="29"/>
      <c r="BZH36" s="29"/>
      <c r="BZI36" s="29"/>
      <c r="BZJ36" s="29"/>
      <c r="BZK36" s="73"/>
      <c r="BZL36" s="29"/>
      <c r="BZM36" s="29"/>
      <c r="BZN36" s="29"/>
      <c r="BZO36" s="29"/>
      <c r="BZP36" s="29"/>
      <c r="BZQ36" s="30"/>
      <c r="BZR36" s="28"/>
      <c r="BZS36" s="67"/>
      <c r="BZT36" s="67"/>
      <c r="BZU36" s="67"/>
      <c r="BZV36" s="29"/>
      <c r="BZW36" s="131"/>
      <c r="BZX36" s="29"/>
      <c r="BZY36" s="29"/>
      <c r="BZZ36" s="29"/>
      <c r="CAA36" s="29"/>
      <c r="CAB36" s="29"/>
      <c r="CAC36" s="136"/>
      <c r="CAD36" s="29"/>
      <c r="CAE36" s="29"/>
      <c r="CAF36" s="29"/>
      <c r="CAG36" s="29"/>
      <c r="CAH36" s="29"/>
      <c r="CAI36" s="73"/>
      <c r="CAJ36" s="29"/>
      <c r="CAK36" s="29"/>
      <c r="CAL36" s="29"/>
      <c r="CAM36" s="29"/>
      <c r="CAN36" s="29"/>
      <c r="CAO36" s="136"/>
      <c r="CAP36" s="29"/>
      <c r="CAQ36" s="29"/>
      <c r="CAR36" s="29"/>
      <c r="CAS36" s="29"/>
      <c r="CAT36" s="29"/>
      <c r="CAU36" s="73"/>
      <c r="CAV36" s="67"/>
      <c r="CAW36" s="67"/>
      <c r="CAX36" s="67"/>
      <c r="CAY36" s="67"/>
      <c r="CAZ36" s="29"/>
      <c r="CBA36" s="136"/>
      <c r="CBB36" s="29"/>
      <c r="CBC36" s="29"/>
      <c r="CBD36" s="29"/>
      <c r="CBE36" s="29"/>
      <c r="CBF36" s="29"/>
      <c r="CBG36" s="73"/>
      <c r="CBH36" s="29"/>
      <c r="CBI36" s="29"/>
      <c r="CBJ36" s="29"/>
      <c r="CBK36" s="29"/>
      <c r="CBL36" s="29"/>
      <c r="CBM36" s="136"/>
      <c r="CBN36" s="29"/>
      <c r="CBO36" s="29"/>
      <c r="CBP36" s="29"/>
      <c r="CBQ36" s="29"/>
      <c r="CBR36" s="29"/>
      <c r="CBS36" s="73"/>
      <c r="CBT36" s="29"/>
      <c r="CBU36" s="29"/>
      <c r="CBV36" s="29"/>
      <c r="CBW36" s="29"/>
      <c r="CBX36" s="29"/>
      <c r="CBY36" s="30"/>
      <c r="CBZ36" s="90"/>
    </row>
    <row r="37" spans="1:2106" ht="20.100000000000001" customHeight="1" x14ac:dyDescent="0.25">
      <c r="A37" s="100" t="s">
        <v>22</v>
      </c>
      <c r="B37" s="63" t="str">
        <f>IF(LEN(C59)=0,"",C59)</f>
        <v/>
      </c>
      <c r="C37" s="170"/>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32"/>
      <c r="BLW37" s="64"/>
      <c r="BLX37" s="64"/>
      <c r="BLY37" s="64"/>
      <c r="BLZ37" s="33"/>
      <c r="BMA37" s="132"/>
      <c r="BMB37" s="33"/>
      <c r="BMC37" s="33"/>
      <c r="BMD37" s="33"/>
      <c r="BME37" s="33"/>
      <c r="BMF37" s="33"/>
      <c r="BMG37" s="137"/>
      <c r="BMH37" s="33"/>
      <c r="BMI37" s="33"/>
      <c r="BMJ37" s="33"/>
      <c r="BMK37" s="33"/>
      <c r="BML37" s="33"/>
      <c r="BMM37" s="74"/>
      <c r="BMN37" s="33"/>
      <c r="BMO37" s="33"/>
      <c r="BMP37" s="33"/>
      <c r="BMQ37" s="33"/>
      <c r="BMR37" s="33"/>
      <c r="BMS37" s="137"/>
      <c r="BMT37" s="33"/>
      <c r="BMU37" s="33"/>
      <c r="BMV37" s="33"/>
      <c r="BMW37" s="33"/>
      <c r="BMX37" s="33"/>
      <c r="BMY37" s="74"/>
      <c r="BMZ37" s="64"/>
      <c r="BNA37" s="64"/>
      <c r="BNB37" s="64"/>
      <c r="BNC37" s="64"/>
      <c r="BND37" s="33"/>
      <c r="BNE37" s="137"/>
      <c r="BNF37" s="33"/>
      <c r="BNG37" s="33"/>
      <c r="BNH37" s="33"/>
      <c r="BNI37" s="33"/>
      <c r="BNJ37" s="33"/>
      <c r="BNK37" s="74"/>
      <c r="BNL37" s="33"/>
      <c r="BNM37" s="33"/>
      <c r="BNN37" s="33"/>
      <c r="BNO37" s="33"/>
      <c r="BNP37" s="33"/>
      <c r="BNQ37" s="137"/>
      <c r="BNR37" s="33"/>
      <c r="BNS37" s="33"/>
      <c r="BNT37" s="33"/>
      <c r="BNU37" s="33"/>
      <c r="BNV37" s="33"/>
      <c r="BNW37" s="74"/>
      <c r="BNX37" s="33"/>
      <c r="BNY37" s="33"/>
      <c r="BNZ37" s="33"/>
      <c r="BOA37" s="33"/>
      <c r="BOB37" s="33"/>
      <c r="BOC37" s="34"/>
      <c r="BOD37" s="32"/>
      <c r="BOE37" s="64"/>
      <c r="BOF37" s="64"/>
      <c r="BOG37" s="64"/>
      <c r="BOH37" s="33"/>
      <c r="BOI37" s="132"/>
      <c r="BOJ37" s="33"/>
      <c r="BOK37" s="33"/>
      <c r="BOL37" s="33"/>
      <c r="BOM37" s="33"/>
      <c r="BON37" s="33"/>
      <c r="BOO37" s="137"/>
      <c r="BOP37" s="33"/>
      <c r="BOQ37" s="33"/>
      <c r="BOR37" s="33"/>
      <c r="BOS37" s="33"/>
      <c r="BOT37" s="33"/>
      <c r="BOU37" s="74"/>
      <c r="BOV37" s="33"/>
      <c r="BOW37" s="33"/>
      <c r="BOX37" s="33"/>
      <c r="BOY37" s="33"/>
      <c r="BOZ37" s="33"/>
      <c r="BPA37" s="137"/>
      <c r="BPB37" s="33"/>
      <c r="BPC37" s="33"/>
      <c r="BPD37" s="33"/>
      <c r="BPE37" s="33"/>
      <c r="BPF37" s="33"/>
      <c r="BPG37" s="74"/>
      <c r="BPH37" s="64"/>
      <c r="BPI37" s="64"/>
      <c r="BPJ37" s="64"/>
      <c r="BPK37" s="64"/>
      <c r="BPL37" s="33"/>
      <c r="BPM37" s="137"/>
      <c r="BPN37" s="33"/>
      <c r="BPO37" s="33"/>
      <c r="BPP37" s="33"/>
      <c r="BPQ37" s="33"/>
      <c r="BPR37" s="33"/>
      <c r="BPS37" s="74"/>
      <c r="BPT37" s="33"/>
      <c r="BPU37" s="33"/>
      <c r="BPV37" s="33"/>
      <c r="BPW37" s="33"/>
      <c r="BPX37" s="33"/>
      <c r="BPY37" s="137"/>
      <c r="BPZ37" s="33"/>
      <c r="BQA37" s="33"/>
      <c r="BQB37" s="33"/>
      <c r="BQC37" s="33"/>
      <c r="BQD37" s="33"/>
      <c r="BQE37" s="74"/>
      <c r="BQF37" s="33"/>
      <c r="BQG37" s="33"/>
      <c r="BQH37" s="33"/>
      <c r="BQI37" s="33"/>
      <c r="BQJ37" s="33"/>
      <c r="BQK37" s="34"/>
      <c r="BQL37" s="32"/>
      <c r="BQM37" s="64"/>
      <c r="BQN37" s="64"/>
      <c r="BQO37" s="64"/>
      <c r="BQP37" s="33"/>
      <c r="BQQ37" s="132"/>
      <c r="BQR37" s="33"/>
      <c r="BQS37" s="33"/>
      <c r="BQT37" s="33"/>
      <c r="BQU37" s="33"/>
      <c r="BQV37" s="33"/>
      <c r="BQW37" s="137"/>
      <c r="BQX37" s="33"/>
      <c r="BQY37" s="33"/>
      <c r="BQZ37" s="33"/>
      <c r="BRA37" s="33"/>
      <c r="BRB37" s="33"/>
      <c r="BRC37" s="74"/>
      <c r="BRD37" s="33"/>
      <c r="BRE37" s="33"/>
      <c r="BRF37" s="33"/>
      <c r="BRG37" s="33"/>
      <c r="BRH37" s="33"/>
      <c r="BRI37" s="137"/>
      <c r="BRJ37" s="33"/>
      <c r="BRK37" s="33"/>
      <c r="BRL37" s="33"/>
      <c r="BRM37" s="33"/>
      <c r="BRN37" s="33"/>
      <c r="BRO37" s="74"/>
      <c r="BRP37" s="64"/>
      <c r="BRQ37" s="64"/>
      <c r="BRR37" s="64"/>
      <c r="BRS37" s="64"/>
      <c r="BRT37" s="33"/>
      <c r="BRU37" s="137"/>
      <c r="BRV37" s="33"/>
      <c r="BRW37" s="33"/>
      <c r="BRX37" s="33"/>
      <c r="BRY37" s="33"/>
      <c r="BRZ37" s="33"/>
      <c r="BSA37" s="74"/>
      <c r="BSB37" s="33"/>
      <c r="BSC37" s="33"/>
      <c r="BSD37" s="33"/>
      <c r="BSE37" s="33"/>
      <c r="BSF37" s="33"/>
      <c r="BSG37" s="137"/>
      <c r="BSH37" s="33"/>
      <c r="BSI37" s="33"/>
      <c r="BSJ37" s="33"/>
      <c r="BSK37" s="33"/>
      <c r="BSL37" s="33"/>
      <c r="BSM37" s="74"/>
      <c r="BSN37" s="33"/>
      <c r="BSO37" s="33"/>
      <c r="BSP37" s="33"/>
      <c r="BSQ37" s="33"/>
      <c r="BSR37" s="33"/>
      <c r="BSS37" s="34"/>
      <c r="BST37" s="32"/>
      <c r="BSU37" s="64"/>
      <c r="BSV37" s="64"/>
      <c r="BSW37" s="64"/>
      <c r="BSX37" s="33"/>
      <c r="BSY37" s="132"/>
      <c r="BSZ37" s="33"/>
      <c r="BTA37" s="33"/>
      <c r="BTB37" s="33"/>
      <c r="BTC37" s="33"/>
      <c r="BTD37" s="33"/>
      <c r="BTE37" s="137"/>
      <c r="BTF37" s="33"/>
      <c r="BTG37" s="33"/>
      <c r="BTH37" s="33"/>
      <c r="BTI37" s="33"/>
      <c r="BTJ37" s="33"/>
      <c r="BTK37" s="74"/>
      <c r="BTL37" s="33"/>
      <c r="BTM37" s="33"/>
      <c r="BTN37" s="33"/>
      <c r="BTO37" s="33"/>
      <c r="BTP37" s="33"/>
      <c r="BTQ37" s="137"/>
      <c r="BTR37" s="33"/>
      <c r="BTS37" s="33"/>
      <c r="BTT37" s="33"/>
      <c r="BTU37" s="33"/>
      <c r="BTV37" s="33"/>
      <c r="BTW37" s="74"/>
      <c r="BTX37" s="64"/>
      <c r="BTY37" s="64"/>
      <c r="BTZ37" s="64"/>
      <c r="BUA37" s="64"/>
      <c r="BUB37" s="33"/>
      <c r="BUC37" s="137"/>
      <c r="BUD37" s="33"/>
      <c r="BUE37" s="33"/>
      <c r="BUF37" s="33"/>
      <c r="BUG37" s="33"/>
      <c r="BUH37" s="33"/>
      <c r="BUI37" s="74"/>
      <c r="BUJ37" s="33"/>
      <c r="BUK37" s="33"/>
      <c r="BUL37" s="33"/>
      <c r="BUM37" s="33"/>
      <c r="BUN37" s="33"/>
      <c r="BUO37" s="137"/>
      <c r="BUP37" s="33"/>
      <c r="BUQ37" s="33"/>
      <c r="BUR37" s="33"/>
      <c r="BUS37" s="33"/>
      <c r="BUT37" s="33"/>
      <c r="BUU37" s="74"/>
      <c r="BUV37" s="33"/>
      <c r="BUW37" s="33"/>
      <c r="BUX37" s="33"/>
      <c r="BUY37" s="33"/>
      <c r="BUZ37" s="33"/>
      <c r="BVA37" s="34"/>
      <c r="BVB37" s="32"/>
      <c r="BVC37" s="64"/>
      <c r="BVD37" s="64"/>
      <c r="BVE37" s="64"/>
      <c r="BVF37" s="33"/>
      <c r="BVG37" s="132"/>
      <c r="BVH37" s="33"/>
      <c r="BVI37" s="33"/>
      <c r="BVJ37" s="33"/>
      <c r="BVK37" s="33"/>
      <c r="BVL37" s="33"/>
      <c r="BVM37" s="137"/>
      <c r="BVN37" s="33"/>
      <c r="BVO37" s="33"/>
      <c r="BVP37" s="33"/>
      <c r="BVQ37" s="33"/>
      <c r="BVR37" s="33"/>
      <c r="BVS37" s="74"/>
      <c r="BVT37" s="33"/>
      <c r="BVU37" s="33"/>
      <c r="BVV37" s="33"/>
      <c r="BVW37" s="33"/>
      <c r="BVX37" s="33"/>
      <c r="BVY37" s="137"/>
      <c r="BVZ37" s="33"/>
      <c r="BWA37" s="33"/>
      <c r="BWB37" s="33"/>
      <c r="BWC37" s="33"/>
      <c r="BWD37" s="33"/>
      <c r="BWE37" s="74"/>
      <c r="BWF37" s="64"/>
      <c r="BWG37" s="64"/>
      <c r="BWH37" s="64"/>
      <c r="BWI37" s="64"/>
      <c r="BWJ37" s="33"/>
      <c r="BWK37" s="137"/>
      <c r="BWL37" s="33"/>
      <c r="BWM37" s="33"/>
      <c r="BWN37" s="33"/>
      <c r="BWO37" s="33"/>
      <c r="BWP37" s="33"/>
      <c r="BWQ37" s="74"/>
      <c r="BWR37" s="33"/>
      <c r="BWS37" s="33"/>
      <c r="BWT37" s="33"/>
      <c r="BWU37" s="33"/>
      <c r="BWV37" s="33"/>
      <c r="BWW37" s="137"/>
      <c r="BWX37" s="33"/>
      <c r="BWY37" s="33"/>
      <c r="BWZ37" s="33"/>
      <c r="BXA37" s="33"/>
      <c r="BXB37" s="33"/>
      <c r="BXC37" s="74"/>
      <c r="BXD37" s="33"/>
      <c r="BXE37" s="33"/>
      <c r="BXF37" s="33"/>
      <c r="BXG37" s="33"/>
      <c r="BXH37" s="33"/>
      <c r="BXI37" s="34"/>
      <c r="BXJ37" s="32"/>
      <c r="BXK37" s="64"/>
      <c r="BXL37" s="64"/>
      <c r="BXM37" s="64"/>
      <c r="BXN37" s="33"/>
      <c r="BXO37" s="132"/>
      <c r="BXP37" s="33"/>
      <c r="BXQ37" s="33"/>
      <c r="BXR37" s="33"/>
      <c r="BXS37" s="33"/>
      <c r="BXT37" s="33"/>
      <c r="BXU37" s="137"/>
      <c r="BXV37" s="33"/>
      <c r="BXW37" s="33"/>
      <c r="BXX37" s="33"/>
      <c r="BXY37" s="33"/>
      <c r="BXZ37" s="33"/>
      <c r="BYA37" s="74"/>
      <c r="BYB37" s="33"/>
      <c r="BYC37" s="33"/>
      <c r="BYD37" s="33"/>
      <c r="BYE37" s="33"/>
      <c r="BYF37" s="33"/>
      <c r="BYG37" s="137"/>
      <c r="BYH37" s="33"/>
      <c r="BYI37" s="33"/>
      <c r="BYJ37" s="33"/>
      <c r="BYK37" s="33"/>
      <c r="BYL37" s="33"/>
      <c r="BYM37" s="74"/>
      <c r="BYN37" s="64"/>
      <c r="BYO37" s="64"/>
      <c r="BYP37" s="64"/>
      <c r="BYQ37" s="64"/>
      <c r="BYR37" s="33"/>
      <c r="BYS37" s="137"/>
      <c r="BYT37" s="33"/>
      <c r="BYU37" s="33"/>
      <c r="BYV37" s="33"/>
      <c r="BYW37" s="33"/>
      <c r="BYX37" s="33"/>
      <c r="BYY37" s="74"/>
      <c r="BYZ37" s="33"/>
      <c r="BZA37" s="33"/>
      <c r="BZB37" s="33"/>
      <c r="BZC37" s="33"/>
      <c r="BZD37" s="33"/>
      <c r="BZE37" s="137"/>
      <c r="BZF37" s="33"/>
      <c r="BZG37" s="33"/>
      <c r="BZH37" s="33"/>
      <c r="BZI37" s="33"/>
      <c r="BZJ37" s="33"/>
      <c r="BZK37" s="74"/>
      <c r="BZL37" s="33"/>
      <c r="BZM37" s="33"/>
      <c r="BZN37" s="33"/>
      <c r="BZO37" s="33"/>
      <c r="BZP37" s="33"/>
      <c r="BZQ37" s="34"/>
      <c r="BZR37" s="32"/>
      <c r="BZS37" s="64"/>
      <c r="BZT37" s="64"/>
      <c r="BZU37" s="64"/>
      <c r="BZV37" s="33"/>
      <c r="BZW37" s="132"/>
      <c r="BZX37" s="33"/>
      <c r="BZY37" s="33"/>
      <c r="BZZ37" s="33"/>
      <c r="CAA37" s="33"/>
      <c r="CAB37" s="33"/>
      <c r="CAC37" s="137"/>
      <c r="CAD37" s="33"/>
      <c r="CAE37" s="33"/>
      <c r="CAF37" s="33"/>
      <c r="CAG37" s="33"/>
      <c r="CAH37" s="33"/>
      <c r="CAI37" s="74"/>
      <c r="CAJ37" s="33"/>
      <c r="CAK37" s="33"/>
      <c r="CAL37" s="33"/>
      <c r="CAM37" s="33"/>
      <c r="CAN37" s="33"/>
      <c r="CAO37" s="137"/>
      <c r="CAP37" s="33"/>
      <c r="CAQ37" s="33"/>
      <c r="CAR37" s="33"/>
      <c r="CAS37" s="33"/>
      <c r="CAT37" s="33"/>
      <c r="CAU37" s="74"/>
      <c r="CAV37" s="64"/>
      <c r="CAW37" s="64"/>
      <c r="CAX37" s="64"/>
      <c r="CAY37" s="64"/>
      <c r="CAZ37" s="33"/>
      <c r="CBA37" s="137"/>
      <c r="CBB37" s="33"/>
      <c r="CBC37" s="33"/>
      <c r="CBD37" s="33"/>
      <c r="CBE37" s="33"/>
      <c r="CBF37" s="33"/>
      <c r="CBG37" s="74"/>
      <c r="CBH37" s="33"/>
      <c r="CBI37" s="33"/>
      <c r="CBJ37" s="33"/>
      <c r="CBK37" s="33"/>
      <c r="CBL37" s="33"/>
      <c r="CBM37" s="137"/>
      <c r="CBN37" s="33"/>
      <c r="CBO37" s="33"/>
      <c r="CBP37" s="33"/>
      <c r="CBQ37" s="33"/>
      <c r="CBR37" s="33"/>
      <c r="CBS37" s="74"/>
      <c r="CBT37" s="33"/>
      <c r="CBU37" s="33"/>
      <c r="CBV37" s="33"/>
      <c r="CBW37" s="33"/>
      <c r="CBX37" s="33"/>
      <c r="CBY37" s="34"/>
      <c r="CBZ37" s="90"/>
    </row>
    <row r="38" spans="1:2106" ht="20.100000000000001" customHeight="1" x14ac:dyDescent="0.3">
      <c r="A38" s="100" t="s">
        <v>23</v>
      </c>
      <c r="B38" s="63" t="str">
        <f>IF(LEN(C61)=0,"",C61)</f>
        <v/>
      </c>
      <c r="C38" s="171"/>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36"/>
      <c r="BLW38" s="65"/>
      <c r="BLX38" s="65"/>
      <c r="BLY38" s="65"/>
      <c r="BLZ38" s="37"/>
      <c r="BMA38" s="133"/>
      <c r="BMB38" s="37"/>
      <c r="BMC38" s="37"/>
      <c r="BMD38" s="37"/>
      <c r="BME38" s="37"/>
      <c r="BMF38" s="37"/>
      <c r="BMG38" s="138"/>
      <c r="BMH38" s="37"/>
      <c r="BMI38" s="37"/>
      <c r="BMJ38" s="37"/>
      <c r="BMK38" s="37"/>
      <c r="BML38" s="37"/>
      <c r="BMM38" s="75"/>
      <c r="BMN38" s="37"/>
      <c r="BMO38" s="37"/>
      <c r="BMP38" s="37"/>
      <c r="BMQ38" s="37"/>
      <c r="BMR38" s="37"/>
      <c r="BMS38" s="138"/>
      <c r="BMT38" s="37"/>
      <c r="BMU38" s="37"/>
      <c r="BMV38" s="37"/>
      <c r="BMW38" s="37"/>
      <c r="BMX38" s="37"/>
      <c r="BMY38" s="75"/>
      <c r="BMZ38" s="65"/>
      <c r="BNA38" s="65"/>
      <c r="BNB38" s="65"/>
      <c r="BNC38" s="65"/>
      <c r="BND38" s="37"/>
      <c r="BNE38" s="138"/>
      <c r="BNF38" s="37"/>
      <c r="BNG38" s="37"/>
      <c r="BNH38" s="37"/>
      <c r="BNI38" s="37"/>
      <c r="BNJ38" s="37"/>
      <c r="BNK38" s="75"/>
      <c r="BNL38" s="37"/>
      <c r="BNM38" s="37"/>
      <c r="BNN38" s="37"/>
      <c r="BNO38" s="37"/>
      <c r="BNP38" s="37"/>
      <c r="BNQ38" s="138"/>
      <c r="BNR38" s="37"/>
      <c r="BNS38" s="37"/>
      <c r="BNT38" s="37"/>
      <c r="BNU38" s="37"/>
      <c r="BNV38" s="37"/>
      <c r="BNW38" s="75"/>
      <c r="BNX38" s="37"/>
      <c r="BNY38" s="37"/>
      <c r="BNZ38" s="37"/>
      <c r="BOA38" s="37"/>
      <c r="BOB38" s="37"/>
      <c r="BOC38" s="38"/>
      <c r="BOD38" s="36"/>
      <c r="BOE38" s="65"/>
      <c r="BOF38" s="65"/>
      <c r="BOG38" s="65"/>
      <c r="BOH38" s="37"/>
      <c r="BOI38" s="133"/>
      <c r="BOJ38" s="37"/>
      <c r="BOK38" s="37"/>
      <c r="BOL38" s="37"/>
      <c r="BOM38" s="37"/>
      <c r="BON38" s="37"/>
      <c r="BOO38" s="138"/>
      <c r="BOP38" s="37"/>
      <c r="BOQ38" s="37"/>
      <c r="BOR38" s="37"/>
      <c r="BOS38" s="37"/>
      <c r="BOT38" s="37"/>
      <c r="BOU38" s="75"/>
      <c r="BOV38" s="37"/>
      <c r="BOW38" s="37"/>
      <c r="BOX38" s="37"/>
      <c r="BOY38" s="37"/>
      <c r="BOZ38" s="37"/>
      <c r="BPA38" s="138"/>
      <c r="BPB38" s="37"/>
      <c r="BPC38" s="37"/>
      <c r="BPD38" s="37"/>
      <c r="BPE38" s="37"/>
      <c r="BPF38" s="37"/>
      <c r="BPG38" s="75"/>
      <c r="BPH38" s="65"/>
      <c r="BPI38" s="65"/>
      <c r="BPJ38" s="65"/>
      <c r="BPK38" s="65"/>
      <c r="BPL38" s="37"/>
      <c r="BPM38" s="138"/>
      <c r="BPN38" s="37"/>
      <c r="BPO38" s="37"/>
      <c r="BPP38" s="37"/>
      <c r="BPQ38" s="37"/>
      <c r="BPR38" s="37"/>
      <c r="BPS38" s="75"/>
      <c r="BPT38" s="37"/>
      <c r="BPU38" s="37"/>
      <c r="BPV38" s="37"/>
      <c r="BPW38" s="37"/>
      <c r="BPX38" s="37"/>
      <c r="BPY38" s="138"/>
      <c r="BPZ38" s="37"/>
      <c r="BQA38" s="37"/>
      <c r="BQB38" s="37"/>
      <c r="BQC38" s="37"/>
      <c r="BQD38" s="37"/>
      <c r="BQE38" s="75"/>
      <c r="BQF38" s="37"/>
      <c r="BQG38" s="37"/>
      <c r="BQH38" s="37"/>
      <c r="BQI38" s="37"/>
      <c r="BQJ38" s="37"/>
      <c r="BQK38" s="38"/>
      <c r="BQL38" s="36"/>
      <c r="BQM38" s="65"/>
      <c r="BQN38" s="65"/>
      <c r="BQO38" s="65"/>
      <c r="BQP38" s="37"/>
      <c r="BQQ38" s="133"/>
      <c r="BQR38" s="37"/>
      <c r="BQS38" s="37"/>
      <c r="BQT38" s="37"/>
      <c r="BQU38" s="37"/>
      <c r="BQV38" s="37"/>
      <c r="BQW38" s="138"/>
      <c r="BQX38" s="37"/>
      <c r="BQY38" s="37"/>
      <c r="BQZ38" s="37"/>
      <c r="BRA38" s="37"/>
      <c r="BRB38" s="37"/>
      <c r="BRC38" s="75"/>
      <c r="BRD38" s="37"/>
      <c r="BRE38" s="37"/>
      <c r="BRF38" s="37"/>
      <c r="BRG38" s="37"/>
      <c r="BRH38" s="37"/>
      <c r="BRI38" s="138"/>
      <c r="BRJ38" s="37"/>
      <c r="BRK38" s="37"/>
      <c r="BRL38" s="37"/>
      <c r="BRM38" s="37"/>
      <c r="BRN38" s="37"/>
      <c r="BRO38" s="75"/>
      <c r="BRP38" s="65"/>
      <c r="BRQ38" s="65"/>
      <c r="BRR38" s="65"/>
      <c r="BRS38" s="65"/>
      <c r="BRT38" s="37"/>
      <c r="BRU38" s="138"/>
      <c r="BRV38" s="37"/>
      <c r="BRW38" s="37"/>
      <c r="BRX38" s="37"/>
      <c r="BRY38" s="37"/>
      <c r="BRZ38" s="37"/>
      <c r="BSA38" s="75"/>
      <c r="BSB38" s="37"/>
      <c r="BSC38" s="37"/>
      <c r="BSD38" s="37"/>
      <c r="BSE38" s="37"/>
      <c r="BSF38" s="37"/>
      <c r="BSG38" s="138"/>
      <c r="BSH38" s="37"/>
      <c r="BSI38" s="37"/>
      <c r="BSJ38" s="37"/>
      <c r="BSK38" s="37"/>
      <c r="BSL38" s="37"/>
      <c r="BSM38" s="75"/>
      <c r="BSN38" s="37"/>
      <c r="BSO38" s="37"/>
      <c r="BSP38" s="37"/>
      <c r="BSQ38" s="37"/>
      <c r="BSR38" s="37"/>
      <c r="BSS38" s="38"/>
      <c r="BST38" s="36"/>
      <c r="BSU38" s="65"/>
      <c r="BSV38" s="65"/>
      <c r="BSW38" s="65"/>
      <c r="BSX38" s="37"/>
      <c r="BSY38" s="133"/>
      <c r="BSZ38" s="37"/>
      <c r="BTA38" s="37"/>
      <c r="BTB38" s="37"/>
      <c r="BTC38" s="37"/>
      <c r="BTD38" s="37"/>
      <c r="BTE38" s="138"/>
      <c r="BTF38" s="37"/>
      <c r="BTG38" s="37"/>
      <c r="BTH38" s="37"/>
      <c r="BTI38" s="37"/>
      <c r="BTJ38" s="37"/>
      <c r="BTK38" s="75"/>
      <c r="BTL38" s="37"/>
      <c r="BTM38" s="37"/>
      <c r="BTN38" s="37"/>
      <c r="BTO38" s="37"/>
      <c r="BTP38" s="37"/>
      <c r="BTQ38" s="138"/>
      <c r="BTR38" s="37"/>
      <c r="BTS38" s="37"/>
      <c r="BTT38" s="37"/>
      <c r="BTU38" s="37"/>
      <c r="BTV38" s="37"/>
      <c r="BTW38" s="75"/>
      <c r="BTX38" s="65"/>
      <c r="BTY38" s="65"/>
      <c r="BTZ38" s="65"/>
      <c r="BUA38" s="65"/>
      <c r="BUB38" s="37"/>
      <c r="BUC38" s="138"/>
      <c r="BUD38" s="37"/>
      <c r="BUE38" s="37"/>
      <c r="BUF38" s="37"/>
      <c r="BUG38" s="37"/>
      <c r="BUH38" s="37"/>
      <c r="BUI38" s="75"/>
      <c r="BUJ38" s="37"/>
      <c r="BUK38" s="37"/>
      <c r="BUL38" s="37"/>
      <c r="BUM38" s="37"/>
      <c r="BUN38" s="37"/>
      <c r="BUO38" s="138"/>
      <c r="BUP38" s="37"/>
      <c r="BUQ38" s="37"/>
      <c r="BUR38" s="37"/>
      <c r="BUS38" s="37"/>
      <c r="BUT38" s="37"/>
      <c r="BUU38" s="75"/>
      <c r="BUV38" s="37"/>
      <c r="BUW38" s="37"/>
      <c r="BUX38" s="37"/>
      <c r="BUY38" s="37"/>
      <c r="BUZ38" s="37"/>
      <c r="BVA38" s="38"/>
      <c r="BVB38" s="36"/>
      <c r="BVC38" s="65"/>
      <c r="BVD38" s="65"/>
      <c r="BVE38" s="65"/>
      <c r="BVF38" s="37"/>
      <c r="BVG38" s="133"/>
      <c r="BVH38" s="37"/>
      <c r="BVI38" s="37"/>
      <c r="BVJ38" s="37"/>
      <c r="BVK38" s="37"/>
      <c r="BVL38" s="37"/>
      <c r="BVM38" s="138"/>
      <c r="BVN38" s="37"/>
      <c r="BVO38" s="37"/>
      <c r="BVP38" s="37"/>
      <c r="BVQ38" s="37"/>
      <c r="BVR38" s="37"/>
      <c r="BVS38" s="75"/>
      <c r="BVT38" s="37"/>
      <c r="BVU38" s="37"/>
      <c r="BVV38" s="37"/>
      <c r="BVW38" s="37"/>
      <c r="BVX38" s="37"/>
      <c r="BVY38" s="138"/>
      <c r="BVZ38" s="37"/>
      <c r="BWA38" s="37"/>
      <c r="BWB38" s="37"/>
      <c r="BWC38" s="37"/>
      <c r="BWD38" s="37"/>
      <c r="BWE38" s="75"/>
      <c r="BWF38" s="65"/>
      <c r="BWG38" s="65"/>
      <c r="BWH38" s="65"/>
      <c r="BWI38" s="65"/>
      <c r="BWJ38" s="37"/>
      <c r="BWK38" s="138"/>
      <c r="BWL38" s="37"/>
      <c r="BWM38" s="37"/>
      <c r="BWN38" s="37"/>
      <c r="BWO38" s="37"/>
      <c r="BWP38" s="37"/>
      <c r="BWQ38" s="75"/>
      <c r="BWR38" s="37"/>
      <c r="BWS38" s="37"/>
      <c r="BWT38" s="37"/>
      <c r="BWU38" s="37"/>
      <c r="BWV38" s="37"/>
      <c r="BWW38" s="138"/>
      <c r="BWX38" s="37"/>
      <c r="BWY38" s="37"/>
      <c r="BWZ38" s="37"/>
      <c r="BXA38" s="37"/>
      <c r="BXB38" s="37"/>
      <c r="BXC38" s="75"/>
      <c r="BXD38" s="37"/>
      <c r="BXE38" s="37"/>
      <c r="BXF38" s="37"/>
      <c r="BXG38" s="37"/>
      <c r="BXH38" s="37"/>
      <c r="BXI38" s="38"/>
      <c r="BXJ38" s="36"/>
      <c r="BXK38" s="65"/>
      <c r="BXL38" s="65"/>
      <c r="BXM38" s="65"/>
      <c r="BXN38" s="37"/>
      <c r="BXO38" s="133"/>
      <c r="BXP38" s="37"/>
      <c r="BXQ38" s="37"/>
      <c r="BXR38" s="37"/>
      <c r="BXS38" s="37"/>
      <c r="BXT38" s="37"/>
      <c r="BXU38" s="138"/>
      <c r="BXV38" s="37"/>
      <c r="BXW38" s="37"/>
      <c r="BXX38" s="37"/>
      <c r="BXY38" s="37"/>
      <c r="BXZ38" s="37"/>
      <c r="BYA38" s="75"/>
      <c r="BYB38" s="37"/>
      <c r="BYC38" s="37"/>
      <c r="BYD38" s="37"/>
      <c r="BYE38" s="37"/>
      <c r="BYF38" s="37"/>
      <c r="BYG38" s="138"/>
      <c r="BYH38" s="37"/>
      <c r="BYI38" s="37"/>
      <c r="BYJ38" s="37"/>
      <c r="BYK38" s="37"/>
      <c r="BYL38" s="37"/>
      <c r="BYM38" s="75"/>
      <c r="BYN38" s="65"/>
      <c r="BYO38" s="65"/>
      <c r="BYP38" s="65"/>
      <c r="BYQ38" s="65"/>
      <c r="BYR38" s="37"/>
      <c r="BYS38" s="138"/>
      <c r="BYT38" s="37"/>
      <c r="BYU38" s="37"/>
      <c r="BYV38" s="37"/>
      <c r="BYW38" s="37"/>
      <c r="BYX38" s="37"/>
      <c r="BYY38" s="75"/>
      <c r="BYZ38" s="37"/>
      <c r="BZA38" s="37"/>
      <c r="BZB38" s="37"/>
      <c r="BZC38" s="37"/>
      <c r="BZD38" s="37"/>
      <c r="BZE38" s="138"/>
      <c r="BZF38" s="37"/>
      <c r="BZG38" s="37"/>
      <c r="BZH38" s="37"/>
      <c r="BZI38" s="37"/>
      <c r="BZJ38" s="37"/>
      <c r="BZK38" s="75"/>
      <c r="BZL38" s="37"/>
      <c r="BZM38" s="37"/>
      <c r="BZN38" s="37"/>
      <c r="BZO38" s="37"/>
      <c r="BZP38" s="37"/>
      <c r="BZQ38" s="38"/>
      <c r="BZR38" s="36"/>
      <c r="BZS38" s="65"/>
      <c r="BZT38" s="65"/>
      <c r="BZU38" s="65"/>
      <c r="BZV38" s="37"/>
      <c r="BZW38" s="133"/>
      <c r="BZX38" s="37"/>
      <c r="BZY38" s="37"/>
      <c r="BZZ38" s="37"/>
      <c r="CAA38" s="37"/>
      <c r="CAB38" s="37"/>
      <c r="CAC38" s="138"/>
      <c r="CAD38" s="37"/>
      <c r="CAE38" s="37"/>
      <c r="CAF38" s="37"/>
      <c r="CAG38" s="37"/>
      <c r="CAH38" s="37"/>
      <c r="CAI38" s="75"/>
      <c r="CAJ38" s="37"/>
      <c r="CAK38" s="37"/>
      <c r="CAL38" s="37"/>
      <c r="CAM38" s="37"/>
      <c r="CAN38" s="37"/>
      <c r="CAO38" s="138"/>
      <c r="CAP38" s="37"/>
      <c r="CAQ38" s="37"/>
      <c r="CAR38" s="37"/>
      <c r="CAS38" s="37"/>
      <c r="CAT38" s="37"/>
      <c r="CAU38" s="75"/>
      <c r="CAV38" s="65"/>
      <c r="CAW38" s="65"/>
      <c r="CAX38" s="65"/>
      <c r="CAY38" s="65"/>
      <c r="CAZ38" s="37"/>
      <c r="CBA38" s="138"/>
      <c r="CBB38" s="37"/>
      <c r="CBC38" s="37"/>
      <c r="CBD38" s="37"/>
      <c r="CBE38" s="37"/>
      <c r="CBF38" s="37"/>
      <c r="CBG38" s="75"/>
      <c r="CBH38" s="37"/>
      <c r="CBI38" s="37"/>
      <c r="CBJ38" s="37"/>
      <c r="CBK38" s="37"/>
      <c r="CBL38" s="37"/>
      <c r="CBM38" s="138"/>
      <c r="CBN38" s="37"/>
      <c r="CBO38" s="37"/>
      <c r="CBP38" s="37"/>
      <c r="CBQ38" s="37"/>
      <c r="CBR38" s="37"/>
      <c r="CBS38" s="75"/>
      <c r="CBT38" s="37"/>
      <c r="CBU38" s="37"/>
      <c r="CBV38" s="37"/>
      <c r="CBW38" s="37"/>
      <c r="CBX38" s="37"/>
      <c r="CBY38" s="38"/>
      <c r="CBZ38" s="90"/>
    </row>
    <row r="39" spans="1:2106" ht="20.100000000000001" customHeight="1" x14ac:dyDescent="0.25">
      <c r="A39" s="100" t="s">
        <v>22</v>
      </c>
      <c r="B39" s="63" t="str">
        <f>IF(LEN(C63)=0,"",C63)</f>
        <v/>
      </c>
      <c r="C39" s="170"/>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40"/>
      <c r="BLW39" s="66"/>
      <c r="BLX39" s="66"/>
      <c r="BLY39" s="66"/>
      <c r="BLZ39" s="41"/>
      <c r="BMA39" s="134"/>
      <c r="BMB39" s="41"/>
      <c r="BMC39" s="41"/>
      <c r="BMD39" s="41"/>
      <c r="BME39" s="41"/>
      <c r="BMF39" s="41"/>
      <c r="BMG39" s="139"/>
      <c r="BMH39" s="41"/>
      <c r="BMI39" s="41"/>
      <c r="BMJ39" s="41"/>
      <c r="BMK39" s="41"/>
      <c r="BML39" s="41"/>
      <c r="BMM39" s="76"/>
      <c r="BMN39" s="41"/>
      <c r="BMO39" s="41"/>
      <c r="BMP39" s="41"/>
      <c r="BMQ39" s="41"/>
      <c r="BMR39" s="41"/>
      <c r="BMS39" s="139"/>
      <c r="BMT39" s="41"/>
      <c r="BMU39" s="41"/>
      <c r="BMV39" s="41"/>
      <c r="BMW39" s="41"/>
      <c r="BMX39" s="41"/>
      <c r="BMY39" s="76"/>
      <c r="BMZ39" s="66"/>
      <c r="BNA39" s="66"/>
      <c r="BNB39" s="66"/>
      <c r="BNC39" s="66"/>
      <c r="BND39" s="41"/>
      <c r="BNE39" s="139"/>
      <c r="BNF39" s="41"/>
      <c r="BNG39" s="41"/>
      <c r="BNH39" s="41"/>
      <c r="BNI39" s="41"/>
      <c r="BNJ39" s="41"/>
      <c r="BNK39" s="76"/>
      <c r="BNL39" s="41"/>
      <c r="BNM39" s="41"/>
      <c r="BNN39" s="41"/>
      <c r="BNO39" s="41"/>
      <c r="BNP39" s="41"/>
      <c r="BNQ39" s="139"/>
      <c r="BNR39" s="41"/>
      <c r="BNS39" s="41"/>
      <c r="BNT39" s="41"/>
      <c r="BNU39" s="41"/>
      <c r="BNV39" s="41"/>
      <c r="BNW39" s="76"/>
      <c r="BNX39" s="41"/>
      <c r="BNY39" s="41"/>
      <c r="BNZ39" s="41"/>
      <c r="BOA39" s="41"/>
      <c r="BOB39" s="41"/>
      <c r="BOC39" s="42"/>
      <c r="BOD39" s="40"/>
      <c r="BOE39" s="66"/>
      <c r="BOF39" s="66"/>
      <c r="BOG39" s="66"/>
      <c r="BOH39" s="41"/>
      <c r="BOI39" s="134"/>
      <c r="BOJ39" s="41"/>
      <c r="BOK39" s="41"/>
      <c r="BOL39" s="41"/>
      <c r="BOM39" s="41"/>
      <c r="BON39" s="41"/>
      <c r="BOO39" s="139"/>
      <c r="BOP39" s="41"/>
      <c r="BOQ39" s="41"/>
      <c r="BOR39" s="41"/>
      <c r="BOS39" s="41"/>
      <c r="BOT39" s="41"/>
      <c r="BOU39" s="76"/>
      <c r="BOV39" s="41"/>
      <c r="BOW39" s="41"/>
      <c r="BOX39" s="41"/>
      <c r="BOY39" s="41"/>
      <c r="BOZ39" s="41"/>
      <c r="BPA39" s="139"/>
      <c r="BPB39" s="41"/>
      <c r="BPC39" s="41"/>
      <c r="BPD39" s="41"/>
      <c r="BPE39" s="41"/>
      <c r="BPF39" s="41"/>
      <c r="BPG39" s="76"/>
      <c r="BPH39" s="66"/>
      <c r="BPI39" s="66"/>
      <c r="BPJ39" s="66"/>
      <c r="BPK39" s="66"/>
      <c r="BPL39" s="41"/>
      <c r="BPM39" s="139"/>
      <c r="BPN39" s="41"/>
      <c r="BPO39" s="41"/>
      <c r="BPP39" s="41"/>
      <c r="BPQ39" s="41"/>
      <c r="BPR39" s="41"/>
      <c r="BPS39" s="76"/>
      <c r="BPT39" s="41"/>
      <c r="BPU39" s="41"/>
      <c r="BPV39" s="41"/>
      <c r="BPW39" s="41"/>
      <c r="BPX39" s="41"/>
      <c r="BPY39" s="139"/>
      <c r="BPZ39" s="41"/>
      <c r="BQA39" s="41"/>
      <c r="BQB39" s="41"/>
      <c r="BQC39" s="41"/>
      <c r="BQD39" s="41"/>
      <c r="BQE39" s="76"/>
      <c r="BQF39" s="41"/>
      <c r="BQG39" s="41"/>
      <c r="BQH39" s="41"/>
      <c r="BQI39" s="41"/>
      <c r="BQJ39" s="41"/>
      <c r="BQK39" s="42"/>
      <c r="BQL39" s="40"/>
      <c r="BQM39" s="66"/>
      <c r="BQN39" s="66"/>
      <c r="BQO39" s="66"/>
      <c r="BQP39" s="41"/>
      <c r="BQQ39" s="134"/>
      <c r="BQR39" s="41"/>
      <c r="BQS39" s="41"/>
      <c r="BQT39" s="41"/>
      <c r="BQU39" s="41"/>
      <c r="BQV39" s="41"/>
      <c r="BQW39" s="139"/>
      <c r="BQX39" s="41"/>
      <c r="BQY39" s="41"/>
      <c r="BQZ39" s="41"/>
      <c r="BRA39" s="41"/>
      <c r="BRB39" s="41"/>
      <c r="BRC39" s="76"/>
      <c r="BRD39" s="41"/>
      <c r="BRE39" s="41"/>
      <c r="BRF39" s="41"/>
      <c r="BRG39" s="41"/>
      <c r="BRH39" s="41"/>
      <c r="BRI39" s="139"/>
      <c r="BRJ39" s="41"/>
      <c r="BRK39" s="41"/>
      <c r="BRL39" s="41"/>
      <c r="BRM39" s="41"/>
      <c r="BRN39" s="41"/>
      <c r="BRO39" s="76"/>
      <c r="BRP39" s="66"/>
      <c r="BRQ39" s="66"/>
      <c r="BRR39" s="66"/>
      <c r="BRS39" s="66"/>
      <c r="BRT39" s="41"/>
      <c r="BRU39" s="139"/>
      <c r="BRV39" s="41"/>
      <c r="BRW39" s="41"/>
      <c r="BRX39" s="41"/>
      <c r="BRY39" s="41"/>
      <c r="BRZ39" s="41"/>
      <c r="BSA39" s="76"/>
      <c r="BSB39" s="41"/>
      <c r="BSC39" s="41"/>
      <c r="BSD39" s="41"/>
      <c r="BSE39" s="41"/>
      <c r="BSF39" s="41"/>
      <c r="BSG39" s="139"/>
      <c r="BSH39" s="41"/>
      <c r="BSI39" s="41"/>
      <c r="BSJ39" s="41"/>
      <c r="BSK39" s="41"/>
      <c r="BSL39" s="41"/>
      <c r="BSM39" s="76"/>
      <c r="BSN39" s="41"/>
      <c r="BSO39" s="41"/>
      <c r="BSP39" s="41"/>
      <c r="BSQ39" s="41"/>
      <c r="BSR39" s="41"/>
      <c r="BSS39" s="42"/>
      <c r="BST39" s="40"/>
      <c r="BSU39" s="66"/>
      <c r="BSV39" s="66"/>
      <c r="BSW39" s="66"/>
      <c r="BSX39" s="41"/>
      <c r="BSY39" s="134"/>
      <c r="BSZ39" s="41"/>
      <c r="BTA39" s="41"/>
      <c r="BTB39" s="41"/>
      <c r="BTC39" s="41"/>
      <c r="BTD39" s="41"/>
      <c r="BTE39" s="139"/>
      <c r="BTF39" s="41"/>
      <c r="BTG39" s="41"/>
      <c r="BTH39" s="41"/>
      <c r="BTI39" s="41"/>
      <c r="BTJ39" s="41"/>
      <c r="BTK39" s="76"/>
      <c r="BTL39" s="41"/>
      <c r="BTM39" s="41"/>
      <c r="BTN39" s="41"/>
      <c r="BTO39" s="41"/>
      <c r="BTP39" s="41"/>
      <c r="BTQ39" s="139"/>
      <c r="BTR39" s="41"/>
      <c r="BTS39" s="41"/>
      <c r="BTT39" s="41"/>
      <c r="BTU39" s="41"/>
      <c r="BTV39" s="41"/>
      <c r="BTW39" s="76"/>
      <c r="BTX39" s="66"/>
      <c r="BTY39" s="66"/>
      <c r="BTZ39" s="66"/>
      <c r="BUA39" s="66"/>
      <c r="BUB39" s="41"/>
      <c r="BUC39" s="139"/>
      <c r="BUD39" s="41"/>
      <c r="BUE39" s="41"/>
      <c r="BUF39" s="41"/>
      <c r="BUG39" s="41"/>
      <c r="BUH39" s="41"/>
      <c r="BUI39" s="76"/>
      <c r="BUJ39" s="41"/>
      <c r="BUK39" s="41"/>
      <c r="BUL39" s="41"/>
      <c r="BUM39" s="41"/>
      <c r="BUN39" s="41"/>
      <c r="BUO39" s="139"/>
      <c r="BUP39" s="41"/>
      <c r="BUQ39" s="41"/>
      <c r="BUR39" s="41"/>
      <c r="BUS39" s="41"/>
      <c r="BUT39" s="41"/>
      <c r="BUU39" s="76"/>
      <c r="BUV39" s="41"/>
      <c r="BUW39" s="41"/>
      <c r="BUX39" s="41"/>
      <c r="BUY39" s="41"/>
      <c r="BUZ39" s="41"/>
      <c r="BVA39" s="42"/>
      <c r="BVB39" s="40"/>
      <c r="BVC39" s="66"/>
      <c r="BVD39" s="66"/>
      <c r="BVE39" s="66"/>
      <c r="BVF39" s="41"/>
      <c r="BVG39" s="134"/>
      <c r="BVH39" s="41"/>
      <c r="BVI39" s="41"/>
      <c r="BVJ39" s="41"/>
      <c r="BVK39" s="41"/>
      <c r="BVL39" s="41"/>
      <c r="BVM39" s="139"/>
      <c r="BVN39" s="41"/>
      <c r="BVO39" s="41"/>
      <c r="BVP39" s="41"/>
      <c r="BVQ39" s="41"/>
      <c r="BVR39" s="41"/>
      <c r="BVS39" s="76"/>
      <c r="BVT39" s="41"/>
      <c r="BVU39" s="41"/>
      <c r="BVV39" s="41"/>
      <c r="BVW39" s="41"/>
      <c r="BVX39" s="41"/>
      <c r="BVY39" s="139"/>
      <c r="BVZ39" s="41"/>
      <c r="BWA39" s="41"/>
      <c r="BWB39" s="41"/>
      <c r="BWC39" s="41"/>
      <c r="BWD39" s="41"/>
      <c r="BWE39" s="76"/>
      <c r="BWF39" s="66"/>
      <c r="BWG39" s="66"/>
      <c r="BWH39" s="66"/>
      <c r="BWI39" s="66"/>
      <c r="BWJ39" s="41"/>
      <c r="BWK39" s="139"/>
      <c r="BWL39" s="41"/>
      <c r="BWM39" s="41"/>
      <c r="BWN39" s="41"/>
      <c r="BWO39" s="41"/>
      <c r="BWP39" s="41"/>
      <c r="BWQ39" s="76"/>
      <c r="BWR39" s="41"/>
      <c r="BWS39" s="41"/>
      <c r="BWT39" s="41"/>
      <c r="BWU39" s="41"/>
      <c r="BWV39" s="41"/>
      <c r="BWW39" s="139"/>
      <c r="BWX39" s="41"/>
      <c r="BWY39" s="41"/>
      <c r="BWZ39" s="41"/>
      <c r="BXA39" s="41"/>
      <c r="BXB39" s="41"/>
      <c r="BXC39" s="76"/>
      <c r="BXD39" s="41"/>
      <c r="BXE39" s="41"/>
      <c r="BXF39" s="41"/>
      <c r="BXG39" s="41"/>
      <c r="BXH39" s="41"/>
      <c r="BXI39" s="42"/>
      <c r="BXJ39" s="40"/>
      <c r="BXK39" s="66"/>
      <c r="BXL39" s="66"/>
      <c r="BXM39" s="66"/>
      <c r="BXN39" s="41"/>
      <c r="BXO39" s="134"/>
      <c r="BXP39" s="41"/>
      <c r="BXQ39" s="41"/>
      <c r="BXR39" s="41"/>
      <c r="BXS39" s="41"/>
      <c r="BXT39" s="41"/>
      <c r="BXU39" s="139"/>
      <c r="BXV39" s="41"/>
      <c r="BXW39" s="41"/>
      <c r="BXX39" s="41"/>
      <c r="BXY39" s="41"/>
      <c r="BXZ39" s="41"/>
      <c r="BYA39" s="76"/>
      <c r="BYB39" s="41"/>
      <c r="BYC39" s="41"/>
      <c r="BYD39" s="41"/>
      <c r="BYE39" s="41"/>
      <c r="BYF39" s="41"/>
      <c r="BYG39" s="139"/>
      <c r="BYH39" s="41"/>
      <c r="BYI39" s="41"/>
      <c r="BYJ39" s="41"/>
      <c r="BYK39" s="41"/>
      <c r="BYL39" s="41"/>
      <c r="BYM39" s="76"/>
      <c r="BYN39" s="66"/>
      <c r="BYO39" s="66"/>
      <c r="BYP39" s="66"/>
      <c r="BYQ39" s="66"/>
      <c r="BYR39" s="41"/>
      <c r="BYS39" s="139"/>
      <c r="BYT39" s="41"/>
      <c r="BYU39" s="41"/>
      <c r="BYV39" s="41"/>
      <c r="BYW39" s="41"/>
      <c r="BYX39" s="41"/>
      <c r="BYY39" s="76"/>
      <c r="BYZ39" s="41"/>
      <c r="BZA39" s="41"/>
      <c r="BZB39" s="41"/>
      <c r="BZC39" s="41"/>
      <c r="BZD39" s="41"/>
      <c r="BZE39" s="139"/>
      <c r="BZF39" s="41"/>
      <c r="BZG39" s="41"/>
      <c r="BZH39" s="41"/>
      <c r="BZI39" s="41"/>
      <c r="BZJ39" s="41"/>
      <c r="BZK39" s="76"/>
      <c r="BZL39" s="41"/>
      <c r="BZM39" s="41"/>
      <c r="BZN39" s="41"/>
      <c r="BZO39" s="41"/>
      <c r="BZP39" s="41"/>
      <c r="BZQ39" s="42"/>
      <c r="BZR39" s="40"/>
      <c r="BZS39" s="66"/>
      <c r="BZT39" s="66"/>
      <c r="BZU39" s="66"/>
      <c r="BZV39" s="41"/>
      <c r="BZW39" s="134"/>
      <c r="BZX39" s="41"/>
      <c r="BZY39" s="41"/>
      <c r="BZZ39" s="41"/>
      <c r="CAA39" s="41"/>
      <c r="CAB39" s="41"/>
      <c r="CAC39" s="139"/>
      <c r="CAD39" s="41"/>
      <c r="CAE39" s="41"/>
      <c r="CAF39" s="41"/>
      <c r="CAG39" s="41"/>
      <c r="CAH39" s="41"/>
      <c r="CAI39" s="76"/>
      <c r="CAJ39" s="41"/>
      <c r="CAK39" s="41"/>
      <c r="CAL39" s="41"/>
      <c r="CAM39" s="41"/>
      <c r="CAN39" s="41"/>
      <c r="CAO39" s="139"/>
      <c r="CAP39" s="41"/>
      <c r="CAQ39" s="41"/>
      <c r="CAR39" s="41"/>
      <c r="CAS39" s="41"/>
      <c r="CAT39" s="41"/>
      <c r="CAU39" s="76"/>
      <c r="CAV39" s="66"/>
      <c r="CAW39" s="66"/>
      <c r="CAX39" s="66"/>
      <c r="CAY39" s="66"/>
      <c r="CAZ39" s="41"/>
      <c r="CBA39" s="139"/>
      <c r="CBB39" s="41"/>
      <c r="CBC39" s="41"/>
      <c r="CBD39" s="41"/>
      <c r="CBE39" s="41"/>
      <c r="CBF39" s="41"/>
      <c r="CBG39" s="76"/>
      <c r="CBH39" s="41"/>
      <c r="CBI39" s="41"/>
      <c r="CBJ39" s="41"/>
      <c r="CBK39" s="41"/>
      <c r="CBL39" s="41"/>
      <c r="CBM39" s="139"/>
      <c r="CBN39" s="41"/>
      <c r="CBO39" s="41"/>
      <c r="CBP39" s="41"/>
      <c r="CBQ39" s="41"/>
      <c r="CBR39" s="41"/>
      <c r="CBS39" s="76"/>
      <c r="CBT39" s="41"/>
      <c r="CBU39" s="41"/>
      <c r="CBV39" s="41"/>
      <c r="CBW39" s="41"/>
      <c r="CBX39" s="41"/>
      <c r="CBY39" s="42"/>
      <c r="CBZ39" s="90"/>
    </row>
    <row r="40" spans="1:2106" ht="20.100000000000001" customHeight="1" x14ac:dyDescent="0.25">
      <c r="A40" s="100" t="s">
        <v>23</v>
      </c>
      <c r="B40" s="63" t="str">
        <f>IF(LEN(C65)=0,"",C65)</f>
        <v/>
      </c>
      <c r="C40" s="172"/>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28"/>
      <c r="BLW40" s="67"/>
      <c r="BLX40" s="67"/>
      <c r="BLY40" s="67"/>
      <c r="BLZ40" s="29"/>
      <c r="BMA40" s="131"/>
      <c r="BMB40" s="29"/>
      <c r="BMC40" s="29"/>
      <c r="BMD40" s="29"/>
      <c r="BME40" s="29"/>
      <c r="BMF40" s="29"/>
      <c r="BMG40" s="136"/>
      <c r="BMH40" s="29"/>
      <c r="BMI40" s="29"/>
      <c r="BMJ40" s="29"/>
      <c r="BMK40" s="29"/>
      <c r="BML40" s="29"/>
      <c r="BMM40" s="73"/>
      <c r="BMN40" s="29"/>
      <c r="BMO40" s="29"/>
      <c r="BMP40" s="29"/>
      <c r="BMQ40" s="29"/>
      <c r="BMR40" s="29"/>
      <c r="BMS40" s="136"/>
      <c r="BMT40" s="29"/>
      <c r="BMU40" s="29"/>
      <c r="BMV40" s="29"/>
      <c r="BMW40" s="29"/>
      <c r="BMX40" s="29"/>
      <c r="BMY40" s="73"/>
      <c r="BMZ40" s="67"/>
      <c r="BNA40" s="67"/>
      <c r="BNB40" s="67"/>
      <c r="BNC40" s="67"/>
      <c r="BND40" s="29"/>
      <c r="BNE40" s="136"/>
      <c r="BNF40" s="29"/>
      <c r="BNG40" s="29"/>
      <c r="BNH40" s="29"/>
      <c r="BNI40" s="29"/>
      <c r="BNJ40" s="29"/>
      <c r="BNK40" s="73"/>
      <c r="BNL40" s="29"/>
      <c r="BNM40" s="29"/>
      <c r="BNN40" s="29"/>
      <c r="BNO40" s="29"/>
      <c r="BNP40" s="29"/>
      <c r="BNQ40" s="136"/>
      <c r="BNR40" s="29"/>
      <c r="BNS40" s="29"/>
      <c r="BNT40" s="29"/>
      <c r="BNU40" s="29"/>
      <c r="BNV40" s="29"/>
      <c r="BNW40" s="73"/>
      <c r="BNX40" s="29"/>
      <c r="BNY40" s="29"/>
      <c r="BNZ40" s="29"/>
      <c r="BOA40" s="29"/>
      <c r="BOB40" s="29"/>
      <c r="BOC40" s="30"/>
      <c r="BOD40" s="28"/>
      <c r="BOE40" s="67"/>
      <c r="BOF40" s="67"/>
      <c r="BOG40" s="67"/>
      <c r="BOH40" s="29"/>
      <c r="BOI40" s="131"/>
      <c r="BOJ40" s="29"/>
      <c r="BOK40" s="29"/>
      <c r="BOL40" s="29"/>
      <c r="BOM40" s="29"/>
      <c r="BON40" s="29"/>
      <c r="BOO40" s="136"/>
      <c r="BOP40" s="29"/>
      <c r="BOQ40" s="29"/>
      <c r="BOR40" s="29"/>
      <c r="BOS40" s="29"/>
      <c r="BOT40" s="29"/>
      <c r="BOU40" s="73"/>
      <c r="BOV40" s="29"/>
      <c r="BOW40" s="29"/>
      <c r="BOX40" s="29"/>
      <c r="BOY40" s="29"/>
      <c r="BOZ40" s="29"/>
      <c r="BPA40" s="136"/>
      <c r="BPB40" s="29"/>
      <c r="BPC40" s="29"/>
      <c r="BPD40" s="29"/>
      <c r="BPE40" s="29"/>
      <c r="BPF40" s="29"/>
      <c r="BPG40" s="73"/>
      <c r="BPH40" s="67"/>
      <c r="BPI40" s="67"/>
      <c r="BPJ40" s="67"/>
      <c r="BPK40" s="67"/>
      <c r="BPL40" s="29"/>
      <c r="BPM40" s="136"/>
      <c r="BPN40" s="29"/>
      <c r="BPO40" s="29"/>
      <c r="BPP40" s="29"/>
      <c r="BPQ40" s="29"/>
      <c r="BPR40" s="29"/>
      <c r="BPS40" s="73"/>
      <c r="BPT40" s="29"/>
      <c r="BPU40" s="29"/>
      <c r="BPV40" s="29"/>
      <c r="BPW40" s="29"/>
      <c r="BPX40" s="29"/>
      <c r="BPY40" s="136"/>
      <c r="BPZ40" s="29"/>
      <c r="BQA40" s="29"/>
      <c r="BQB40" s="29"/>
      <c r="BQC40" s="29"/>
      <c r="BQD40" s="29"/>
      <c r="BQE40" s="73"/>
      <c r="BQF40" s="29"/>
      <c r="BQG40" s="29"/>
      <c r="BQH40" s="29"/>
      <c r="BQI40" s="29"/>
      <c r="BQJ40" s="29"/>
      <c r="BQK40" s="30"/>
      <c r="BQL40" s="28"/>
      <c r="BQM40" s="67"/>
      <c r="BQN40" s="67"/>
      <c r="BQO40" s="67"/>
      <c r="BQP40" s="29"/>
      <c r="BQQ40" s="131"/>
      <c r="BQR40" s="29"/>
      <c r="BQS40" s="29"/>
      <c r="BQT40" s="29"/>
      <c r="BQU40" s="29"/>
      <c r="BQV40" s="29"/>
      <c r="BQW40" s="136"/>
      <c r="BQX40" s="29"/>
      <c r="BQY40" s="29"/>
      <c r="BQZ40" s="29"/>
      <c r="BRA40" s="29"/>
      <c r="BRB40" s="29"/>
      <c r="BRC40" s="73"/>
      <c r="BRD40" s="29"/>
      <c r="BRE40" s="29"/>
      <c r="BRF40" s="29"/>
      <c r="BRG40" s="29"/>
      <c r="BRH40" s="29"/>
      <c r="BRI40" s="136"/>
      <c r="BRJ40" s="29"/>
      <c r="BRK40" s="29"/>
      <c r="BRL40" s="29"/>
      <c r="BRM40" s="29"/>
      <c r="BRN40" s="29"/>
      <c r="BRO40" s="73"/>
      <c r="BRP40" s="67"/>
      <c r="BRQ40" s="67"/>
      <c r="BRR40" s="67"/>
      <c r="BRS40" s="67"/>
      <c r="BRT40" s="29"/>
      <c r="BRU40" s="136"/>
      <c r="BRV40" s="29"/>
      <c r="BRW40" s="29"/>
      <c r="BRX40" s="29"/>
      <c r="BRY40" s="29"/>
      <c r="BRZ40" s="29"/>
      <c r="BSA40" s="73"/>
      <c r="BSB40" s="29"/>
      <c r="BSC40" s="29"/>
      <c r="BSD40" s="29"/>
      <c r="BSE40" s="29"/>
      <c r="BSF40" s="29"/>
      <c r="BSG40" s="136"/>
      <c r="BSH40" s="29"/>
      <c r="BSI40" s="29"/>
      <c r="BSJ40" s="29"/>
      <c r="BSK40" s="29"/>
      <c r="BSL40" s="29"/>
      <c r="BSM40" s="73"/>
      <c r="BSN40" s="29"/>
      <c r="BSO40" s="29"/>
      <c r="BSP40" s="29"/>
      <c r="BSQ40" s="29"/>
      <c r="BSR40" s="29"/>
      <c r="BSS40" s="30"/>
      <c r="BST40" s="28"/>
      <c r="BSU40" s="67"/>
      <c r="BSV40" s="67"/>
      <c r="BSW40" s="67"/>
      <c r="BSX40" s="29"/>
      <c r="BSY40" s="131"/>
      <c r="BSZ40" s="29"/>
      <c r="BTA40" s="29"/>
      <c r="BTB40" s="29"/>
      <c r="BTC40" s="29"/>
      <c r="BTD40" s="29"/>
      <c r="BTE40" s="136"/>
      <c r="BTF40" s="29"/>
      <c r="BTG40" s="29"/>
      <c r="BTH40" s="29"/>
      <c r="BTI40" s="29"/>
      <c r="BTJ40" s="29"/>
      <c r="BTK40" s="73"/>
      <c r="BTL40" s="29"/>
      <c r="BTM40" s="29"/>
      <c r="BTN40" s="29"/>
      <c r="BTO40" s="29"/>
      <c r="BTP40" s="29"/>
      <c r="BTQ40" s="136"/>
      <c r="BTR40" s="29"/>
      <c r="BTS40" s="29"/>
      <c r="BTT40" s="29"/>
      <c r="BTU40" s="29"/>
      <c r="BTV40" s="29"/>
      <c r="BTW40" s="73"/>
      <c r="BTX40" s="67"/>
      <c r="BTY40" s="67"/>
      <c r="BTZ40" s="67"/>
      <c r="BUA40" s="67"/>
      <c r="BUB40" s="29"/>
      <c r="BUC40" s="136"/>
      <c r="BUD40" s="29"/>
      <c r="BUE40" s="29"/>
      <c r="BUF40" s="29"/>
      <c r="BUG40" s="29"/>
      <c r="BUH40" s="29"/>
      <c r="BUI40" s="73"/>
      <c r="BUJ40" s="29"/>
      <c r="BUK40" s="29"/>
      <c r="BUL40" s="29"/>
      <c r="BUM40" s="29"/>
      <c r="BUN40" s="29"/>
      <c r="BUO40" s="136"/>
      <c r="BUP40" s="29"/>
      <c r="BUQ40" s="29"/>
      <c r="BUR40" s="29"/>
      <c r="BUS40" s="29"/>
      <c r="BUT40" s="29"/>
      <c r="BUU40" s="73"/>
      <c r="BUV40" s="29"/>
      <c r="BUW40" s="29"/>
      <c r="BUX40" s="29"/>
      <c r="BUY40" s="29"/>
      <c r="BUZ40" s="29"/>
      <c r="BVA40" s="30"/>
      <c r="BVB40" s="28"/>
      <c r="BVC40" s="67"/>
      <c r="BVD40" s="67"/>
      <c r="BVE40" s="67"/>
      <c r="BVF40" s="29"/>
      <c r="BVG40" s="131"/>
      <c r="BVH40" s="29"/>
      <c r="BVI40" s="29"/>
      <c r="BVJ40" s="29"/>
      <c r="BVK40" s="29"/>
      <c r="BVL40" s="29"/>
      <c r="BVM40" s="136"/>
      <c r="BVN40" s="29"/>
      <c r="BVO40" s="29"/>
      <c r="BVP40" s="29"/>
      <c r="BVQ40" s="29"/>
      <c r="BVR40" s="29"/>
      <c r="BVS40" s="73"/>
      <c r="BVT40" s="29"/>
      <c r="BVU40" s="29"/>
      <c r="BVV40" s="29"/>
      <c r="BVW40" s="29"/>
      <c r="BVX40" s="29"/>
      <c r="BVY40" s="136"/>
      <c r="BVZ40" s="29"/>
      <c r="BWA40" s="29"/>
      <c r="BWB40" s="29"/>
      <c r="BWC40" s="29"/>
      <c r="BWD40" s="29"/>
      <c r="BWE40" s="73"/>
      <c r="BWF40" s="67"/>
      <c r="BWG40" s="67"/>
      <c r="BWH40" s="67"/>
      <c r="BWI40" s="67"/>
      <c r="BWJ40" s="29"/>
      <c r="BWK40" s="136"/>
      <c r="BWL40" s="29"/>
      <c r="BWM40" s="29"/>
      <c r="BWN40" s="29"/>
      <c r="BWO40" s="29"/>
      <c r="BWP40" s="29"/>
      <c r="BWQ40" s="73"/>
      <c r="BWR40" s="29"/>
      <c r="BWS40" s="29"/>
      <c r="BWT40" s="29"/>
      <c r="BWU40" s="29"/>
      <c r="BWV40" s="29"/>
      <c r="BWW40" s="136"/>
      <c r="BWX40" s="29"/>
      <c r="BWY40" s="29"/>
      <c r="BWZ40" s="29"/>
      <c r="BXA40" s="29"/>
      <c r="BXB40" s="29"/>
      <c r="BXC40" s="73"/>
      <c r="BXD40" s="29"/>
      <c r="BXE40" s="29"/>
      <c r="BXF40" s="29"/>
      <c r="BXG40" s="29"/>
      <c r="BXH40" s="29"/>
      <c r="BXI40" s="30"/>
      <c r="BXJ40" s="28"/>
      <c r="BXK40" s="67"/>
      <c r="BXL40" s="67"/>
      <c r="BXM40" s="67"/>
      <c r="BXN40" s="29"/>
      <c r="BXO40" s="131"/>
      <c r="BXP40" s="29"/>
      <c r="BXQ40" s="29"/>
      <c r="BXR40" s="29"/>
      <c r="BXS40" s="29"/>
      <c r="BXT40" s="29"/>
      <c r="BXU40" s="136"/>
      <c r="BXV40" s="29"/>
      <c r="BXW40" s="29"/>
      <c r="BXX40" s="29"/>
      <c r="BXY40" s="29"/>
      <c r="BXZ40" s="29"/>
      <c r="BYA40" s="73"/>
      <c r="BYB40" s="29"/>
      <c r="BYC40" s="29"/>
      <c r="BYD40" s="29"/>
      <c r="BYE40" s="29"/>
      <c r="BYF40" s="29"/>
      <c r="BYG40" s="136"/>
      <c r="BYH40" s="29"/>
      <c r="BYI40" s="29"/>
      <c r="BYJ40" s="29"/>
      <c r="BYK40" s="29"/>
      <c r="BYL40" s="29"/>
      <c r="BYM40" s="73"/>
      <c r="BYN40" s="67"/>
      <c r="BYO40" s="67"/>
      <c r="BYP40" s="67"/>
      <c r="BYQ40" s="67"/>
      <c r="BYR40" s="29"/>
      <c r="BYS40" s="136"/>
      <c r="BYT40" s="29"/>
      <c r="BYU40" s="29"/>
      <c r="BYV40" s="29"/>
      <c r="BYW40" s="29"/>
      <c r="BYX40" s="29"/>
      <c r="BYY40" s="73"/>
      <c r="BYZ40" s="29"/>
      <c r="BZA40" s="29"/>
      <c r="BZB40" s="29"/>
      <c r="BZC40" s="29"/>
      <c r="BZD40" s="29"/>
      <c r="BZE40" s="136"/>
      <c r="BZF40" s="29"/>
      <c r="BZG40" s="29"/>
      <c r="BZH40" s="29"/>
      <c r="BZI40" s="29"/>
      <c r="BZJ40" s="29"/>
      <c r="BZK40" s="73"/>
      <c r="BZL40" s="29"/>
      <c r="BZM40" s="29"/>
      <c r="BZN40" s="29"/>
      <c r="BZO40" s="29"/>
      <c r="BZP40" s="29"/>
      <c r="BZQ40" s="30"/>
      <c r="BZR40" s="28"/>
      <c r="BZS40" s="67"/>
      <c r="BZT40" s="67"/>
      <c r="BZU40" s="67"/>
      <c r="BZV40" s="29"/>
      <c r="BZW40" s="131"/>
      <c r="BZX40" s="29"/>
      <c r="BZY40" s="29"/>
      <c r="BZZ40" s="29"/>
      <c r="CAA40" s="29"/>
      <c r="CAB40" s="29"/>
      <c r="CAC40" s="136"/>
      <c r="CAD40" s="29"/>
      <c r="CAE40" s="29"/>
      <c r="CAF40" s="29"/>
      <c r="CAG40" s="29"/>
      <c r="CAH40" s="29"/>
      <c r="CAI40" s="73"/>
      <c r="CAJ40" s="29"/>
      <c r="CAK40" s="29"/>
      <c r="CAL40" s="29"/>
      <c r="CAM40" s="29"/>
      <c r="CAN40" s="29"/>
      <c r="CAO40" s="136"/>
      <c r="CAP40" s="29"/>
      <c r="CAQ40" s="29"/>
      <c r="CAR40" s="29"/>
      <c r="CAS40" s="29"/>
      <c r="CAT40" s="29"/>
      <c r="CAU40" s="73"/>
      <c r="CAV40" s="67"/>
      <c r="CAW40" s="67"/>
      <c r="CAX40" s="67"/>
      <c r="CAY40" s="67"/>
      <c r="CAZ40" s="29"/>
      <c r="CBA40" s="136"/>
      <c r="CBB40" s="29"/>
      <c r="CBC40" s="29"/>
      <c r="CBD40" s="29"/>
      <c r="CBE40" s="29"/>
      <c r="CBF40" s="29"/>
      <c r="CBG40" s="73"/>
      <c r="CBH40" s="29"/>
      <c r="CBI40" s="29"/>
      <c r="CBJ40" s="29"/>
      <c r="CBK40" s="29"/>
      <c r="CBL40" s="29"/>
      <c r="CBM40" s="136"/>
      <c r="CBN40" s="29"/>
      <c r="CBO40" s="29"/>
      <c r="CBP40" s="29"/>
      <c r="CBQ40" s="29"/>
      <c r="CBR40" s="29"/>
      <c r="CBS40" s="73"/>
      <c r="CBT40" s="29"/>
      <c r="CBU40" s="29"/>
      <c r="CBV40" s="29"/>
      <c r="CBW40" s="29"/>
      <c r="CBX40" s="29"/>
      <c r="CBY40" s="30"/>
      <c r="CBZ40" s="90"/>
    </row>
    <row r="41" spans="1:2106" ht="20.100000000000001" customHeight="1" x14ac:dyDescent="0.25">
      <c r="A41" s="100" t="s">
        <v>22</v>
      </c>
      <c r="B41" s="63" t="str">
        <f>IF(LEN(C67)=0,"",C67)</f>
        <v/>
      </c>
      <c r="C41" s="170"/>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32"/>
      <c r="BLW41" s="64"/>
      <c r="BLX41" s="64"/>
      <c r="BLY41" s="64"/>
      <c r="BLZ41" s="33"/>
      <c r="BMA41" s="132"/>
      <c r="BMB41" s="33"/>
      <c r="BMC41" s="33"/>
      <c r="BMD41" s="33"/>
      <c r="BME41" s="33"/>
      <c r="BMF41" s="33"/>
      <c r="BMG41" s="137"/>
      <c r="BMH41" s="33"/>
      <c r="BMI41" s="33"/>
      <c r="BMJ41" s="33"/>
      <c r="BMK41" s="33"/>
      <c r="BML41" s="33"/>
      <c r="BMM41" s="74"/>
      <c r="BMN41" s="33"/>
      <c r="BMO41" s="33"/>
      <c r="BMP41" s="33"/>
      <c r="BMQ41" s="33"/>
      <c r="BMR41" s="33"/>
      <c r="BMS41" s="137"/>
      <c r="BMT41" s="33"/>
      <c r="BMU41" s="33"/>
      <c r="BMV41" s="33"/>
      <c r="BMW41" s="33"/>
      <c r="BMX41" s="33"/>
      <c r="BMY41" s="74"/>
      <c r="BMZ41" s="64"/>
      <c r="BNA41" s="64"/>
      <c r="BNB41" s="64"/>
      <c r="BNC41" s="64"/>
      <c r="BND41" s="33"/>
      <c r="BNE41" s="137"/>
      <c r="BNF41" s="33"/>
      <c r="BNG41" s="33"/>
      <c r="BNH41" s="33"/>
      <c r="BNI41" s="33"/>
      <c r="BNJ41" s="33"/>
      <c r="BNK41" s="74"/>
      <c r="BNL41" s="33"/>
      <c r="BNM41" s="33"/>
      <c r="BNN41" s="33"/>
      <c r="BNO41" s="33"/>
      <c r="BNP41" s="33"/>
      <c r="BNQ41" s="137"/>
      <c r="BNR41" s="33"/>
      <c r="BNS41" s="33"/>
      <c r="BNT41" s="33"/>
      <c r="BNU41" s="33"/>
      <c r="BNV41" s="33"/>
      <c r="BNW41" s="74"/>
      <c r="BNX41" s="33"/>
      <c r="BNY41" s="33"/>
      <c r="BNZ41" s="33"/>
      <c r="BOA41" s="33"/>
      <c r="BOB41" s="33"/>
      <c r="BOC41" s="34"/>
      <c r="BOD41" s="32"/>
      <c r="BOE41" s="64"/>
      <c r="BOF41" s="64"/>
      <c r="BOG41" s="64"/>
      <c r="BOH41" s="33"/>
      <c r="BOI41" s="132"/>
      <c r="BOJ41" s="33"/>
      <c r="BOK41" s="33"/>
      <c r="BOL41" s="33"/>
      <c r="BOM41" s="33"/>
      <c r="BON41" s="33"/>
      <c r="BOO41" s="137"/>
      <c r="BOP41" s="33"/>
      <c r="BOQ41" s="33"/>
      <c r="BOR41" s="33"/>
      <c r="BOS41" s="33"/>
      <c r="BOT41" s="33"/>
      <c r="BOU41" s="74"/>
      <c r="BOV41" s="33"/>
      <c r="BOW41" s="33"/>
      <c r="BOX41" s="33"/>
      <c r="BOY41" s="33"/>
      <c r="BOZ41" s="33"/>
      <c r="BPA41" s="137"/>
      <c r="BPB41" s="33"/>
      <c r="BPC41" s="33"/>
      <c r="BPD41" s="33"/>
      <c r="BPE41" s="33"/>
      <c r="BPF41" s="33"/>
      <c r="BPG41" s="74"/>
      <c r="BPH41" s="64"/>
      <c r="BPI41" s="64"/>
      <c r="BPJ41" s="64"/>
      <c r="BPK41" s="64"/>
      <c r="BPL41" s="33"/>
      <c r="BPM41" s="137"/>
      <c r="BPN41" s="33"/>
      <c r="BPO41" s="33"/>
      <c r="BPP41" s="33"/>
      <c r="BPQ41" s="33"/>
      <c r="BPR41" s="33"/>
      <c r="BPS41" s="74"/>
      <c r="BPT41" s="33"/>
      <c r="BPU41" s="33"/>
      <c r="BPV41" s="33"/>
      <c r="BPW41" s="33"/>
      <c r="BPX41" s="33"/>
      <c r="BPY41" s="137"/>
      <c r="BPZ41" s="33"/>
      <c r="BQA41" s="33"/>
      <c r="BQB41" s="33"/>
      <c r="BQC41" s="33"/>
      <c r="BQD41" s="33"/>
      <c r="BQE41" s="74"/>
      <c r="BQF41" s="33"/>
      <c r="BQG41" s="33"/>
      <c r="BQH41" s="33"/>
      <c r="BQI41" s="33"/>
      <c r="BQJ41" s="33"/>
      <c r="BQK41" s="34"/>
      <c r="BQL41" s="32"/>
      <c r="BQM41" s="64"/>
      <c r="BQN41" s="64"/>
      <c r="BQO41" s="64"/>
      <c r="BQP41" s="33"/>
      <c r="BQQ41" s="132"/>
      <c r="BQR41" s="33"/>
      <c r="BQS41" s="33"/>
      <c r="BQT41" s="33"/>
      <c r="BQU41" s="33"/>
      <c r="BQV41" s="33"/>
      <c r="BQW41" s="137"/>
      <c r="BQX41" s="33"/>
      <c r="BQY41" s="33"/>
      <c r="BQZ41" s="33"/>
      <c r="BRA41" s="33"/>
      <c r="BRB41" s="33"/>
      <c r="BRC41" s="74"/>
      <c r="BRD41" s="33"/>
      <c r="BRE41" s="33"/>
      <c r="BRF41" s="33"/>
      <c r="BRG41" s="33"/>
      <c r="BRH41" s="33"/>
      <c r="BRI41" s="137"/>
      <c r="BRJ41" s="33"/>
      <c r="BRK41" s="33"/>
      <c r="BRL41" s="33"/>
      <c r="BRM41" s="33"/>
      <c r="BRN41" s="33"/>
      <c r="BRO41" s="74"/>
      <c r="BRP41" s="64"/>
      <c r="BRQ41" s="64"/>
      <c r="BRR41" s="64"/>
      <c r="BRS41" s="64"/>
      <c r="BRT41" s="33"/>
      <c r="BRU41" s="137"/>
      <c r="BRV41" s="33"/>
      <c r="BRW41" s="33"/>
      <c r="BRX41" s="33"/>
      <c r="BRY41" s="33"/>
      <c r="BRZ41" s="33"/>
      <c r="BSA41" s="74"/>
      <c r="BSB41" s="33"/>
      <c r="BSC41" s="33"/>
      <c r="BSD41" s="33"/>
      <c r="BSE41" s="33"/>
      <c r="BSF41" s="33"/>
      <c r="BSG41" s="137"/>
      <c r="BSH41" s="33"/>
      <c r="BSI41" s="33"/>
      <c r="BSJ41" s="33"/>
      <c r="BSK41" s="33"/>
      <c r="BSL41" s="33"/>
      <c r="BSM41" s="74"/>
      <c r="BSN41" s="33"/>
      <c r="BSO41" s="33"/>
      <c r="BSP41" s="33"/>
      <c r="BSQ41" s="33"/>
      <c r="BSR41" s="33"/>
      <c r="BSS41" s="34"/>
      <c r="BST41" s="32"/>
      <c r="BSU41" s="64"/>
      <c r="BSV41" s="64"/>
      <c r="BSW41" s="64"/>
      <c r="BSX41" s="33"/>
      <c r="BSY41" s="132"/>
      <c r="BSZ41" s="33"/>
      <c r="BTA41" s="33"/>
      <c r="BTB41" s="33"/>
      <c r="BTC41" s="33"/>
      <c r="BTD41" s="33"/>
      <c r="BTE41" s="137"/>
      <c r="BTF41" s="33"/>
      <c r="BTG41" s="33"/>
      <c r="BTH41" s="33"/>
      <c r="BTI41" s="33"/>
      <c r="BTJ41" s="33"/>
      <c r="BTK41" s="74"/>
      <c r="BTL41" s="33"/>
      <c r="BTM41" s="33"/>
      <c r="BTN41" s="33"/>
      <c r="BTO41" s="33"/>
      <c r="BTP41" s="33"/>
      <c r="BTQ41" s="137"/>
      <c r="BTR41" s="33"/>
      <c r="BTS41" s="33"/>
      <c r="BTT41" s="33"/>
      <c r="BTU41" s="33"/>
      <c r="BTV41" s="33"/>
      <c r="BTW41" s="74"/>
      <c r="BTX41" s="64"/>
      <c r="BTY41" s="64"/>
      <c r="BTZ41" s="64"/>
      <c r="BUA41" s="64"/>
      <c r="BUB41" s="33"/>
      <c r="BUC41" s="137"/>
      <c r="BUD41" s="33"/>
      <c r="BUE41" s="33"/>
      <c r="BUF41" s="33"/>
      <c r="BUG41" s="33"/>
      <c r="BUH41" s="33"/>
      <c r="BUI41" s="74"/>
      <c r="BUJ41" s="33"/>
      <c r="BUK41" s="33"/>
      <c r="BUL41" s="33"/>
      <c r="BUM41" s="33"/>
      <c r="BUN41" s="33"/>
      <c r="BUO41" s="137"/>
      <c r="BUP41" s="33"/>
      <c r="BUQ41" s="33"/>
      <c r="BUR41" s="33"/>
      <c r="BUS41" s="33"/>
      <c r="BUT41" s="33"/>
      <c r="BUU41" s="74"/>
      <c r="BUV41" s="33"/>
      <c r="BUW41" s="33"/>
      <c r="BUX41" s="33"/>
      <c r="BUY41" s="33"/>
      <c r="BUZ41" s="33"/>
      <c r="BVA41" s="34"/>
      <c r="BVB41" s="32"/>
      <c r="BVC41" s="64"/>
      <c r="BVD41" s="64"/>
      <c r="BVE41" s="64"/>
      <c r="BVF41" s="33"/>
      <c r="BVG41" s="132"/>
      <c r="BVH41" s="33"/>
      <c r="BVI41" s="33"/>
      <c r="BVJ41" s="33"/>
      <c r="BVK41" s="33"/>
      <c r="BVL41" s="33"/>
      <c r="BVM41" s="137"/>
      <c r="BVN41" s="33"/>
      <c r="BVO41" s="33"/>
      <c r="BVP41" s="33"/>
      <c r="BVQ41" s="33"/>
      <c r="BVR41" s="33"/>
      <c r="BVS41" s="74"/>
      <c r="BVT41" s="33"/>
      <c r="BVU41" s="33"/>
      <c r="BVV41" s="33"/>
      <c r="BVW41" s="33"/>
      <c r="BVX41" s="33"/>
      <c r="BVY41" s="137"/>
      <c r="BVZ41" s="33"/>
      <c r="BWA41" s="33"/>
      <c r="BWB41" s="33"/>
      <c r="BWC41" s="33"/>
      <c r="BWD41" s="33"/>
      <c r="BWE41" s="74"/>
      <c r="BWF41" s="64"/>
      <c r="BWG41" s="64"/>
      <c r="BWH41" s="64"/>
      <c r="BWI41" s="64"/>
      <c r="BWJ41" s="33"/>
      <c r="BWK41" s="137"/>
      <c r="BWL41" s="33"/>
      <c r="BWM41" s="33"/>
      <c r="BWN41" s="33"/>
      <c r="BWO41" s="33"/>
      <c r="BWP41" s="33"/>
      <c r="BWQ41" s="74"/>
      <c r="BWR41" s="33"/>
      <c r="BWS41" s="33"/>
      <c r="BWT41" s="33"/>
      <c r="BWU41" s="33"/>
      <c r="BWV41" s="33"/>
      <c r="BWW41" s="137"/>
      <c r="BWX41" s="33"/>
      <c r="BWY41" s="33"/>
      <c r="BWZ41" s="33"/>
      <c r="BXA41" s="33"/>
      <c r="BXB41" s="33"/>
      <c r="BXC41" s="74"/>
      <c r="BXD41" s="33"/>
      <c r="BXE41" s="33"/>
      <c r="BXF41" s="33"/>
      <c r="BXG41" s="33"/>
      <c r="BXH41" s="33"/>
      <c r="BXI41" s="34"/>
      <c r="BXJ41" s="32"/>
      <c r="BXK41" s="64"/>
      <c r="BXL41" s="64"/>
      <c r="BXM41" s="64"/>
      <c r="BXN41" s="33"/>
      <c r="BXO41" s="132"/>
      <c r="BXP41" s="33"/>
      <c r="BXQ41" s="33"/>
      <c r="BXR41" s="33"/>
      <c r="BXS41" s="33"/>
      <c r="BXT41" s="33"/>
      <c r="BXU41" s="137"/>
      <c r="BXV41" s="33"/>
      <c r="BXW41" s="33"/>
      <c r="BXX41" s="33"/>
      <c r="BXY41" s="33"/>
      <c r="BXZ41" s="33"/>
      <c r="BYA41" s="74"/>
      <c r="BYB41" s="33"/>
      <c r="BYC41" s="33"/>
      <c r="BYD41" s="33"/>
      <c r="BYE41" s="33"/>
      <c r="BYF41" s="33"/>
      <c r="BYG41" s="137"/>
      <c r="BYH41" s="33"/>
      <c r="BYI41" s="33"/>
      <c r="BYJ41" s="33"/>
      <c r="BYK41" s="33"/>
      <c r="BYL41" s="33"/>
      <c r="BYM41" s="74"/>
      <c r="BYN41" s="64"/>
      <c r="BYO41" s="64"/>
      <c r="BYP41" s="64"/>
      <c r="BYQ41" s="64"/>
      <c r="BYR41" s="33"/>
      <c r="BYS41" s="137"/>
      <c r="BYT41" s="33"/>
      <c r="BYU41" s="33"/>
      <c r="BYV41" s="33"/>
      <c r="BYW41" s="33"/>
      <c r="BYX41" s="33"/>
      <c r="BYY41" s="74"/>
      <c r="BYZ41" s="33"/>
      <c r="BZA41" s="33"/>
      <c r="BZB41" s="33"/>
      <c r="BZC41" s="33"/>
      <c r="BZD41" s="33"/>
      <c r="BZE41" s="137"/>
      <c r="BZF41" s="33"/>
      <c r="BZG41" s="33"/>
      <c r="BZH41" s="33"/>
      <c r="BZI41" s="33"/>
      <c r="BZJ41" s="33"/>
      <c r="BZK41" s="74"/>
      <c r="BZL41" s="33"/>
      <c r="BZM41" s="33"/>
      <c r="BZN41" s="33"/>
      <c r="BZO41" s="33"/>
      <c r="BZP41" s="33"/>
      <c r="BZQ41" s="34"/>
      <c r="BZR41" s="32"/>
      <c r="BZS41" s="64"/>
      <c r="BZT41" s="64"/>
      <c r="BZU41" s="64"/>
      <c r="BZV41" s="33"/>
      <c r="BZW41" s="132"/>
      <c r="BZX41" s="33"/>
      <c r="BZY41" s="33"/>
      <c r="BZZ41" s="33"/>
      <c r="CAA41" s="33"/>
      <c r="CAB41" s="33"/>
      <c r="CAC41" s="137"/>
      <c r="CAD41" s="33"/>
      <c r="CAE41" s="33"/>
      <c r="CAF41" s="33"/>
      <c r="CAG41" s="33"/>
      <c r="CAH41" s="33"/>
      <c r="CAI41" s="74"/>
      <c r="CAJ41" s="33"/>
      <c r="CAK41" s="33"/>
      <c r="CAL41" s="33"/>
      <c r="CAM41" s="33"/>
      <c r="CAN41" s="33"/>
      <c r="CAO41" s="137"/>
      <c r="CAP41" s="33"/>
      <c r="CAQ41" s="33"/>
      <c r="CAR41" s="33"/>
      <c r="CAS41" s="33"/>
      <c r="CAT41" s="33"/>
      <c r="CAU41" s="74"/>
      <c r="CAV41" s="64"/>
      <c r="CAW41" s="64"/>
      <c r="CAX41" s="64"/>
      <c r="CAY41" s="64"/>
      <c r="CAZ41" s="33"/>
      <c r="CBA41" s="137"/>
      <c r="CBB41" s="33"/>
      <c r="CBC41" s="33"/>
      <c r="CBD41" s="33"/>
      <c r="CBE41" s="33"/>
      <c r="CBF41" s="33"/>
      <c r="CBG41" s="74"/>
      <c r="CBH41" s="33"/>
      <c r="CBI41" s="33"/>
      <c r="CBJ41" s="33"/>
      <c r="CBK41" s="33"/>
      <c r="CBL41" s="33"/>
      <c r="CBM41" s="137"/>
      <c r="CBN41" s="33"/>
      <c r="CBO41" s="33"/>
      <c r="CBP41" s="33"/>
      <c r="CBQ41" s="33"/>
      <c r="CBR41" s="33"/>
      <c r="CBS41" s="74"/>
      <c r="CBT41" s="33"/>
      <c r="CBU41" s="33"/>
      <c r="CBV41" s="33"/>
      <c r="CBW41" s="33"/>
      <c r="CBX41" s="33"/>
      <c r="CBY41" s="34"/>
      <c r="CBZ41" s="90"/>
    </row>
    <row r="42" spans="1:2106" ht="20.100000000000001" customHeight="1" x14ac:dyDescent="0.3">
      <c r="A42" s="100" t="s">
        <v>23</v>
      </c>
      <c r="B42" s="63" t="str">
        <f>IF(LEN(C69)=0,"",C69)</f>
        <v/>
      </c>
      <c r="C42" s="171"/>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36"/>
      <c r="BLW42" s="65"/>
      <c r="BLX42" s="65"/>
      <c r="BLY42" s="65"/>
      <c r="BLZ42" s="37"/>
      <c r="BMA42" s="133"/>
      <c r="BMB42" s="37"/>
      <c r="BMC42" s="37"/>
      <c r="BMD42" s="37"/>
      <c r="BME42" s="37"/>
      <c r="BMF42" s="37"/>
      <c r="BMG42" s="138"/>
      <c r="BMH42" s="37"/>
      <c r="BMI42" s="37"/>
      <c r="BMJ42" s="37"/>
      <c r="BMK42" s="37"/>
      <c r="BML42" s="37"/>
      <c r="BMM42" s="75"/>
      <c r="BMN42" s="37"/>
      <c r="BMO42" s="37"/>
      <c r="BMP42" s="37"/>
      <c r="BMQ42" s="37"/>
      <c r="BMR42" s="37"/>
      <c r="BMS42" s="138"/>
      <c r="BMT42" s="37"/>
      <c r="BMU42" s="37"/>
      <c r="BMV42" s="37"/>
      <c r="BMW42" s="37"/>
      <c r="BMX42" s="37"/>
      <c r="BMY42" s="75"/>
      <c r="BMZ42" s="65"/>
      <c r="BNA42" s="65"/>
      <c r="BNB42" s="65"/>
      <c r="BNC42" s="65"/>
      <c r="BND42" s="37"/>
      <c r="BNE42" s="138"/>
      <c r="BNF42" s="37"/>
      <c r="BNG42" s="37"/>
      <c r="BNH42" s="37"/>
      <c r="BNI42" s="37"/>
      <c r="BNJ42" s="37"/>
      <c r="BNK42" s="75"/>
      <c r="BNL42" s="37"/>
      <c r="BNM42" s="37"/>
      <c r="BNN42" s="37"/>
      <c r="BNO42" s="37"/>
      <c r="BNP42" s="37"/>
      <c r="BNQ42" s="138"/>
      <c r="BNR42" s="37"/>
      <c r="BNS42" s="37"/>
      <c r="BNT42" s="37"/>
      <c r="BNU42" s="37"/>
      <c r="BNV42" s="37"/>
      <c r="BNW42" s="75"/>
      <c r="BNX42" s="37"/>
      <c r="BNY42" s="37"/>
      <c r="BNZ42" s="37"/>
      <c r="BOA42" s="37"/>
      <c r="BOB42" s="37"/>
      <c r="BOC42" s="38"/>
      <c r="BOD42" s="36"/>
      <c r="BOE42" s="65"/>
      <c r="BOF42" s="65"/>
      <c r="BOG42" s="65"/>
      <c r="BOH42" s="37"/>
      <c r="BOI42" s="133"/>
      <c r="BOJ42" s="37"/>
      <c r="BOK42" s="37"/>
      <c r="BOL42" s="37"/>
      <c r="BOM42" s="37"/>
      <c r="BON42" s="37"/>
      <c r="BOO42" s="138"/>
      <c r="BOP42" s="37"/>
      <c r="BOQ42" s="37"/>
      <c r="BOR42" s="37"/>
      <c r="BOS42" s="37"/>
      <c r="BOT42" s="37"/>
      <c r="BOU42" s="75"/>
      <c r="BOV42" s="37"/>
      <c r="BOW42" s="37"/>
      <c r="BOX42" s="37"/>
      <c r="BOY42" s="37"/>
      <c r="BOZ42" s="37"/>
      <c r="BPA42" s="138"/>
      <c r="BPB42" s="37"/>
      <c r="BPC42" s="37"/>
      <c r="BPD42" s="37"/>
      <c r="BPE42" s="37"/>
      <c r="BPF42" s="37"/>
      <c r="BPG42" s="75"/>
      <c r="BPH42" s="65"/>
      <c r="BPI42" s="65"/>
      <c r="BPJ42" s="65"/>
      <c r="BPK42" s="65"/>
      <c r="BPL42" s="37"/>
      <c r="BPM42" s="138"/>
      <c r="BPN42" s="37"/>
      <c r="BPO42" s="37"/>
      <c r="BPP42" s="37"/>
      <c r="BPQ42" s="37"/>
      <c r="BPR42" s="37"/>
      <c r="BPS42" s="75"/>
      <c r="BPT42" s="37"/>
      <c r="BPU42" s="37"/>
      <c r="BPV42" s="37"/>
      <c r="BPW42" s="37"/>
      <c r="BPX42" s="37"/>
      <c r="BPY42" s="138"/>
      <c r="BPZ42" s="37"/>
      <c r="BQA42" s="37"/>
      <c r="BQB42" s="37"/>
      <c r="BQC42" s="37"/>
      <c r="BQD42" s="37"/>
      <c r="BQE42" s="75"/>
      <c r="BQF42" s="37"/>
      <c r="BQG42" s="37"/>
      <c r="BQH42" s="37"/>
      <c r="BQI42" s="37"/>
      <c r="BQJ42" s="37"/>
      <c r="BQK42" s="38"/>
      <c r="BQL42" s="36"/>
      <c r="BQM42" s="65"/>
      <c r="BQN42" s="65"/>
      <c r="BQO42" s="65"/>
      <c r="BQP42" s="37"/>
      <c r="BQQ42" s="133"/>
      <c r="BQR42" s="37"/>
      <c r="BQS42" s="37"/>
      <c r="BQT42" s="37"/>
      <c r="BQU42" s="37"/>
      <c r="BQV42" s="37"/>
      <c r="BQW42" s="138"/>
      <c r="BQX42" s="37"/>
      <c r="BQY42" s="37"/>
      <c r="BQZ42" s="37"/>
      <c r="BRA42" s="37"/>
      <c r="BRB42" s="37"/>
      <c r="BRC42" s="75"/>
      <c r="BRD42" s="37"/>
      <c r="BRE42" s="37"/>
      <c r="BRF42" s="37"/>
      <c r="BRG42" s="37"/>
      <c r="BRH42" s="37"/>
      <c r="BRI42" s="138"/>
      <c r="BRJ42" s="37"/>
      <c r="BRK42" s="37"/>
      <c r="BRL42" s="37"/>
      <c r="BRM42" s="37"/>
      <c r="BRN42" s="37"/>
      <c r="BRO42" s="75"/>
      <c r="BRP42" s="65"/>
      <c r="BRQ42" s="65"/>
      <c r="BRR42" s="65"/>
      <c r="BRS42" s="65"/>
      <c r="BRT42" s="37"/>
      <c r="BRU42" s="138"/>
      <c r="BRV42" s="37"/>
      <c r="BRW42" s="37"/>
      <c r="BRX42" s="37"/>
      <c r="BRY42" s="37"/>
      <c r="BRZ42" s="37"/>
      <c r="BSA42" s="75"/>
      <c r="BSB42" s="37"/>
      <c r="BSC42" s="37"/>
      <c r="BSD42" s="37"/>
      <c r="BSE42" s="37"/>
      <c r="BSF42" s="37"/>
      <c r="BSG42" s="138"/>
      <c r="BSH42" s="37"/>
      <c r="BSI42" s="37"/>
      <c r="BSJ42" s="37"/>
      <c r="BSK42" s="37"/>
      <c r="BSL42" s="37"/>
      <c r="BSM42" s="75"/>
      <c r="BSN42" s="37"/>
      <c r="BSO42" s="37"/>
      <c r="BSP42" s="37"/>
      <c r="BSQ42" s="37"/>
      <c r="BSR42" s="37"/>
      <c r="BSS42" s="38"/>
      <c r="BST42" s="36"/>
      <c r="BSU42" s="65"/>
      <c r="BSV42" s="65"/>
      <c r="BSW42" s="65"/>
      <c r="BSX42" s="37"/>
      <c r="BSY42" s="133"/>
      <c r="BSZ42" s="37"/>
      <c r="BTA42" s="37"/>
      <c r="BTB42" s="37"/>
      <c r="BTC42" s="37"/>
      <c r="BTD42" s="37"/>
      <c r="BTE42" s="138"/>
      <c r="BTF42" s="37"/>
      <c r="BTG42" s="37"/>
      <c r="BTH42" s="37"/>
      <c r="BTI42" s="37"/>
      <c r="BTJ42" s="37"/>
      <c r="BTK42" s="75"/>
      <c r="BTL42" s="37"/>
      <c r="BTM42" s="37"/>
      <c r="BTN42" s="37"/>
      <c r="BTO42" s="37"/>
      <c r="BTP42" s="37"/>
      <c r="BTQ42" s="138"/>
      <c r="BTR42" s="37"/>
      <c r="BTS42" s="37"/>
      <c r="BTT42" s="37"/>
      <c r="BTU42" s="37"/>
      <c r="BTV42" s="37"/>
      <c r="BTW42" s="75"/>
      <c r="BTX42" s="65"/>
      <c r="BTY42" s="65"/>
      <c r="BTZ42" s="65"/>
      <c r="BUA42" s="65"/>
      <c r="BUB42" s="37"/>
      <c r="BUC42" s="138"/>
      <c r="BUD42" s="37"/>
      <c r="BUE42" s="37"/>
      <c r="BUF42" s="37"/>
      <c r="BUG42" s="37"/>
      <c r="BUH42" s="37"/>
      <c r="BUI42" s="75"/>
      <c r="BUJ42" s="37"/>
      <c r="BUK42" s="37"/>
      <c r="BUL42" s="37"/>
      <c r="BUM42" s="37"/>
      <c r="BUN42" s="37"/>
      <c r="BUO42" s="138"/>
      <c r="BUP42" s="37"/>
      <c r="BUQ42" s="37"/>
      <c r="BUR42" s="37"/>
      <c r="BUS42" s="37"/>
      <c r="BUT42" s="37"/>
      <c r="BUU42" s="75"/>
      <c r="BUV42" s="37"/>
      <c r="BUW42" s="37"/>
      <c r="BUX42" s="37"/>
      <c r="BUY42" s="37"/>
      <c r="BUZ42" s="37"/>
      <c r="BVA42" s="38"/>
      <c r="BVB42" s="36"/>
      <c r="BVC42" s="65"/>
      <c r="BVD42" s="65"/>
      <c r="BVE42" s="65"/>
      <c r="BVF42" s="37"/>
      <c r="BVG42" s="133"/>
      <c r="BVH42" s="37"/>
      <c r="BVI42" s="37"/>
      <c r="BVJ42" s="37"/>
      <c r="BVK42" s="37"/>
      <c r="BVL42" s="37"/>
      <c r="BVM42" s="138"/>
      <c r="BVN42" s="37"/>
      <c r="BVO42" s="37"/>
      <c r="BVP42" s="37"/>
      <c r="BVQ42" s="37"/>
      <c r="BVR42" s="37"/>
      <c r="BVS42" s="75"/>
      <c r="BVT42" s="37"/>
      <c r="BVU42" s="37"/>
      <c r="BVV42" s="37"/>
      <c r="BVW42" s="37"/>
      <c r="BVX42" s="37"/>
      <c r="BVY42" s="138"/>
      <c r="BVZ42" s="37"/>
      <c r="BWA42" s="37"/>
      <c r="BWB42" s="37"/>
      <c r="BWC42" s="37"/>
      <c r="BWD42" s="37"/>
      <c r="BWE42" s="75"/>
      <c r="BWF42" s="65"/>
      <c r="BWG42" s="65"/>
      <c r="BWH42" s="65"/>
      <c r="BWI42" s="65"/>
      <c r="BWJ42" s="37"/>
      <c r="BWK42" s="138"/>
      <c r="BWL42" s="37"/>
      <c r="BWM42" s="37"/>
      <c r="BWN42" s="37"/>
      <c r="BWO42" s="37"/>
      <c r="BWP42" s="37"/>
      <c r="BWQ42" s="75"/>
      <c r="BWR42" s="37"/>
      <c r="BWS42" s="37"/>
      <c r="BWT42" s="37"/>
      <c r="BWU42" s="37"/>
      <c r="BWV42" s="37"/>
      <c r="BWW42" s="138"/>
      <c r="BWX42" s="37"/>
      <c r="BWY42" s="37"/>
      <c r="BWZ42" s="37"/>
      <c r="BXA42" s="37"/>
      <c r="BXB42" s="37"/>
      <c r="BXC42" s="75"/>
      <c r="BXD42" s="37"/>
      <c r="BXE42" s="37"/>
      <c r="BXF42" s="37"/>
      <c r="BXG42" s="37"/>
      <c r="BXH42" s="37"/>
      <c r="BXI42" s="38"/>
      <c r="BXJ42" s="36"/>
      <c r="BXK42" s="65"/>
      <c r="BXL42" s="65"/>
      <c r="BXM42" s="65"/>
      <c r="BXN42" s="37"/>
      <c r="BXO42" s="133"/>
      <c r="BXP42" s="37"/>
      <c r="BXQ42" s="37"/>
      <c r="BXR42" s="37"/>
      <c r="BXS42" s="37"/>
      <c r="BXT42" s="37"/>
      <c r="BXU42" s="138"/>
      <c r="BXV42" s="37"/>
      <c r="BXW42" s="37"/>
      <c r="BXX42" s="37"/>
      <c r="BXY42" s="37"/>
      <c r="BXZ42" s="37"/>
      <c r="BYA42" s="75"/>
      <c r="BYB42" s="37"/>
      <c r="BYC42" s="37"/>
      <c r="BYD42" s="37"/>
      <c r="BYE42" s="37"/>
      <c r="BYF42" s="37"/>
      <c r="BYG42" s="138"/>
      <c r="BYH42" s="37"/>
      <c r="BYI42" s="37"/>
      <c r="BYJ42" s="37"/>
      <c r="BYK42" s="37"/>
      <c r="BYL42" s="37"/>
      <c r="BYM42" s="75"/>
      <c r="BYN42" s="65"/>
      <c r="BYO42" s="65"/>
      <c r="BYP42" s="65"/>
      <c r="BYQ42" s="65"/>
      <c r="BYR42" s="37"/>
      <c r="BYS42" s="138"/>
      <c r="BYT42" s="37"/>
      <c r="BYU42" s="37"/>
      <c r="BYV42" s="37"/>
      <c r="BYW42" s="37"/>
      <c r="BYX42" s="37"/>
      <c r="BYY42" s="75"/>
      <c r="BYZ42" s="37"/>
      <c r="BZA42" s="37"/>
      <c r="BZB42" s="37"/>
      <c r="BZC42" s="37"/>
      <c r="BZD42" s="37"/>
      <c r="BZE42" s="138"/>
      <c r="BZF42" s="37"/>
      <c r="BZG42" s="37"/>
      <c r="BZH42" s="37"/>
      <c r="BZI42" s="37"/>
      <c r="BZJ42" s="37"/>
      <c r="BZK42" s="75"/>
      <c r="BZL42" s="37"/>
      <c r="BZM42" s="37"/>
      <c r="BZN42" s="37"/>
      <c r="BZO42" s="37"/>
      <c r="BZP42" s="37"/>
      <c r="BZQ42" s="38"/>
      <c r="BZR42" s="36"/>
      <c r="BZS42" s="65"/>
      <c r="BZT42" s="65"/>
      <c r="BZU42" s="65"/>
      <c r="BZV42" s="37"/>
      <c r="BZW42" s="133"/>
      <c r="BZX42" s="37"/>
      <c r="BZY42" s="37"/>
      <c r="BZZ42" s="37"/>
      <c r="CAA42" s="37"/>
      <c r="CAB42" s="37"/>
      <c r="CAC42" s="138"/>
      <c r="CAD42" s="37"/>
      <c r="CAE42" s="37"/>
      <c r="CAF42" s="37"/>
      <c r="CAG42" s="37"/>
      <c r="CAH42" s="37"/>
      <c r="CAI42" s="75"/>
      <c r="CAJ42" s="37"/>
      <c r="CAK42" s="37"/>
      <c r="CAL42" s="37"/>
      <c r="CAM42" s="37"/>
      <c r="CAN42" s="37"/>
      <c r="CAO42" s="138"/>
      <c r="CAP42" s="37"/>
      <c r="CAQ42" s="37"/>
      <c r="CAR42" s="37"/>
      <c r="CAS42" s="37"/>
      <c r="CAT42" s="37"/>
      <c r="CAU42" s="75"/>
      <c r="CAV42" s="65"/>
      <c r="CAW42" s="65"/>
      <c r="CAX42" s="65"/>
      <c r="CAY42" s="65"/>
      <c r="CAZ42" s="37"/>
      <c r="CBA42" s="138"/>
      <c r="CBB42" s="37"/>
      <c r="CBC42" s="37"/>
      <c r="CBD42" s="37"/>
      <c r="CBE42" s="37"/>
      <c r="CBF42" s="37"/>
      <c r="CBG42" s="75"/>
      <c r="CBH42" s="37"/>
      <c r="CBI42" s="37"/>
      <c r="CBJ42" s="37"/>
      <c r="CBK42" s="37"/>
      <c r="CBL42" s="37"/>
      <c r="CBM42" s="138"/>
      <c r="CBN42" s="37"/>
      <c r="CBO42" s="37"/>
      <c r="CBP42" s="37"/>
      <c r="CBQ42" s="37"/>
      <c r="CBR42" s="37"/>
      <c r="CBS42" s="75"/>
      <c r="CBT42" s="37"/>
      <c r="CBU42" s="37"/>
      <c r="CBV42" s="37"/>
      <c r="CBW42" s="37"/>
      <c r="CBX42" s="37"/>
      <c r="CBY42" s="38"/>
      <c r="CBZ42" s="90"/>
    </row>
    <row r="43" spans="1:2106" ht="20.100000000000001" customHeight="1" x14ac:dyDescent="0.25">
      <c r="A43" s="100" t="s">
        <v>22</v>
      </c>
      <c r="B43" s="63" t="str">
        <f>IF(LEN(C71)=0,"",C71)</f>
        <v/>
      </c>
      <c r="C43" s="170"/>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32"/>
      <c r="BLW43" s="64"/>
      <c r="BLX43" s="64"/>
      <c r="BLY43" s="64"/>
      <c r="BLZ43" s="33"/>
      <c r="BMA43" s="132"/>
      <c r="BMB43" s="33"/>
      <c r="BMC43" s="33"/>
      <c r="BMD43" s="33"/>
      <c r="BME43" s="33"/>
      <c r="BMF43" s="33"/>
      <c r="BMG43" s="137"/>
      <c r="BMH43" s="33"/>
      <c r="BMI43" s="33"/>
      <c r="BMJ43" s="33"/>
      <c r="BMK43" s="33"/>
      <c r="BML43" s="33"/>
      <c r="BMM43" s="74"/>
      <c r="BMN43" s="33"/>
      <c r="BMO43" s="33"/>
      <c r="BMP43" s="33"/>
      <c r="BMQ43" s="33"/>
      <c r="BMR43" s="33"/>
      <c r="BMS43" s="137"/>
      <c r="BMT43" s="33"/>
      <c r="BMU43" s="33"/>
      <c r="BMV43" s="33"/>
      <c r="BMW43" s="33"/>
      <c r="BMX43" s="33"/>
      <c r="BMY43" s="74"/>
      <c r="BMZ43" s="64"/>
      <c r="BNA43" s="64"/>
      <c r="BNB43" s="64"/>
      <c r="BNC43" s="64"/>
      <c r="BND43" s="33"/>
      <c r="BNE43" s="137"/>
      <c r="BNF43" s="33"/>
      <c r="BNG43" s="33"/>
      <c r="BNH43" s="33"/>
      <c r="BNI43" s="33"/>
      <c r="BNJ43" s="33"/>
      <c r="BNK43" s="74"/>
      <c r="BNL43" s="33"/>
      <c r="BNM43" s="33"/>
      <c r="BNN43" s="33"/>
      <c r="BNO43" s="33"/>
      <c r="BNP43" s="33"/>
      <c r="BNQ43" s="137"/>
      <c r="BNR43" s="33"/>
      <c r="BNS43" s="33"/>
      <c r="BNT43" s="33"/>
      <c r="BNU43" s="33"/>
      <c r="BNV43" s="33"/>
      <c r="BNW43" s="74"/>
      <c r="BNX43" s="33"/>
      <c r="BNY43" s="33"/>
      <c r="BNZ43" s="33"/>
      <c r="BOA43" s="33"/>
      <c r="BOB43" s="33"/>
      <c r="BOC43" s="34"/>
      <c r="BOD43" s="32"/>
      <c r="BOE43" s="64"/>
      <c r="BOF43" s="64"/>
      <c r="BOG43" s="64"/>
      <c r="BOH43" s="33"/>
      <c r="BOI43" s="132"/>
      <c r="BOJ43" s="33"/>
      <c r="BOK43" s="33"/>
      <c r="BOL43" s="33"/>
      <c r="BOM43" s="33"/>
      <c r="BON43" s="33"/>
      <c r="BOO43" s="137"/>
      <c r="BOP43" s="33"/>
      <c r="BOQ43" s="33"/>
      <c r="BOR43" s="33"/>
      <c r="BOS43" s="33"/>
      <c r="BOT43" s="33"/>
      <c r="BOU43" s="74"/>
      <c r="BOV43" s="33"/>
      <c r="BOW43" s="33"/>
      <c r="BOX43" s="33"/>
      <c r="BOY43" s="33"/>
      <c r="BOZ43" s="33"/>
      <c r="BPA43" s="137"/>
      <c r="BPB43" s="33"/>
      <c r="BPC43" s="33"/>
      <c r="BPD43" s="33"/>
      <c r="BPE43" s="33"/>
      <c r="BPF43" s="33"/>
      <c r="BPG43" s="74"/>
      <c r="BPH43" s="64"/>
      <c r="BPI43" s="64"/>
      <c r="BPJ43" s="64"/>
      <c r="BPK43" s="64"/>
      <c r="BPL43" s="33"/>
      <c r="BPM43" s="137"/>
      <c r="BPN43" s="33"/>
      <c r="BPO43" s="33"/>
      <c r="BPP43" s="33"/>
      <c r="BPQ43" s="33"/>
      <c r="BPR43" s="33"/>
      <c r="BPS43" s="74"/>
      <c r="BPT43" s="33"/>
      <c r="BPU43" s="33"/>
      <c r="BPV43" s="33"/>
      <c r="BPW43" s="33"/>
      <c r="BPX43" s="33"/>
      <c r="BPY43" s="137"/>
      <c r="BPZ43" s="33"/>
      <c r="BQA43" s="33"/>
      <c r="BQB43" s="33"/>
      <c r="BQC43" s="33"/>
      <c r="BQD43" s="33"/>
      <c r="BQE43" s="74"/>
      <c r="BQF43" s="33"/>
      <c r="BQG43" s="33"/>
      <c r="BQH43" s="33"/>
      <c r="BQI43" s="33"/>
      <c r="BQJ43" s="33"/>
      <c r="BQK43" s="34"/>
      <c r="BQL43" s="32"/>
      <c r="BQM43" s="64"/>
      <c r="BQN43" s="64"/>
      <c r="BQO43" s="64"/>
      <c r="BQP43" s="33"/>
      <c r="BQQ43" s="132"/>
      <c r="BQR43" s="33"/>
      <c r="BQS43" s="33"/>
      <c r="BQT43" s="33"/>
      <c r="BQU43" s="33"/>
      <c r="BQV43" s="33"/>
      <c r="BQW43" s="137"/>
      <c r="BQX43" s="33"/>
      <c r="BQY43" s="33"/>
      <c r="BQZ43" s="33"/>
      <c r="BRA43" s="33"/>
      <c r="BRB43" s="33"/>
      <c r="BRC43" s="74"/>
      <c r="BRD43" s="33"/>
      <c r="BRE43" s="33"/>
      <c r="BRF43" s="33"/>
      <c r="BRG43" s="33"/>
      <c r="BRH43" s="33"/>
      <c r="BRI43" s="137"/>
      <c r="BRJ43" s="33"/>
      <c r="BRK43" s="33"/>
      <c r="BRL43" s="33"/>
      <c r="BRM43" s="33"/>
      <c r="BRN43" s="33"/>
      <c r="BRO43" s="74"/>
      <c r="BRP43" s="64"/>
      <c r="BRQ43" s="64"/>
      <c r="BRR43" s="64"/>
      <c r="BRS43" s="64"/>
      <c r="BRT43" s="33"/>
      <c r="BRU43" s="137"/>
      <c r="BRV43" s="33"/>
      <c r="BRW43" s="33"/>
      <c r="BRX43" s="33"/>
      <c r="BRY43" s="33"/>
      <c r="BRZ43" s="33"/>
      <c r="BSA43" s="74"/>
      <c r="BSB43" s="33"/>
      <c r="BSC43" s="33"/>
      <c r="BSD43" s="33"/>
      <c r="BSE43" s="33"/>
      <c r="BSF43" s="33"/>
      <c r="BSG43" s="137"/>
      <c r="BSH43" s="33"/>
      <c r="BSI43" s="33"/>
      <c r="BSJ43" s="33"/>
      <c r="BSK43" s="33"/>
      <c r="BSL43" s="33"/>
      <c r="BSM43" s="74"/>
      <c r="BSN43" s="33"/>
      <c r="BSO43" s="33"/>
      <c r="BSP43" s="33"/>
      <c r="BSQ43" s="33"/>
      <c r="BSR43" s="33"/>
      <c r="BSS43" s="34"/>
      <c r="BST43" s="32"/>
      <c r="BSU43" s="64"/>
      <c r="BSV43" s="64"/>
      <c r="BSW43" s="64"/>
      <c r="BSX43" s="33"/>
      <c r="BSY43" s="132"/>
      <c r="BSZ43" s="33"/>
      <c r="BTA43" s="33"/>
      <c r="BTB43" s="33"/>
      <c r="BTC43" s="33"/>
      <c r="BTD43" s="33"/>
      <c r="BTE43" s="137"/>
      <c r="BTF43" s="33"/>
      <c r="BTG43" s="33"/>
      <c r="BTH43" s="33"/>
      <c r="BTI43" s="33"/>
      <c r="BTJ43" s="33"/>
      <c r="BTK43" s="74"/>
      <c r="BTL43" s="33"/>
      <c r="BTM43" s="33"/>
      <c r="BTN43" s="33"/>
      <c r="BTO43" s="33"/>
      <c r="BTP43" s="33"/>
      <c r="BTQ43" s="137"/>
      <c r="BTR43" s="33"/>
      <c r="BTS43" s="33"/>
      <c r="BTT43" s="33"/>
      <c r="BTU43" s="33"/>
      <c r="BTV43" s="33"/>
      <c r="BTW43" s="74"/>
      <c r="BTX43" s="64"/>
      <c r="BTY43" s="64"/>
      <c r="BTZ43" s="64"/>
      <c r="BUA43" s="64"/>
      <c r="BUB43" s="33"/>
      <c r="BUC43" s="137"/>
      <c r="BUD43" s="33"/>
      <c r="BUE43" s="33"/>
      <c r="BUF43" s="33"/>
      <c r="BUG43" s="33"/>
      <c r="BUH43" s="33"/>
      <c r="BUI43" s="74"/>
      <c r="BUJ43" s="33"/>
      <c r="BUK43" s="33"/>
      <c r="BUL43" s="33"/>
      <c r="BUM43" s="33"/>
      <c r="BUN43" s="33"/>
      <c r="BUO43" s="137"/>
      <c r="BUP43" s="33"/>
      <c r="BUQ43" s="33"/>
      <c r="BUR43" s="33"/>
      <c r="BUS43" s="33"/>
      <c r="BUT43" s="33"/>
      <c r="BUU43" s="74"/>
      <c r="BUV43" s="33"/>
      <c r="BUW43" s="33"/>
      <c r="BUX43" s="33"/>
      <c r="BUY43" s="33"/>
      <c r="BUZ43" s="33"/>
      <c r="BVA43" s="34"/>
      <c r="BVB43" s="32"/>
      <c r="BVC43" s="64"/>
      <c r="BVD43" s="64"/>
      <c r="BVE43" s="64"/>
      <c r="BVF43" s="33"/>
      <c r="BVG43" s="132"/>
      <c r="BVH43" s="33"/>
      <c r="BVI43" s="33"/>
      <c r="BVJ43" s="33"/>
      <c r="BVK43" s="33"/>
      <c r="BVL43" s="33"/>
      <c r="BVM43" s="137"/>
      <c r="BVN43" s="33"/>
      <c r="BVO43" s="33"/>
      <c r="BVP43" s="33"/>
      <c r="BVQ43" s="33"/>
      <c r="BVR43" s="33"/>
      <c r="BVS43" s="74"/>
      <c r="BVT43" s="33"/>
      <c r="BVU43" s="33"/>
      <c r="BVV43" s="33"/>
      <c r="BVW43" s="33"/>
      <c r="BVX43" s="33"/>
      <c r="BVY43" s="137"/>
      <c r="BVZ43" s="33"/>
      <c r="BWA43" s="33"/>
      <c r="BWB43" s="33"/>
      <c r="BWC43" s="33"/>
      <c r="BWD43" s="33"/>
      <c r="BWE43" s="74"/>
      <c r="BWF43" s="64"/>
      <c r="BWG43" s="64"/>
      <c r="BWH43" s="64"/>
      <c r="BWI43" s="64"/>
      <c r="BWJ43" s="33"/>
      <c r="BWK43" s="137"/>
      <c r="BWL43" s="33"/>
      <c r="BWM43" s="33"/>
      <c r="BWN43" s="33"/>
      <c r="BWO43" s="33"/>
      <c r="BWP43" s="33"/>
      <c r="BWQ43" s="74"/>
      <c r="BWR43" s="33"/>
      <c r="BWS43" s="33"/>
      <c r="BWT43" s="33"/>
      <c r="BWU43" s="33"/>
      <c r="BWV43" s="33"/>
      <c r="BWW43" s="137"/>
      <c r="BWX43" s="33"/>
      <c r="BWY43" s="33"/>
      <c r="BWZ43" s="33"/>
      <c r="BXA43" s="33"/>
      <c r="BXB43" s="33"/>
      <c r="BXC43" s="74"/>
      <c r="BXD43" s="33"/>
      <c r="BXE43" s="33"/>
      <c r="BXF43" s="33"/>
      <c r="BXG43" s="33"/>
      <c r="BXH43" s="33"/>
      <c r="BXI43" s="34"/>
      <c r="BXJ43" s="32"/>
      <c r="BXK43" s="64"/>
      <c r="BXL43" s="64"/>
      <c r="BXM43" s="64"/>
      <c r="BXN43" s="33"/>
      <c r="BXO43" s="132"/>
      <c r="BXP43" s="33"/>
      <c r="BXQ43" s="33"/>
      <c r="BXR43" s="33"/>
      <c r="BXS43" s="33"/>
      <c r="BXT43" s="33"/>
      <c r="BXU43" s="137"/>
      <c r="BXV43" s="33"/>
      <c r="BXW43" s="33"/>
      <c r="BXX43" s="33"/>
      <c r="BXY43" s="33"/>
      <c r="BXZ43" s="33"/>
      <c r="BYA43" s="74"/>
      <c r="BYB43" s="33"/>
      <c r="BYC43" s="33"/>
      <c r="BYD43" s="33"/>
      <c r="BYE43" s="33"/>
      <c r="BYF43" s="33"/>
      <c r="BYG43" s="137"/>
      <c r="BYH43" s="33"/>
      <c r="BYI43" s="33"/>
      <c r="BYJ43" s="33"/>
      <c r="BYK43" s="33"/>
      <c r="BYL43" s="33"/>
      <c r="BYM43" s="74"/>
      <c r="BYN43" s="64"/>
      <c r="BYO43" s="64"/>
      <c r="BYP43" s="64"/>
      <c r="BYQ43" s="64"/>
      <c r="BYR43" s="33"/>
      <c r="BYS43" s="137"/>
      <c r="BYT43" s="33"/>
      <c r="BYU43" s="33"/>
      <c r="BYV43" s="33"/>
      <c r="BYW43" s="33"/>
      <c r="BYX43" s="33"/>
      <c r="BYY43" s="74"/>
      <c r="BYZ43" s="33"/>
      <c r="BZA43" s="33"/>
      <c r="BZB43" s="33"/>
      <c r="BZC43" s="33"/>
      <c r="BZD43" s="33"/>
      <c r="BZE43" s="137"/>
      <c r="BZF43" s="33"/>
      <c r="BZG43" s="33"/>
      <c r="BZH43" s="33"/>
      <c r="BZI43" s="33"/>
      <c r="BZJ43" s="33"/>
      <c r="BZK43" s="74"/>
      <c r="BZL43" s="33"/>
      <c r="BZM43" s="33"/>
      <c r="BZN43" s="33"/>
      <c r="BZO43" s="33"/>
      <c r="BZP43" s="33"/>
      <c r="BZQ43" s="34"/>
      <c r="BZR43" s="32"/>
      <c r="BZS43" s="64"/>
      <c r="BZT43" s="64"/>
      <c r="BZU43" s="64"/>
      <c r="BZV43" s="33"/>
      <c r="BZW43" s="132"/>
      <c r="BZX43" s="33"/>
      <c r="BZY43" s="33"/>
      <c r="BZZ43" s="33"/>
      <c r="CAA43" s="33"/>
      <c r="CAB43" s="33"/>
      <c r="CAC43" s="137"/>
      <c r="CAD43" s="33"/>
      <c r="CAE43" s="33"/>
      <c r="CAF43" s="33"/>
      <c r="CAG43" s="33"/>
      <c r="CAH43" s="33"/>
      <c r="CAI43" s="74"/>
      <c r="CAJ43" s="33"/>
      <c r="CAK43" s="33"/>
      <c r="CAL43" s="33"/>
      <c r="CAM43" s="33"/>
      <c r="CAN43" s="33"/>
      <c r="CAO43" s="137"/>
      <c r="CAP43" s="33"/>
      <c r="CAQ43" s="33"/>
      <c r="CAR43" s="33"/>
      <c r="CAS43" s="33"/>
      <c r="CAT43" s="33"/>
      <c r="CAU43" s="74"/>
      <c r="CAV43" s="64"/>
      <c r="CAW43" s="64"/>
      <c r="CAX43" s="64"/>
      <c r="CAY43" s="64"/>
      <c r="CAZ43" s="33"/>
      <c r="CBA43" s="137"/>
      <c r="CBB43" s="33"/>
      <c r="CBC43" s="33"/>
      <c r="CBD43" s="33"/>
      <c r="CBE43" s="33"/>
      <c r="CBF43" s="33"/>
      <c r="CBG43" s="74"/>
      <c r="CBH43" s="33"/>
      <c r="CBI43" s="33"/>
      <c r="CBJ43" s="33"/>
      <c r="CBK43" s="33"/>
      <c r="CBL43" s="33"/>
      <c r="CBM43" s="137"/>
      <c r="CBN43" s="33"/>
      <c r="CBO43" s="33"/>
      <c r="CBP43" s="33"/>
      <c r="CBQ43" s="33"/>
      <c r="CBR43" s="33"/>
      <c r="CBS43" s="74"/>
      <c r="CBT43" s="33"/>
      <c r="CBU43" s="33"/>
      <c r="CBV43" s="33"/>
      <c r="CBW43" s="33"/>
      <c r="CBX43" s="33"/>
      <c r="CBY43" s="34"/>
      <c r="CBZ43" s="90"/>
    </row>
    <row r="44" spans="1:2106" ht="20.100000000000001" customHeight="1" x14ac:dyDescent="0.3">
      <c r="A44" s="100" t="s">
        <v>23</v>
      </c>
      <c r="B44" s="63" t="str">
        <f>IF(LEN(C73)=0,"",C73)</f>
        <v/>
      </c>
      <c r="C44" s="171"/>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36"/>
      <c r="BLW44" s="65"/>
      <c r="BLX44" s="65"/>
      <c r="BLY44" s="65"/>
      <c r="BLZ44" s="37"/>
      <c r="BMA44" s="133"/>
      <c r="BMB44" s="37"/>
      <c r="BMC44" s="37"/>
      <c r="BMD44" s="37"/>
      <c r="BME44" s="37"/>
      <c r="BMF44" s="37"/>
      <c r="BMG44" s="138"/>
      <c r="BMH44" s="37"/>
      <c r="BMI44" s="37"/>
      <c r="BMJ44" s="37"/>
      <c r="BMK44" s="37"/>
      <c r="BML44" s="37"/>
      <c r="BMM44" s="75"/>
      <c r="BMN44" s="37"/>
      <c r="BMO44" s="37"/>
      <c r="BMP44" s="37"/>
      <c r="BMQ44" s="37"/>
      <c r="BMR44" s="37"/>
      <c r="BMS44" s="138"/>
      <c r="BMT44" s="37"/>
      <c r="BMU44" s="37"/>
      <c r="BMV44" s="37"/>
      <c r="BMW44" s="37"/>
      <c r="BMX44" s="37"/>
      <c r="BMY44" s="75"/>
      <c r="BMZ44" s="65"/>
      <c r="BNA44" s="65"/>
      <c r="BNB44" s="65"/>
      <c r="BNC44" s="65"/>
      <c r="BND44" s="37"/>
      <c r="BNE44" s="138"/>
      <c r="BNF44" s="37"/>
      <c r="BNG44" s="37"/>
      <c r="BNH44" s="37"/>
      <c r="BNI44" s="37"/>
      <c r="BNJ44" s="37"/>
      <c r="BNK44" s="75"/>
      <c r="BNL44" s="37"/>
      <c r="BNM44" s="37"/>
      <c r="BNN44" s="37"/>
      <c r="BNO44" s="37"/>
      <c r="BNP44" s="37"/>
      <c r="BNQ44" s="138"/>
      <c r="BNR44" s="37"/>
      <c r="BNS44" s="37"/>
      <c r="BNT44" s="37"/>
      <c r="BNU44" s="37"/>
      <c r="BNV44" s="37"/>
      <c r="BNW44" s="75"/>
      <c r="BNX44" s="37"/>
      <c r="BNY44" s="37"/>
      <c r="BNZ44" s="37"/>
      <c r="BOA44" s="37"/>
      <c r="BOB44" s="37"/>
      <c r="BOC44" s="38"/>
      <c r="BOD44" s="36"/>
      <c r="BOE44" s="65"/>
      <c r="BOF44" s="65"/>
      <c r="BOG44" s="65"/>
      <c r="BOH44" s="37"/>
      <c r="BOI44" s="133"/>
      <c r="BOJ44" s="37"/>
      <c r="BOK44" s="37"/>
      <c r="BOL44" s="37"/>
      <c r="BOM44" s="37"/>
      <c r="BON44" s="37"/>
      <c r="BOO44" s="138"/>
      <c r="BOP44" s="37"/>
      <c r="BOQ44" s="37"/>
      <c r="BOR44" s="37"/>
      <c r="BOS44" s="37"/>
      <c r="BOT44" s="37"/>
      <c r="BOU44" s="75"/>
      <c r="BOV44" s="37"/>
      <c r="BOW44" s="37"/>
      <c r="BOX44" s="37"/>
      <c r="BOY44" s="37"/>
      <c r="BOZ44" s="37"/>
      <c r="BPA44" s="138"/>
      <c r="BPB44" s="37"/>
      <c r="BPC44" s="37"/>
      <c r="BPD44" s="37"/>
      <c r="BPE44" s="37"/>
      <c r="BPF44" s="37"/>
      <c r="BPG44" s="75"/>
      <c r="BPH44" s="65"/>
      <c r="BPI44" s="65"/>
      <c r="BPJ44" s="65"/>
      <c r="BPK44" s="65"/>
      <c r="BPL44" s="37"/>
      <c r="BPM44" s="138"/>
      <c r="BPN44" s="37"/>
      <c r="BPO44" s="37"/>
      <c r="BPP44" s="37"/>
      <c r="BPQ44" s="37"/>
      <c r="BPR44" s="37"/>
      <c r="BPS44" s="75"/>
      <c r="BPT44" s="37"/>
      <c r="BPU44" s="37"/>
      <c r="BPV44" s="37"/>
      <c r="BPW44" s="37"/>
      <c r="BPX44" s="37"/>
      <c r="BPY44" s="138"/>
      <c r="BPZ44" s="37"/>
      <c r="BQA44" s="37"/>
      <c r="BQB44" s="37"/>
      <c r="BQC44" s="37"/>
      <c r="BQD44" s="37"/>
      <c r="BQE44" s="75"/>
      <c r="BQF44" s="37"/>
      <c r="BQG44" s="37"/>
      <c r="BQH44" s="37"/>
      <c r="BQI44" s="37"/>
      <c r="BQJ44" s="37"/>
      <c r="BQK44" s="38"/>
      <c r="BQL44" s="36"/>
      <c r="BQM44" s="65"/>
      <c r="BQN44" s="65"/>
      <c r="BQO44" s="65"/>
      <c r="BQP44" s="37"/>
      <c r="BQQ44" s="133"/>
      <c r="BQR44" s="37"/>
      <c r="BQS44" s="37"/>
      <c r="BQT44" s="37"/>
      <c r="BQU44" s="37"/>
      <c r="BQV44" s="37"/>
      <c r="BQW44" s="138"/>
      <c r="BQX44" s="37"/>
      <c r="BQY44" s="37"/>
      <c r="BQZ44" s="37"/>
      <c r="BRA44" s="37"/>
      <c r="BRB44" s="37"/>
      <c r="BRC44" s="75"/>
      <c r="BRD44" s="37"/>
      <c r="BRE44" s="37"/>
      <c r="BRF44" s="37"/>
      <c r="BRG44" s="37"/>
      <c r="BRH44" s="37"/>
      <c r="BRI44" s="138"/>
      <c r="BRJ44" s="37"/>
      <c r="BRK44" s="37"/>
      <c r="BRL44" s="37"/>
      <c r="BRM44" s="37"/>
      <c r="BRN44" s="37"/>
      <c r="BRO44" s="75"/>
      <c r="BRP44" s="65"/>
      <c r="BRQ44" s="65"/>
      <c r="BRR44" s="65"/>
      <c r="BRS44" s="65"/>
      <c r="BRT44" s="37"/>
      <c r="BRU44" s="138"/>
      <c r="BRV44" s="37"/>
      <c r="BRW44" s="37"/>
      <c r="BRX44" s="37"/>
      <c r="BRY44" s="37"/>
      <c r="BRZ44" s="37"/>
      <c r="BSA44" s="75"/>
      <c r="BSB44" s="37"/>
      <c r="BSC44" s="37"/>
      <c r="BSD44" s="37"/>
      <c r="BSE44" s="37"/>
      <c r="BSF44" s="37"/>
      <c r="BSG44" s="138"/>
      <c r="BSH44" s="37"/>
      <c r="BSI44" s="37"/>
      <c r="BSJ44" s="37"/>
      <c r="BSK44" s="37"/>
      <c r="BSL44" s="37"/>
      <c r="BSM44" s="75"/>
      <c r="BSN44" s="37"/>
      <c r="BSO44" s="37"/>
      <c r="BSP44" s="37"/>
      <c r="BSQ44" s="37"/>
      <c r="BSR44" s="37"/>
      <c r="BSS44" s="38"/>
      <c r="BST44" s="36"/>
      <c r="BSU44" s="65"/>
      <c r="BSV44" s="65"/>
      <c r="BSW44" s="65"/>
      <c r="BSX44" s="37"/>
      <c r="BSY44" s="133"/>
      <c r="BSZ44" s="37"/>
      <c r="BTA44" s="37"/>
      <c r="BTB44" s="37"/>
      <c r="BTC44" s="37"/>
      <c r="BTD44" s="37"/>
      <c r="BTE44" s="138"/>
      <c r="BTF44" s="37"/>
      <c r="BTG44" s="37"/>
      <c r="BTH44" s="37"/>
      <c r="BTI44" s="37"/>
      <c r="BTJ44" s="37"/>
      <c r="BTK44" s="75"/>
      <c r="BTL44" s="37"/>
      <c r="BTM44" s="37"/>
      <c r="BTN44" s="37"/>
      <c r="BTO44" s="37"/>
      <c r="BTP44" s="37"/>
      <c r="BTQ44" s="138"/>
      <c r="BTR44" s="37"/>
      <c r="BTS44" s="37"/>
      <c r="BTT44" s="37"/>
      <c r="BTU44" s="37"/>
      <c r="BTV44" s="37"/>
      <c r="BTW44" s="75"/>
      <c r="BTX44" s="65"/>
      <c r="BTY44" s="65"/>
      <c r="BTZ44" s="65"/>
      <c r="BUA44" s="65"/>
      <c r="BUB44" s="37"/>
      <c r="BUC44" s="138"/>
      <c r="BUD44" s="37"/>
      <c r="BUE44" s="37"/>
      <c r="BUF44" s="37"/>
      <c r="BUG44" s="37"/>
      <c r="BUH44" s="37"/>
      <c r="BUI44" s="75"/>
      <c r="BUJ44" s="37"/>
      <c r="BUK44" s="37"/>
      <c r="BUL44" s="37"/>
      <c r="BUM44" s="37"/>
      <c r="BUN44" s="37"/>
      <c r="BUO44" s="138"/>
      <c r="BUP44" s="37"/>
      <c r="BUQ44" s="37"/>
      <c r="BUR44" s="37"/>
      <c r="BUS44" s="37"/>
      <c r="BUT44" s="37"/>
      <c r="BUU44" s="75"/>
      <c r="BUV44" s="37"/>
      <c r="BUW44" s="37"/>
      <c r="BUX44" s="37"/>
      <c r="BUY44" s="37"/>
      <c r="BUZ44" s="37"/>
      <c r="BVA44" s="38"/>
      <c r="BVB44" s="36"/>
      <c r="BVC44" s="65"/>
      <c r="BVD44" s="65"/>
      <c r="BVE44" s="65"/>
      <c r="BVF44" s="37"/>
      <c r="BVG44" s="133"/>
      <c r="BVH44" s="37"/>
      <c r="BVI44" s="37"/>
      <c r="BVJ44" s="37"/>
      <c r="BVK44" s="37"/>
      <c r="BVL44" s="37"/>
      <c r="BVM44" s="138"/>
      <c r="BVN44" s="37"/>
      <c r="BVO44" s="37"/>
      <c r="BVP44" s="37"/>
      <c r="BVQ44" s="37"/>
      <c r="BVR44" s="37"/>
      <c r="BVS44" s="75"/>
      <c r="BVT44" s="37"/>
      <c r="BVU44" s="37"/>
      <c r="BVV44" s="37"/>
      <c r="BVW44" s="37"/>
      <c r="BVX44" s="37"/>
      <c r="BVY44" s="138"/>
      <c r="BVZ44" s="37"/>
      <c r="BWA44" s="37"/>
      <c r="BWB44" s="37"/>
      <c r="BWC44" s="37"/>
      <c r="BWD44" s="37"/>
      <c r="BWE44" s="75"/>
      <c r="BWF44" s="65"/>
      <c r="BWG44" s="65"/>
      <c r="BWH44" s="65"/>
      <c r="BWI44" s="65"/>
      <c r="BWJ44" s="37"/>
      <c r="BWK44" s="138"/>
      <c r="BWL44" s="37"/>
      <c r="BWM44" s="37"/>
      <c r="BWN44" s="37"/>
      <c r="BWO44" s="37"/>
      <c r="BWP44" s="37"/>
      <c r="BWQ44" s="75"/>
      <c r="BWR44" s="37"/>
      <c r="BWS44" s="37"/>
      <c r="BWT44" s="37"/>
      <c r="BWU44" s="37"/>
      <c r="BWV44" s="37"/>
      <c r="BWW44" s="138"/>
      <c r="BWX44" s="37"/>
      <c r="BWY44" s="37"/>
      <c r="BWZ44" s="37"/>
      <c r="BXA44" s="37"/>
      <c r="BXB44" s="37"/>
      <c r="BXC44" s="75"/>
      <c r="BXD44" s="37"/>
      <c r="BXE44" s="37"/>
      <c r="BXF44" s="37"/>
      <c r="BXG44" s="37"/>
      <c r="BXH44" s="37"/>
      <c r="BXI44" s="38"/>
      <c r="BXJ44" s="36"/>
      <c r="BXK44" s="65"/>
      <c r="BXL44" s="65"/>
      <c r="BXM44" s="65"/>
      <c r="BXN44" s="37"/>
      <c r="BXO44" s="133"/>
      <c r="BXP44" s="37"/>
      <c r="BXQ44" s="37"/>
      <c r="BXR44" s="37"/>
      <c r="BXS44" s="37"/>
      <c r="BXT44" s="37"/>
      <c r="BXU44" s="138"/>
      <c r="BXV44" s="37"/>
      <c r="BXW44" s="37"/>
      <c r="BXX44" s="37"/>
      <c r="BXY44" s="37"/>
      <c r="BXZ44" s="37"/>
      <c r="BYA44" s="75"/>
      <c r="BYB44" s="37"/>
      <c r="BYC44" s="37"/>
      <c r="BYD44" s="37"/>
      <c r="BYE44" s="37"/>
      <c r="BYF44" s="37"/>
      <c r="BYG44" s="138"/>
      <c r="BYH44" s="37"/>
      <c r="BYI44" s="37"/>
      <c r="BYJ44" s="37"/>
      <c r="BYK44" s="37"/>
      <c r="BYL44" s="37"/>
      <c r="BYM44" s="75"/>
      <c r="BYN44" s="65"/>
      <c r="BYO44" s="65"/>
      <c r="BYP44" s="65"/>
      <c r="BYQ44" s="65"/>
      <c r="BYR44" s="37"/>
      <c r="BYS44" s="138"/>
      <c r="BYT44" s="37"/>
      <c r="BYU44" s="37"/>
      <c r="BYV44" s="37"/>
      <c r="BYW44" s="37"/>
      <c r="BYX44" s="37"/>
      <c r="BYY44" s="75"/>
      <c r="BYZ44" s="37"/>
      <c r="BZA44" s="37"/>
      <c r="BZB44" s="37"/>
      <c r="BZC44" s="37"/>
      <c r="BZD44" s="37"/>
      <c r="BZE44" s="138"/>
      <c r="BZF44" s="37"/>
      <c r="BZG44" s="37"/>
      <c r="BZH44" s="37"/>
      <c r="BZI44" s="37"/>
      <c r="BZJ44" s="37"/>
      <c r="BZK44" s="75"/>
      <c r="BZL44" s="37"/>
      <c r="BZM44" s="37"/>
      <c r="BZN44" s="37"/>
      <c r="BZO44" s="37"/>
      <c r="BZP44" s="37"/>
      <c r="BZQ44" s="38"/>
      <c r="BZR44" s="36"/>
      <c r="BZS44" s="65"/>
      <c r="BZT44" s="65"/>
      <c r="BZU44" s="65"/>
      <c r="BZV44" s="37"/>
      <c r="BZW44" s="133"/>
      <c r="BZX44" s="37"/>
      <c r="BZY44" s="37"/>
      <c r="BZZ44" s="37"/>
      <c r="CAA44" s="37"/>
      <c r="CAB44" s="37"/>
      <c r="CAC44" s="138"/>
      <c r="CAD44" s="37"/>
      <c r="CAE44" s="37"/>
      <c r="CAF44" s="37"/>
      <c r="CAG44" s="37"/>
      <c r="CAH44" s="37"/>
      <c r="CAI44" s="75"/>
      <c r="CAJ44" s="37"/>
      <c r="CAK44" s="37"/>
      <c r="CAL44" s="37"/>
      <c r="CAM44" s="37"/>
      <c r="CAN44" s="37"/>
      <c r="CAO44" s="138"/>
      <c r="CAP44" s="37"/>
      <c r="CAQ44" s="37"/>
      <c r="CAR44" s="37"/>
      <c r="CAS44" s="37"/>
      <c r="CAT44" s="37"/>
      <c r="CAU44" s="75"/>
      <c r="CAV44" s="65"/>
      <c r="CAW44" s="65"/>
      <c r="CAX44" s="65"/>
      <c r="CAY44" s="65"/>
      <c r="CAZ44" s="37"/>
      <c r="CBA44" s="138"/>
      <c r="CBB44" s="37"/>
      <c r="CBC44" s="37"/>
      <c r="CBD44" s="37"/>
      <c r="CBE44" s="37"/>
      <c r="CBF44" s="37"/>
      <c r="CBG44" s="75"/>
      <c r="CBH44" s="37"/>
      <c r="CBI44" s="37"/>
      <c r="CBJ44" s="37"/>
      <c r="CBK44" s="37"/>
      <c r="CBL44" s="37"/>
      <c r="CBM44" s="138"/>
      <c r="CBN44" s="37"/>
      <c r="CBO44" s="37"/>
      <c r="CBP44" s="37"/>
      <c r="CBQ44" s="37"/>
      <c r="CBR44" s="37"/>
      <c r="CBS44" s="75"/>
      <c r="CBT44" s="37"/>
      <c r="CBU44" s="37"/>
      <c r="CBV44" s="37"/>
      <c r="CBW44" s="37"/>
      <c r="CBX44" s="37"/>
      <c r="CBY44" s="38"/>
      <c r="CBZ44" s="90"/>
    </row>
    <row r="45" spans="1:2106" ht="20.100000000000001" customHeight="1" x14ac:dyDescent="0.25">
      <c r="A45" s="100" t="s">
        <v>22</v>
      </c>
      <c r="B45" s="63" t="str">
        <f>IF(LEN(C75)=0,"",C75)</f>
        <v/>
      </c>
      <c r="C45" s="170"/>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40"/>
      <c r="BLW45" s="66"/>
      <c r="BLX45" s="66"/>
      <c r="BLY45" s="66"/>
      <c r="BLZ45" s="41"/>
      <c r="BMA45" s="134"/>
      <c r="BMB45" s="41"/>
      <c r="BMC45" s="41"/>
      <c r="BMD45" s="41"/>
      <c r="BME45" s="41"/>
      <c r="BMF45" s="41"/>
      <c r="BMG45" s="139"/>
      <c r="BMH45" s="41"/>
      <c r="BMI45" s="41"/>
      <c r="BMJ45" s="41"/>
      <c r="BMK45" s="41"/>
      <c r="BML45" s="41"/>
      <c r="BMM45" s="76"/>
      <c r="BMN45" s="41"/>
      <c r="BMO45" s="41"/>
      <c r="BMP45" s="41"/>
      <c r="BMQ45" s="41"/>
      <c r="BMR45" s="41"/>
      <c r="BMS45" s="139"/>
      <c r="BMT45" s="41"/>
      <c r="BMU45" s="41"/>
      <c r="BMV45" s="41"/>
      <c r="BMW45" s="41"/>
      <c r="BMX45" s="41"/>
      <c r="BMY45" s="76"/>
      <c r="BMZ45" s="66"/>
      <c r="BNA45" s="66"/>
      <c r="BNB45" s="66"/>
      <c r="BNC45" s="66"/>
      <c r="BND45" s="41"/>
      <c r="BNE45" s="139"/>
      <c r="BNF45" s="41"/>
      <c r="BNG45" s="41"/>
      <c r="BNH45" s="41"/>
      <c r="BNI45" s="41"/>
      <c r="BNJ45" s="41"/>
      <c r="BNK45" s="76"/>
      <c r="BNL45" s="41"/>
      <c r="BNM45" s="41"/>
      <c r="BNN45" s="41"/>
      <c r="BNO45" s="41"/>
      <c r="BNP45" s="41"/>
      <c r="BNQ45" s="139"/>
      <c r="BNR45" s="41"/>
      <c r="BNS45" s="41"/>
      <c r="BNT45" s="41"/>
      <c r="BNU45" s="41"/>
      <c r="BNV45" s="41"/>
      <c r="BNW45" s="76"/>
      <c r="BNX45" s="41"/>
      <c r="BNY45" s="41"/>
      <c r="BNZ45" s="41"/>
      <c r="BOA45" s="41"/>
      <c r="BOB45" s="41"/>
      <c r="BOC45" s="42"/>
      <c r="BOD45" s="40"/>
      <c r="BOE45" s="66"/>
      <c r="BOF45" s="66"/>
      <c r="BOG45" s="66"/>
      <c r="BOH45" s="41"/>
      <c r="BOI45" s="134"/>
      <c r="BOJ45" s="41"/>
      <c r="BOK45" s="41"/>
      <c r="BOL45" s="41"/>
      <c r="BOM45" s="41"/>
      <c r="BON45" s="41"/>
      <c r="BOO45" s="139"/>
      <c r="BOP45" s="41"/>
      <c r="BOQ45" s="41"/>
      <c r="BOR45" s="41"/>
      <c r="BOS45" s="41"/>
      <c r="BOT45" s="41"/>
      <c r="BOU45" s="76"/>
      <c r="BOV45" s="41"/>
      <c r="BOW45" s="41"/>
      <c r="BOX45" s="41"/>
      <c r="BOY45" s="41"/>
      <c r="BOZ45" s="41"/>
      <c r="BPA45" s="139"/>
      <c r="BPB45" s="41"/>
      <c r="BPC45" s="41"/>
      <c r="BPD45" s="41"/>
      <c r="BPE45" s="41"/>
      <c r="BPF45" s="41"/>
      <c r="BPG45" s="76"/>
      <c r="BPH45" s="66"/>
      <c r="BPI45" s="66"/>
      <c r="BPJ45" s="66"/>
      <c r="BPK45" s="66"/>
      <c r="BPL45" s="41"/>
      <c r="BPM45" s="139"/>
      <c r="BPN45" s="41"/>
      <c r="BPO45" s="41"/>
      <c r="BPP45" s="41"/>
      <c r="BPQ45" s="41"/>
      <c r="BPR45" s="41"/>
      <c r="BPS45" s="76"/>
      <c r="BPT45" s="41"/>
      <c r="BPU45" s="41"/>
      <c r="BPV45" s="41"/>
      <c r="BPW45" s="41"/>
      <c r="BPX45" s="41"/>
      <c r="BPY45" s="139"/>
      <c r="BPZ45" s="41"/>
      <c r="BQA45" s="41"/>
      <c r="BQB45" s="41"/>
      <c r="BQC45" s="41"/>
      <c r="BQD45" s="41"/>
      <c r="BQE45" s="76"/>
      <c r="BQF45" s="41"/>
      <c r="BQG45" s="41"/>
      <c r="BQH45" s="41"/>
      <c r="BQI45" s="41"/>
      <c r="BQJ45" s="41"/>
      <c r="BQK45" s="42"/>
      <c r="BQL45" s="40"/>
      <c r="BQM45" s="66"/>
      <c r="BQN45" s="66"/>
      <c r="BQO45" s="66"/>
      <c r="BQP45" s="41"/>
      <c r="BQQ45" s="134"/>
      <c r="BQR45" s="41"/>
      <c r="BQS45" s="41"/>
      <c r="BQT45" s="41"/>
      <c r="BQU45" s="41"/>
      <c r="BQV45" s="41"/>
      <c r="BQW45" s="139"/>
      <c r="BQX45" s="41"/>
      <c r="BQY45" s="41"/>
      <c r="BQZ45" s="41"/>
      <c r="BRA45" s="41"/>
      <c r="BRB45" s="41"/>
      <c r="BRC45" s="76"/>
      <c r="BRD45" s="41"/>
      <c r="BRE45" s="41"/>
      <c r="BRF45" s="41"/>
      <c r="BRG45" s="41"/>
      <c r="BRH45" s="41"/>
      <c r="BRI45" s="139"/>
      <c r="BRJ45" s="41"/>
      <c r="BRK45" s="41"/>
      <c r="BRL45" s="41"/>
      <c r="BRM45" s="41"/>
      <c r="BRN45" s="41"/>
      <c r="BRO45" s="76"/>
      <c r="BRP45" s="66"/>
      <c r="BRQ45" s="66"/>
      <c r="BRR45" s="66"/>
      <c r="BRS45" s="66"/>
      <c r="BRT45" s="41"/>
      <c r="BRU45" s="139"/>
      <c r="BRV45" s="41"/>
      <c r="BRW45" s="41"/>
      <c r="BRX45" s="41"/>
      <c r="BRY45" s="41"/>
      <c r="BRZ45" s="41"/>
      <c r="BSA45" s="76"/>
      <c r="BSB45" s="41"/>
      <c r="BSC45" s="41"/>
      <c r="BSD45" s="41"/>
      <c r="BSE45" s="41"/>
      <c r="BSF45" s="41"/>
      <c r="BSG45" s="139"/>
      <c r="BSH45" s="41"/>
      <c r="BSI45" s="41"/>
      <c r="BSJ45" s="41"/>
      <c r="BSK45" s="41"/>
      <c r="BSL45" s="41"/>
      <c r="BSM45" s="76"/>
      <c r="BSN45" s="41"/>
      <c r="BSO45" s="41"/>
      <c r="BSP45" s="41"/>
      <c r="BSQ45" s="41"/>
      <c r="BSR45" s="41"/>
      <c r="BSS45" s="42"/>
      <c r="BST45" s="40"/>
      <c r="BSU45" s="66"/>
      <c r="BSV45" s="66"/>
      <c r="BSW45" s="66"/>
      <c r="BSX45" s="41"/>
      <c r="BSY45" s="134"/>
      <c r="BSZ45" s="41"/>
      <c r="BTA45" s="41"/>
      <c r="BTB45" s="41"/>
      <c r="BTC45" s="41"/>
      <c r="BTD45" s="41"/>
      <c r="BTE45" s="139"/>
      <c r="BTF45" s="41"/>
      <c r="BTG45" s="41"/>
      <c r="BTH45" s="41"/>
      <c r="BTI45" s="41"/>
      <c r="BTJ45" s="41"/>
      <c r="BTK45" s="76"/>
      <c r="BTL45" s="41"/>
      <c r="BTM45" s="41"/>
      <c r="BTN45" s="41"/>
      <c r="BTO45" s="41"/>
      <c r="BTP45" s="41"/>
      <c r="BTQ45" s="139"/>
      <c r="BTR45" s="41"/>
      <c r="BTS45" s="41"/>
      <c r="BTT45" s="41"/>
      <c r="BTU45" s="41"/>
      <c r="BTV45" s="41"/>
      <c r="BTW45" s="76"/>
      <c r="BTX45" s="66"/>
      <c r="BTY45" s="66"/>
      <c r="BTZ45" s="66"/>
      <c r="BUA45" s="66"/>
      <c r="BUB45" s="41"/>
      <c r="BUC45" s="139"/>
      <c r="BUD45" s="41"/>
      <c r="BUE45" s="41"/>
      <c r="BUF45" s="41"/>
      <c r="BUG45" s="41"/>
      <c r="BUH45" s="41"/>
      <c r="BUI45" s="76"/>
      <c r="BUJ45" s="41"/>
      <c r="BUK45" s="41"/>
      <c r="BUL45" s="41"/>
      <c r="BUM45" s="41"/>
      <c r="BUN45" s="41"/>
      <c r="BUO45" s="139"/>
      <c r="BUP45" s="41"/>
      <c r="BUQ45" s="41"/>
      <c r="BUR45" s="41"/>
      <c r="BUS45" s="41"/>
      <c r="BUT45" s="41"/>
      <c r="BUU45" s="76"/>
      <c r="BUV45" s="41"/>
      <c r="BUW45" s="41"/>
      <c r="BUX45" s="41"/>
      <c r="BUY45" s="41"/>
      <c r="BUZ45" s="41"/>
      <c r="BVA45" s="42"/>
      <c r="BVB45" s="40"/>
      <c r="BVC45" s="66"/>
      <c r="BVD45" s="66"/>
      <c r="BVE45" s="66"/>
      <c r="BVF45" s="41"/>
      <c r="BVG45" s="134"/>
      <c r="BVH45" s="41"/>
      <c r="BVI45" s="41"/>
      <c r="BVJ45" s="41"/>
      <c r="BVK45" s="41"/>
      <c r="BVL45" s="41"/>
      <c r="BVM45" s="139"/>
      <c r="BVN45" s="41"/>
      <c r="BVO45" s="41"/>
      <c r="BVP45" s="41"/>
      <c r="BVQ45" s="41"/>
      <c r="BVR45" s="41"/>
      <c r="BVS45" s="76"/>
      <c r="BVT45" s="41"/>
      <c r="BVU45" s="41"/>
      <c r="BVV45" s="41"/>
      <c r="BVW45" s="41"/>
      <c r="BVX45" s="41"/>
      <c r="BVY45" s="139"/>
      <c r="BVZ45" s="41"/>
      <c r="BWA45" s="41"/>
      <c r="BWB45" s="41"/>
      <c r="BWC45" s="41"/>
      <c r="BWD45" s="41"/>
      <c r="BWE45" s="76"/>
      <c r="BWF45" s="66"/>
      <c r="BWG45" s="66"/>
      <c r="BWH45" s="66"/>
      <c r="BWI45" s="66"/>
      <c r="BWJ45" s="41"/>
      <c r="BWK45" s="139"/>
      <c r="BWL45" s="41"/>
      <c r="BWM45" s="41"/>
      <c r="BWN45" s="41"/>
      <c r="BWO45" s="41"/>
      <c r="BWP45" s="41"/>
      <c r="BWQ45" s="76"/>
      <c r="BWR45" s="41"/>
      <c r="BWS45" s="41"/>
      <c r="BWT45" s="41"/>
      <c r="BWU45" s="41"/>
      <c r="BWV45" s="41"/>
      <c r="BWW45" s="139"/>
      <c r="BWX45" s="41"/>
      <c r="BWY45" s="41"/>
      <c r="BWZ45" s="41"/>
      <c r="BXA45" s="41"/>
      <c r="BXB45" s="41"/>
      <c r="BXC45" s="76"/>
      <c r="BXD45" s="41"/>
      <c r="BXE45" s="41"/>
      <c r="BXF45" s="41"/>
      <c r="BXG45" s="41"/>
      <c r="BXH45" s="41"/>
      <c r="BXI45" s="42"/>
      <c r="BXJ45" s="40"/>
      <c r="BXK45" s="66"/>
      <c r="BXL45" s="66"/>
      <c r="BXM45" s="66"/>
      <c r="BXN45" s="41"/>
      <c r="BXO45" s="134"/>
      <c r="BXP45" s="41"/>
      <c r="BXQ45" s="41"/>
      <c r="BXR45" s="41"/>
      <c r="BXS45" s="41"/>
      <c r="BXT45" s="41"/>
      <c r="BXU45" s="139"/>
      <c r="BXV45" s="41"/>
      <c r="BXW45" s="41"/>
      <c r="BXX45" s="41"/>
      <c r="BXY45" s="41"/>
      <c r="BXZ45" s="41"/>
      <c r="BYA45" s="76"/>
      <c r="BYB45" s="41"/>
      <c r="BYC45" s="41"/>
      <c r="BYD45" s="41"/>
      <c r="BYE45" s="41"/>
      <c r="BYF45" s="41"/>
      <c r="BYG45" s="139"/>
      <c r="BYH45" s="41"/>
      <c r="BYI45" s="41"/>
      <c r="BYJ45" s="41"/>
      <c r="BYK45" s="41"/>
      <c r="BYL45" s="41"/>
      <c r="BYM45" s="76"/>
      <c r="BYN45" s="66"/>
      <c r="BYO45" s="66"/>
      <c r="BYP45" s="66"/>
      <c r="BYQ45" s="66"/>
      <c r="BYR45" s="41"/>
      <c r="BYS45" s="139"/>
      <c r="BYT45" s="41"/>
      <c r="BYU45" s="41"/>
      <c r="BYV45" s="41"/>
      <c r="BYW45" s="41"/>
      <c r="BYX45" s="41"/>
      <c r="BYY45" s="76"/>
      <c r="BYZ45" s="41"/>
      <c r="BZA45" s="41"/>
      <c r="BZB45" s="41"/>
      <c r="BZC45" s="41"/>
      <c r="BZD45" s="41"/>
      <c r="BZE45" s="139"/>
      <c r="BZF45" s="41"/>
      <c r="BZG45" s="41"/>
      <c r="BZH45" s="41"/>
      <c r="BZI45" s="41"/>
      <c r="BZJ45" s="41"/>
      <c r="BZK45" s="76"/>
      <c r="BZL45" s="41"/>
      <c r="BZM45" s="41"/>
      <c r="BZN45" s="41"/>
      <c r="BZO45" s="41"/>
      <c r="BZP45" s="41"/>
      <c r="BZQ45" s="42"/>
      <c r="BZR45" s="40"/>
      <c r="BZS45" s="66"/>
      <c r="BZT45" s="66"/>
      <c r="BZU45" s="66"/>
      <c r="BZV45" s="41"/>
      <c r="BZW45" s="134"/>
      <c r="BZX45" s="41"/>
      <c r="BZY45" s="41"/>
      <c r="BZZ45" s="41"/>
      <c r="CAA45" s="41"/>
      <c r="CAB45" s="41"/>
      <c r="CAC45" s="139"/>
      <c r="CAD45" s="41"/>
      <c r="CAE45" s="41"/>
      <c r="CAF45" s="41"/>
      <c r="CAG45" s="41"/>
      <c r="CAH45" s="41"/>
      <c r="CAI45" s="76"/>
      <c r="CAJ45" s="41"/>
      <c r="CAK45" s="41"/>
      <c r="CAL45" s="41"/>
      <c r="CAM45" s="41"/>
      <c r="CAN45" s="41"/>
      <c r="CAO45" s="139"/>
      <c r="CAP45" s="41"/>
      <c r="CAQ45" s="41"/>
      <c r="CAR45" s="41"/>
      <c r="CAS45" s="41"/>
      <c r="CAT45" s="41"/>
      <c r="CAU45" s="76"/>
      <c r="CAV45" s="66"/>
      <c r="CAW45" s="66"/>
      <c r="CAX45" s="66"/>
      <c r="CAY45" s="66"/>
      <c r="CAZ45" s="41"/>
      <c r="CBA45" s="139"/>
      <c r="CBB45" s="41"/>
      <c r="CBC45" s="41"/>
      <c r="CBD45" s="41"/>
      <c r="CBE45" s="41"/>
      <c r="CBF45" s="41"/>
      <c r="CBG45" s="76"/>
      <c r="CBH45" s="41"/>
      <c r="CBI45" s="41"/>
      <c r="CBJ45" s="41"/>
      <c r="CBK45" s="41"/>
      <c r="CBL45" s="41"/>
      <c r="CBM45" s="139"/>
      <c r="CBN45" s="41"/>
      <c r="CBO45" s="41"/>
      <c r="CBP45" s="41"/>
      <c r="CBQ45" s="41"/>
      <c r="CBR45" s="41"/>
      <c r="CBS45" s="76"/>
      <c r="CBT45" s="41"/>
      <c r="CBU45" s="41"/>
      <c r="CBV45" s="41"/>
      <c r="CBW45" s="41"/>
      <c r="CBX45" s="41"/>
      <c r="CBY45" s="42"/>
      <c r="CBZ45" s="90"/>
    </row>
    <row r="46" spans="1:2106" ht="20.100000000000001" customHeight="1" x14ac:dyDescent="0.25">
      <c r="A46" s="100" t="s">
        <v>23</v>
      </c>
      <c r="B46" s="63" t="str">
        <f>IF(LEN(C77)=0,"",C77)</f>
        <v/>
      </c>
      <c r="C46" s="172"/>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36"/>
      <c r="BLW46" s="65"/>
      <c r="BLX46" s="65"/>
      <c r="BLY46" s="65"/>
      <c r="BLZ46" s="37"/>
      <c r="BMA46" s="133"/>
      <c r="BMB46" s="37"/>
      <c r="BMC46" s="37"/>
      <c r="BMD46" s="37"/>
      <c r="BME46" s="37"/>
      <c r="BMF46" s="37"/>
      <c r="BMG46" s="138"/>
      <c r="BMH46" s="37"/>
      <c r="BMI46" s="37"/>
      <c r="BMJ46" s="37"/>
      <c r="BMK46" s="37"/>
      <c r="BML46" s="37"/>
      <c r="BMM46" s="75"/>
      <c r="BMN46" s="37"/>
      <c r="BMO46" s="37"/>
      <c r="BMP46" s="37"/>
      <c r="BMQ46" s="37"/>
      <c r="BMR46" s="37"/>
      <c r="BMS46" s="138"/>
      <c r="BMT46" s="37"/>
      <c r="BMU46" s="37"/>
      <c r="BMV46" s="37"/>
      <c r="BMW46" s="37"/>
      <c r="BMX46" s="37"/>
      <c r="BMY46" s="75"/>
      <c r="BMZ46" s="65"/>
      <c r="BNA46" s="65"/>
      <c r="BNB46" s="65"/>
      <c r="BNC46" s="65"/>
      <c r="BND46" s="37"/>
      <c r="BNE46" s="138"/>
      <c r="BNF46" s="37"/>
      <c r="BNG46" s="37"/>
      <c r="BNH46" s="37"/>
      <c r="BNI46" s="37"/>
      <c r="BNJ46" s="37"/>
      <c r="BNK46" s="75"/>
      <c r="BNL46" s="37"/>
      <c r="BNM46" s="37"/>
      <c r="BNN46" s="37"/>
      <c r="BNO46" s="37"/>
      <c r="BNP46" s="37"/>
      <c r="BNQ46" s="138"/>
      <c r="BNR46" s="37"/>
      <c r="BNS46" s="37"/>
      <c r="BNT46" s="37"/>
      <c r="BNU46" s="37"/>
      <c r="BNV46" s="37"/>
      <c r="BNW46" s="75"/>
      <c r="BNX46" s="37"/>
      <c r="BNY46" s="37"/>
      <c r="BNZ46" s="37"/>
      <c r="BOA46" s="37"/>
      <c r="BOB46" s="37"/>
      <c r="BOC46" s="38"/>
      <c r="BOD46" s="36"/>
      <c r="BOE46" s="65"/>
      <c r="BOF46" s="65"/>
      <c r="BOG46" s="65"/>
      <c r="BOH46" s="37"/>
      <c r="BOI46" s="133"/>
      <c r="BOJ46" s="37"/>
      <c r="BOK46" s="37"/>
      <c r="BOL46" s="37"/>
      <c r="BOM46" s="37"/>
      <c r="BON46" s="37"/>
      <c r="BOO46" s="138"/>
      <c r="BOP46" s="37"/>
      <c r="BOQ46" s="37"/>
      <c r="BOR46" s="37"/>
      <c r="BOS46" s="37"/>
      <c r="BOT46" s="37"/>
      <c r="BOU46" s="75"/>
      <c r="BOV46" s="37"/>
      <c r="BOW46" s="37"/>
      <c r="BOX46" s="37"/>
      <c r="BOY46" s="37"/>
      <c r="BOZ46" s="37"/>
      <c r="BPA46" s="138"/>
      <c r="BPB46" s="37"/>
      <c r="BPC46" s="37"/>
      <c r="BPD46" s="37"/>
      <c r="BPE46" s="37"/>
      <c r="BPF46" s="37"/>
      <c r="BPG46" s="75"/>
      <c r="BPH46" s="65"/>
      <c r="BPI46" s="65"/>
      <c r="BPJ46" s="65"/>
      <c r="BPK46" s="65"/>
      <c r="BPL46" s="37"/>
      <c r="BPM46" s="138"/>
      <c r="BPN46" s="37"/>
      <c r="BPO46" s="37"/>
      <c r="BPP46" s="37"/>
      <c r="BPQ46" s="37"/>
      <c r="BPR46" s="37"/>
      <c r="BPS46" s="75"/>
      <c r="BPT46" s="37"/>
      <c r="BPU46" s="37"/>
      <c r="BPV46" s="37"/>
      <c r="BPW46" s="37"/>
      <c r="BPX46" s="37"/>
      <c r="BPY46" s="138"/>
      <c r="BPZ46" s="37"/>
      <c r="BQA46" s="37"/>
      <c r="BQB46" s="37"/>
      <c r="BQC46" s="37"/>
      <c r="BQD46" s="37"/>
      <c r="BQE46" s="75"/>
      <c r="BQF46" s="37"/>
      <c r="BQG46" s="37"/>
      <c r="BQH46" s="37"/>
      <c r="BQI46" s="37"/>
      <c r="BQJ46" s="37"/>
      <c r="BQK46" s="38"/>
      <c r="BQL46" s="36"/>
      <c r="BQM46" s="65"/>
      <c r="BQN46" s="65"/>
      <c r="BQO46" s="65"/>
      <c r="BQP46" s="37"/>
      <c r="BQQ46" s="133"/>
      <c r="BQR46" s="37"/>
      <c r="BQS46" s="37"/>
      <c r="BQT46" s="37"/>
      <c r="BQU46" s="37"/>
      <c r="BQV46" s="37"/>
      <c r="BQW46" s="138"/>
      <c r="BQX46" s="37"/>
      <c r="BQY46" s="37"/>
      <c r="BQZ46" s="37"/>
      <c r="BRA46" s="37"/>
      <c r="BRB46" s="37"/>
      <c r="BRC46" s="75"/>
      <c r="BRD46" s="37"/>
      <c r="BRE46" s="37"/>
      <c r="BRF46" s="37"/>
      <c r="BRG46" s="37"/>
      <c r="BRH46" s="37"/>
      <c r="BRI46" s="138"/>
      <c r="BRJ46" s="37"/>
      <c r="BRK46" s="37"/>
      <c r="BRL46" s="37"/>
      <c r="BRM46" s="37"/>
      <c r="BRN46" s="37"/>
      <c r="BRO46" s="75"/>
      <c r="BRP46" s="65"/>
      <c r="BRQ46" s="65"/>
      <c r="BRR46" s="65"/>
      <c r="BRS46" s="65"/>
      <c r="BRT46" s="37"/>
      <c r="BRU46" s="138"/>
      <c r="BRV46" s="37"/>
      <c r="BRW46" s="37"/>
      <c r="BRX46" s="37"/>
      <c r="BRY46" s="37"/>
      <c r="BRZ46" s="37"/>
      <c r="BSA46" s="75"/>
      <c r="BSB46" s="37"/>
      <c r="BSC46" s="37"/>
      <c r="BSD46" s="37"/>
      <c r="BSE46" s="37"/>
      <c r="BSF46" s="37"/>
      <c r="BSG46" s="138"/>
      <c r="BSH46" s="37"/>
      <c r="BSI46" s="37"/>
      <c r="BSJ46" s="37"/>
      <c r="BSK46" s="37"/>
      <c r="BSL46" s="37"/>
      <c r="BSM46" s="75"/>
      <c r="BSN46" s="37"/>
      <c r="BSO46" s="37"/>
      <c r="BSP46" s="37"/>
      <c r="BSQ46" s="37"/>
      <c r="BSR46" s="37"/>
      <c r="BSS46" s="38"/>
      <c r="BST46" s="36"/>
      <c r="BSU46" s="65"/>
      <c r="BSV46" s="65"/>
      <c r="BSW46" s="65"/>
      <c r="BSX46" s="37"/>
      <c r="BSY46" s="133"/>
      <c r="BSZ46" s="37"/>
      <c r="BTA46" s="37"/>
      <c r="BTB46" s="37"/>
      <c r="BTC46" s="37"/>
      <c r="BTD46" s="37"/>
      <c r="BTE46" s="138"/>
      <c r="BTF46" s="37"/>
      <c r="BTG46" s="37"/>
      <c r="BTH46" s="37"/>
      <c r="BTI46" s="37"/>
      <c r="BTJ46" s="37"/>
      <c r="BTK46" s="75"/>
      <c r="BTL46" s="37"/>
      <c r="BTM46" s="37"/>
      <c r="BTN46" s="37"/>
      <c r="BTO46" s="37"/>
      <c r="BTP46" s="37"/>
      <c r="BTQ46" s="138"/>
      <c r="BTR46" s="37"/>
      <c r="BTS46" s="37"/>
      <c r="BTT46" s="37"/>
      <c r="BTU46" s="37"/>
      <c r="BTV46" s="37"/>
      <c r="BTW46" s="75"/>
      <c r="BTX46" s="65"/>
      <c r="BTY46" s="65"/>
      <c r="BTZ46" s="65"/>
      <c r="BUA46" s="65"/>
      <c r="BUB46" s="37"/>
      <c r="BUC46" s="138"/>
      <c r="BUD46" s="37"/>
      <c r="BUE46" s="37"/>
      <c r="BUF46" s="37"/>
      <c r="BUG46" s="37"/>
      <c r="BUH46" s="37"/>
      <c r="BUI46" s="75"/>
      <c r="BUJ46" s="37"/>
      <c r="BUK46" s="37"/>
      <c r="BUL46" s="37"/>
      <c r="BUM46" s="37"/>
      <c r="BUN46" s="37"/>
      <c r="BUO46" s="138"/>
      <c r="BUP46" s="37"/>
      <c r="BUQ46" s="37"/>
      <c r="BUR46" s="37"/>
      <c r="BUS46" s="37"/>
      <c r="BUT46" s="37"/>
      <c r="BUU46" s="75"/>
      <c r="BUV46" s="37"/>
      <c r="BUW46" s="37"/>
      <c r="BUX46" s="37"/>
      <c r="BUY46" s="37"/>
      <c r="BUZ46" s="37"/>
      <c r="BVA46" s="38"/>
      <c r="BVB46" s="36"/>
      <c r="BVC46" s="65"/>
      <c r="BVD46" s="65"/>
      <c r="BVE46" s="65"/>
      <c r="BVF46" s="37"/>
      <c r="BVG46" s="133"/>
      <c r="BVH46" s="37"/>
      <c r="BVI46" s="37"/>
      <c r="BVJ46" s="37"/>
      <c r="BVK46" s="37"/>
      <c r="BVL46" s="37"/>
      <c r="BVM46" s="138"/>
      <c r="BVN46" s="37"/>
      <c r="BVO46" s="37"/>
      <c r="BVP46" s="37"/>
      <c r="BVQ46" s="37"/>
      <c r="BVR46" s="37"/>
      <c r="BVS46" s="75"/>
      <c r="BVT46" s="37"/>
      <c r="BVU46" s="37"/>
      <c r="BVV46" s="37"/>
      <c r="BVW46" s="37"/>
      <c r="BVX46" s="37"/>
      <c r="BVY46" s="138"/>
      <c r="BVZ46" s="37"/>
      <c r="BWA46" s="37"/>
      <c r="BWB46" s="37"/>
      <c r="BWC46" s="37"/>
      <c r="BWD46" s="37"/>
      <c r="BWE46" s="75"/>
      <c r="BWF46" s="65"/>
      <c r="BWG46" s="65"/>
      <c r="BWH46" s="65"/>
      <c r="BWI46" s="65"/>
      <c r="BWJ46" s="37"/>
      <c r="BWK46" s="138"/>
      <c r="BWL46" s="37"/>
      <c r="BWM46" s="37"/>
      <c r="BWN46" s="37"/>
      <c r="BWO46" s="37"/>
      <c r="BWP46" s="37"/>
      <c r="BWQ46" s="75"/>
      <c r="BWR46" s="37"/>
      <c r="BWS46" s="37"/>
      <c r="BWT46" s="37"/>
      <c r="BWU46" s="37"/>
      <c r="BWV46" s="37"/>
      <c r="BWW46" s="138"/>
      <c r="BWX46" s="37"/>
      <c r="BWY46" s="37"/>
      <c r="BWZ46" s="37"/>
      <c r="BXA46" s="37"/>
      <c r="BXB46" s="37"/>
      <c r="BXC46" s="75"/>
      <c r="BXD46" s="37"/>
      <c r="BXE46" s="37"/>
      <c r="BXF46" s="37"/>
      <c r="BXG46" s="37"/>
      <c r="BXH46" s="37"/>
      <c r="BXI46" s="38"/>
      <c r="BXJ46" s="36"/>
      <c r="BXK46" s="65"/>
      <c r="BXL46" s="65"/>
      <c r="BXM46" s="65"/>
      <c r="BXN46" s="37"/>
      <c r="BXO46" s="133"/>
      <c r="BXP46" s="37"/>
      <c r="BXQ46" s="37"/>
      <c r="BXR46" s="37"/>
      <c r="BXS46" s="37"/>
      <c r="BXT46" s="37"/>
      <c r="BXU46" s="138"/>
      <c r="BXV46" s="37"/>
      <c r="BXW46" s="37"/>
      <c r="BXX46" s="37"/>
      <c r="BXY46" s="37"/>
      <c r="BXZ46" s="37"/>
      <c r="BYA46" s="75"/>
      <c r="BYB46" s="37"/>
      <c r="BYC46" s="37"/>
      <c r="BYD46" s="37"/>
      <c r="BYE46" s="37"/>
      <c r="BYF46" s="37"/>
      <c r="BYG46" s="138"/>
      <c r="BYH46" s="37"/>
      <c r="BYI46" s="37"/>
      <c r="BYJ46" s="37"/>
      <c r="BYK46" s="37"/>
      <c r="BYL46" s="37"/>
      <c r="BYM46" s="75"/>
      <c r="BYN46" s="65"/>
      <c r="BYO46" s="65"/>
      <c r="BYP46" s="65"/>
      <c r="BYQ46" s="65"/>
      <c r="BYR46" s="37"/>
      <c r="BYS46" s="138"/>
      <c r="BYT46" s="37"/>
      <c r="BYU46" s="37"/>
      <c r="BYV46" s="37"/>
      <c r="BYW46" s="37"/>
      <c r="BYX46" s="37"/>
      <c r="BYY46" s="75"/>
      <c r="BYZ46" s="37"/>
      <c r="BZA46" s="37"/>
      <c r="BZB46" s="37"/>
      <c r="BZC46" s="37"/>
      <c r="BZD46" s="37"/>
      <c r="BZE46" s="138"/>
      <c r="BZF46" s="37"/>
      <c r="BZG46" s="37"/>
      <c r="BZH46" s="37"/>
      <c r="BZI46" s="37"/>
      <c r="BZJ46" s="37"/>
      <c r="BZK46" s="75"/>
      <c r="BZL46" s="37"/>
      <c r="BZM46" s="37"/>
      <c r="BZN46" s="37"/>
      <c r="BZO46" s="37"/>
      <c r="BZP46" s="37"/>
      <c r="BZQ46" s="38"/>
      <c r="BZR46" s="36"/>
      <c r="BZS46" s="65"/>
      <c r="BZT46" s="65"/>
      <c r="BZU46" s="65"/>
      <c r="BZV46" s="37"/>
      <c r="BZW46" s="133"/>
      <c r="BZX46" s="37"/>
      <c r="BZY46" s="37"/>
      <c r="BZZ46" s="37"/>
      <c r="CAA46" s="37"/>
      <c r="CAB46" s="37"/>
      <c r="CAC46" s="138"/>
      <c r="CAD46" s="37"/>
      <c r="CAE46" s="37"/>
      <c r="CAF46" s="37"/>
      <c r="CAG46" s="37"/>
      <c r="CAH46" s="37"/>
      <c r="CAI46" s="75"/>
      <c r="CAJ46" s="37"/>
      <c r="CAK46" s="37"/>
      <c r="CAL46" s="37"/>
      <c r="CAM46" s="37"/>
      <c r="CAN46" s="37"/>
      <c r="CAO46" s="138"/>
      <c r="CAP46" s="37"/>
      <c r="CAQ46" s="37"/>
      <c r="CAR46" s="37"/>
      <c r="CAS46" s="37"/>
      <c r="CAT46" s="37"/>
      <c r="CAU46" s="75"/>
      <c r="CAV46" s="65"/>
      <c r="CAW46" s="65"/>
      <c r="CAX46" s="65"/>
      <c r="CAY46" s="65"/>
      <c r="CAZ46" s="37"/>
      <c r="CBA46" s="138"/>
      <c r="CBB46" s="37"/>
      <c r="CBC46" s="37"/>
      <c r="CBD46" s="37"/>
      <c r="CBE46" s="37"/>
      <c r="CBF46" s="37"/>
      <c r="CBG46" s="75"/>
      <c r="CBH46" s="37"/>
      <c r="CBI46" s="37"/>
      <c r="CBJ46" s="37"/>
      <c r="CBK46" s="37"/>
      <c r="CBL46" s="37"/>
      <c r="CBM46" s="138"/>
      <c r="CBN46" s="37"/>
      <c r="CBO46" s="37"/>
      <c r="CBP46" s="37"/>
      <c r="CBQ46" s="37"/>
      <c r="CBR46" s="37"/>
      <c r="CBS46" s="75"/>
      <c r="CBT46" s="37"/>
      <c r="CBU46" s="37"/>
      <c r="CBV46" s="37"/>
      <c r="CBW46" s="37"/>
      <c r="CBX46" s="37"/>
      <c r="CBY46" s="38"/>
      <c r="CBZ46" s="90"/>
    </row>
    <row r="47" spans="1:2106" ht="20.100000000000001" customHeight="1" x14ac:dyDescent="0.25">
      <c r="A47" s="100" t="s">
        <v>22</v>
      </c>
      <c r="B47" s="63" t="str">
        <f>IF(LEN(C79)=0,"",C79)</f>
        <v/>
      </c>
      <c r="C47" s="170"/>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40"/>
      <c r="BLW47" s="66"/>
      <c r="BLX47" s="66"/>
      <c r="BLY47" s="66"/>
      <c r="BLZ47" s="41"/>
      <c r="BMA47" s="134"/>
      <c r="BMB47" s="41"/>
      <c r="BMC47" s="41"/>
      <c r="BMD47" s="41"/>
      <c r="BME47" s="41"/>
      <c r="BMF47" s="41"/>
      <c r="BMG47" s="139"/>
      <c r="BMH47" s="41"/>
      <c r="BMI47" s="41"/>
      <c r="BMJ47" s="41"/>
      <c r="BMK47" s="41"/>
      <c r="BML47" s="41"/>
      <c r="BMM47" s="76"/>
      <c r="BMN47" s="41"/>
      <c r="BMO47" s="41"/>
      <c r="BMP47" s="41"/>
      <c r="BMQ47" s="41"/>
      <c r="BMR47" s="41"/>
      <c r="BMS47" s="139"/>
      <c r="BMT47" s="41"/>
      <c r="BMU47" s="41"/>
      <c r="BMV47" s="41"/>
      <c r="BMW47" s="41"/>
      <c r="BMX47" s="41"/>
      <c r="BMY47" s="76"/>
      <c r="BMZ47" s="66"/>
      <c r="BNA47" s="66"/>
      <c r="BNB47" s="66"/>
      <c r="BNC47" s="66"/>
      <c r="BND47" s="41"/>
      <c r="BNE47" s="139"/>
      <c r="BNF47" s="41"/>
      <c r="BNG47" s="41"/>
      <c r="BNH47" s="41"/>
      <c r="BNI47" s="41"/>
      <c r="BNJ47" s="41"/>
      <c r="BNK47" s="76"/>
      <c r="BNL47" s="41"/>
      <c r="BNM47" s="41"/>
      <c r="BNN47" s="41"/>
      <c r="BNO47" s="41"/>
      <c r="BNP47" s="41"/>
      <c r="BNQ47" s="139"/>
      <c r="BNR47" s="41"/>
      <c r="BNS47" s="41"/>
      <c r="BNT47" s="41"/>
      <c r="BNU47" s="41"/>
      <c r="BNV47" s="41"/>
      <c r="BNW47" s="76"/>
      <c r="BNX47" s="41"/>
      <c r="BNY47" s="41"/>
      <c r="BNZ47" s="41"/>
      <c r="BOA47" s="41"/>
      <c r="BOB47" s="41"/>
      <c r="BOC47" s="42"/>
      <c r="BOD47" s="40"/>
      <c r="BOE47" s="66"/>
      <c r="BOF47" s="66"/>
      <c r="BOG47" s="66"/>
      <c r="BOH47" s="41"/>
      <c r="BOI47" s="134"/>
      <c r="BOJ47" s="41"/>
      <c r="BOK47" s="41"/>
      <c r="BOL47" s="41"/>
      <c r="BOM47" s="41"/>
      <c r="BON47" s="41"/>
      <c r="BOO47" s="139"/>
      <c r="BOP47" s="41"/>
      <c r="BOQ47" s="41"/>
      <c r="BOR47" s="41"/>
      <c r="BOS47" s="41"/>
      <c r="BOT47" s="41"/>
      <c r="BOU47" s="76"/>
      <c r="BOV47" s="41"/>
      <c r="BOW47" s="41"/>
      <c r="BOX47" s="41"/>
      <c r="BOY47" s="41"/>
      <c r="BOZ47" s="41"/>
      <c r="BPA47" s="139"/>
      <c r="BPB47" s="41"/>
      <c r="BPC47" s="41"/>
      <c r="BPD47" s="41"/>
      <c r="BPE47" s="41"/>
      <c r="BPF47" s="41"/>
      <c r="BPG47" s="76"/>
      <c r="BPH47" s="66"/>
      <c r="BPI47" s="66"/>
      <c r="BPJ47" s="66"/>
      <c r="BPK47" s="66"/>
      <c r="BPL47" s="41"/>
      <c r="BPM47" s="139"/>
      <c r="BPN47" s="41"/>
      <c r="BPO47" s="41"/>
      <c r="BPP47" s="41"/>
      <c r="BPQ47" s="41"/>
      <c r="BPR47" s="41"/>
      <c r="BPS47" s="76"/>
      <c r="BPT47" s="41"/>
      <c r="BPU47" s="41"/>
      <c r="BPV47" s="41"/>
      <c r="BPW47" s="41"/>
      <c r="BPX47" s="41"/>
      <c r="BPY47" s="139"/>
      <c r="BPZ47" s="41"/>
      <c r="BQA47" s="41"/>
      <c r="BQB47" s="41"/>
      <c r="BQC47" s="41"/>
      <c r="BQD47" s="41"/>
      <c r="BQE47" s="76"/>
      <c r="BQF47" s="41"/>
      <c r="BQG47" s="41"/>
      <c r="BQH47" s="41"/>
      <c r="BQI47" s="41"/>
      <c r="BQJ47" s="41"/>
      <c r="BQK47" s="42"/>
      <c r="BQL47" s="40"/>
      <c r="BQM47" s="66"/>
      <c r="BQN47" s="66"/>
      <c r="BQO47" s="66"/>
      <c r="BQP47" s="41"/>
      <c r="BQQ47" s="134"/>
      <c r="BQR47" s="41"/>
      <c r="BQS47" s="41"/>
      <c r="BQT47" s="41"/>
      <c r="BQU47" s="41"/>
      <c r="BQV47" s="41"/>
      <c r="BQW47" s="139"/>
      <c r="BQX47" s="41"/>
      <c r="BQY47" s="41"/>
      <c r="BQZ47" s="41"/>
      <c r="BRA47" s="41"/>
      <c r="BRB47" s="41"/>
      <c r="BRC47" s="76"/>
      <c r="BRD47" s="41"/>
      <c r="BRE47" s="41"/>
      <c r="BRF47" s="41"/>
      <c r="BRG47" s="41"/>
      <c r="BRH47" s="41"/>
      <c r="BRI47" s="139"/>
      <c r="BRJ47" s="41"/>
      <c r="BRK47" s="41"/>
      <c r="BRL47" s="41"/>
      <c r="BRM47" s="41"/>
      <c r="BRN47" s="41"/>
      <c r="BRO47" s="76"/>
      <c r="BRP47" s="66"/>
      <c r="BRQ47" s="66"/>
      <c r="BRR47" s="66"/>
      <c r="BRS47" s="66"/>
      <c r="BRT47" s="41"/>
      <c r="BRU47" s="139"/>
      <c r="BRV47" s="41"/>
      <c r="BRW47" s="41"/>
      <c r="BRX47" s="41"/>
      <c r="BRY47" s="41"/>
      <c r="BRZ47" s="41"/>
      <c r="BSA47" s="76"/>
      <c r="BSB47" s="41"/>
      <c r="BSC47" s="41"/>
      <c r="BSD47" s="41"/>
      <c r="BSE47" s="41"/>
      <c r="BSF47" s="41"/>
      <c r="BSG47" s="139"/>
      <c r="BSH47" s="41"/>
      <c r="BSI47" s="41"/>
      <c r="BSJ47" s="41"/>
      <c r="BSK47" s="41"/>
      <c r="BSL47" s="41"/>
      <c r="BSM47" s="76"/>
      <c r="BSN47" s="41"/>
      <c r="BSO47" s="41"/>
      <c r="BSP47" s="41"/>
      <c r="BSQ47" s="41"/>
      <c r="BSR47" s="41"/>
      <c r="BSS47" s="42"/>
      <c r="BST47" s="40"/>
      <c r="BSU47" s="66"/>
      <c r="BSV47" s="66"/>
      <c r="BSW47" s="66"/>
      <c r="BSX47" s="41"/>
      <c r="BSY47" s="134"/>
      <c r="BSZ47" s="41"/>
      <c r="BTA47" s="41"/>
      <c r="BTB47" s="41"/>
      <c r="BTC47" s="41"/>
      <c r="BTD47" s="41"/>
      <c r="BTE47" s="139"/>
      <c r="BTF47" s="41"/>
      <c r="BTG47" s="41"/>
      <c r="BTH47" s="41"/>
      <c r="BTI47" s="41"/>
      <c r="BTJ47" s="41"/>
      <c r="BTK47" s="76"/>
      <c r="BTL47" s="41"/>
      <c r="BTM47" s="41"/>
      <c r="BTN47" s="41"/>
      <c r="BTO47" s="41"/>
      <c r="BTP47" s="41"/>
      <c r="BTQ47" s="139"/>
      <c r="BTR47" s="41"/>
      <c r="BTS47" s="41"/>
      <c r="BTT47" s="41"/>
      <c r="BTU47" s="41"/>
      <c r="BTV47" s="41"/>
      <c r="BTW47" s="76"/>
      <c r="BTX47" s="66"/>
      <c r="BTY47" s="66"/>
      <c r="BTZ47" s="66"/>
      <c r="BUA47" s="66"/>
      <c r="BUB47" s="41"/>
      <c r="BUC47" s="139"/>
      <c r="BUD47" s="41"/>
      <c r="BUE47" s="41"/>
      <c r="BUF47" s="41"/>
      <c r="BUG47" s="41"/>
      <c r="BUH47" s="41"/>
      <c r="BUI47" s="76"/>
      <c r="BUJ47" s="41"/>
      <c r="BUK47" s="41"/>
      <c r="BUL47" s="41"/>
      <c r="BUM47" s="41"/>
      <c r="BUN47" s="41"/>
      <c r="BUO47" s="139"/>
      <c r="BUP47" s="41"/>
      <c r="BUQ47" s="41"/>
      <c r="BUR47" s="41"/>
      <c r="BUS47" s="41"/>
      <c r="BUT47" s="41"/>
      <c r="BUU47" s="76"/>
      <c r="BUV47" s="41"/>
      <c r="BUW47" s="41"/>
      <c r="BUX47" s="41"/>
      <c r="BUY47" s="41"/>
      <c r="BUZ47" s="41"/>
      <c r="BVA47" s="42"/>
      <c r="BVB47" s="40"/>
      <c r="BVC47" s="66"/>
      <c r="BVD47" s="66"/>
      <c r="BVE47" s="66"/>
      <c r="BVF47" s="41"/>
      <c r="BVG47" s="134"/>
      <c r="BVH47" s="41"/>
      <c r="BVI47" s="41"/>
      <c r="BVJ47" s="41"/>
      <c r="BVK47" s="41"/>
      <c r="BVL47" s="41"/>
      <c r="BVM47" s="139"/>
      <c r="BVN47" s="41"/>
      <c r="BVO47" s="41"/>
      <c r="BVP47" s="41"/>
      <c r="BVQ47" s="41"/>
      <c r="BVR47" s="41"/>
      <c r="BVS47" s="76"/>
      <c r="BVT47" s="41"/>
      <c r="BVU47" s="41"/>
      <c r="BVV47" s="41"/>
      <c r="BVW47" s="41"/>
      <c r="BVX47" s="41"/>
      <c r="BVY47" s="139"/>
      <c r="BVZ47" s="41"/>
      <c r="BWA47" s="41"/>
      <c r="BWB47" s="41"/>
      <c r="BWC47" s="41"/>
      <c r="BWD47" s="41"/>
      <c r="BWE47" s="76"/>
      <c r="BWF47" s="66"/>
      <c r="BWG47" s="66"/>
      <c r="BWH47" s="66"/>
      <c r="BWI47" s="66"/>
      <c r="BWJ47" s="41"/>
      <c r="BWK47" s="139"/>
      <c r="BWL47" s="41"/>
      <c r="BWM47" s="41"/>
      <c r="BWN47" s="41"/>
      <c r="BWO47" s="41"/>
      <c r="BWP47" s="41"/>
      <c r="BWQ47" s="76"/>
      <c r="BWR47" s="41"/>
      <c r="BWS47" s="41"/>
      <c r="BWT47" s="41"/>
      <c r="BWU47" s="41"/>
      <c r="BWV47" s="41"/>
      <c r="BWW47" s="139"/>
      <c r="BWX47" s="41"/>
      <c r="BWY47" s="41"/>
      <c r="BWZ47" s="41"/>
      <c r="BXA47" s="41"/>
      <c r="BXB47" s="41"/>
      <c r="BXC47" s="76"/>
      <c r="BXD47" s="41"/>
      <c r="BXE47" s="41"/>
      <c r="BXF47" s="41"/>
      <c r="BXG47" s="41"/>
      <c r="BXH47" s="41"/>
      <c r="BXI47" s="42"/>
      <c r="BXJ47" s="40"/>
      <c r="BXK47" s="66"/>
      <c r="BXL47" s="66"/>
      <c r="BXM47" s="66"/>
      <c r="BXN47" s="41"/>
      <c r="BXO47" s="134"/>
      <c r="BXP47" s="41"/>
      <c r="BXQ47" s="41"/>
      <c r="BXR47" s="41"/>
      <c r="BXS47" s="41"/>
      <c r="BXT47" s="41"/>
      <c r="BXU47" s="139"/>
      <c r="BXV47" s="41"/>
      <c r="BXW47" s="41"/>
      <c r="BXX47" s="41"/>
      <c r="BXY47" s="41"/>
      <c r="BXZ47" s="41"/>
      <c r="BYA47" s="76"/>
      <c r="BYB47" s="41"/>
      <c r="BYC47" s="41"/>
      <c r="BYD47" s="41"/>
      <c r="BYE47" s="41"/>
      <c r="BYF47" s="41"/>
      <c r="BYG47" s="139"/>
      <c r="BYH47" s="41"/>
      <c r="BYI47" s="41"/>
      <c r="BYJ47" s="41"/>
      <c r="BYK47" s="41"/>
      <c r="BYL47" s="41"/>
      <c r="BYM47" s="76"/>
      <c r="BYN47" s="66"/>
      <c r="BYO47" s="66"/>
      <c r="BYP47" s="66"/>
      <c r="BYQ47" s="66"/>
      <c r="BYR47" s="41"/>
      <c r="BYS47" s="139"/>
      <c r="BYT47" s="41"/>
      <c r="BYU47" s="41"/>
      <c r="BYV47" s="41"/>
      <c r="BYW47" s="41"/>
      <c r="BYX47" s="41"/>
      <c r="BYY47" s="76"/>
      <c r="BYZ47" s="41"/>
      <c r="BZA47" s="41"/>
      <c r="BZB47" s="41"/>
      <c r="BZC47" s="41"/>
      <c r="BZD47" s="41"/>
      <c r="BZE47" s="139"/>
      <c r="BZF47" s="41"/>
      <c r="BZG47" s="41"/>
      <c r="BZH47" s="41"/>
      <c r="BZI47" s="41"/>
      <c r="BZJ47" s="41"/>
      <c r="BZK47" s="76"/>
      <c r="BZL47" s="41"/>
      <c r="BZM47" s="41"/>
      <c r="BZN47" s="41"/>
      <c r="BZO47" s="41"/>
      <c r="BZP47" s="41"/>
      <c r="BZQ47" s="42"/>
      <c r="BZR47" s="40"/>
      <c r="BZS47" s="66"/>
      <c r="BZT47" s="66"/>
      <c r="BZU47" s="66"/>
      <c r="BZV47" s="41"/>
      <c r="BZW47" s="134"/>
      <c r="BZX47" s="41"/>
      <c r="BZY47" s="41"/>
      <c r="BZZ47" s="41"/>
      <c r="CAA47" s="41"/>
      <c r="CAB47" s="41"/>
      <c r="CAC47" s="139"/>
      <c r="CAD47" s="41"/>
      <c r="CAE47" s="41"/>
      <c r="CAF47" s="41"/>
      <c r="CAG47" s="41"/>
      <c r="CAH47" s="41"/>
      <c r="CAI47" s="76"/>
      <c r="CAJ47" s="41"/>
      <c r="CAK47" s="41"/>
      <c r="CAL47" s="41"/>
      <c r="CAM47" s="41"/>
      <c r="CAN47" s="41"/>
      <c r="CAO47" s="139"/>
      <c r="CAP47" s="41"/>
      <c r="CAQ47" s="41"/>
      <c r="CAR47" s="41"/>
      <c r="CAS47" s="41"/>
      <c r="CAT47" s="41"/>
      <c r="CAU47" s="76"/>
      <c r="CAV47" s="66"/>
      <c r="CAW47" s="66"/>
      <c r="CAX47" s="66"/>
      <c r="CAY47" s="66"/>
      <c r="CAZ47" s="41"/>
      <c r="CBA47" s="139"/>
      <c r="CBB47" s="41"/>
      <c r="CBC47" s="41"/>
      <c r="CBD47" s="41"/>
      <c r="CBE47" s="41"/>
      <c r="CBF47" s="41"/>
      <c r="CBG47" s="76"/>
      <c r="CBH47" s="41"/>
      <c r="CBI47" s="41"/>
      <c r="CBJ47" s="41"/>
      <c r="CBK47" s="41"/>
      <c r="CBL47" s="41"/>
      <c r="CBM47" s="139"/>
      <c r="CBN47" s="41"/>
      <c r="CBO47" s="41"/>
      <c r="CBP47" s="41"/>
      <c r="CBQ47" s="41"/>
      <c r="CBR47" s="41"/>
      <c r="CBS47" s="76"/>
      <c r="CBT47" s="41"/>
      <c r="CBU47" s="41"/>
      <c r="CBV47" s="41"/>
      <c r="CBW47" s="41"/>
      <c r="CBX47" s="41"/>
      <c r="CBY47" s="42"/>
      <c r="CBZ47" s="90"/>
    </row>
    <row r="48" spans="1:2106" ht="20.100000000000001" customHeight="1" x14ac:dyDescent="0.3">
      <c r="A48" s="100" t="s">
        <v>23</v>
      </c>
      <c r="B48" s="63" t="str">
        <f>IF(LEN(C81)=0,"",C81)</f>
        <v/>
      </c>
      <c r="C48" s="171"/>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28"/>
      <c r="BLW48" s="67"/>
      <c r="BLX48" s="67"/>
      <c r="BLY48" s="67"/>
      <c r="BLZ48" s="29"/>
      <c r="BMA48" s="131"/>
      <c r="BMB48" s="29"/>
      <c r="BMC48" s="29"/>
      <c r="BMD48" s="29"/>
      <c r="BME48" s="29"/>
      <c r="BMF48" s="29"/>
      <c r="BMG48" s="136"/>
      <c r="BMH48" s="29"/>
      <c r="BMI48" s="29"/>
      <c r="BMJ48" s="29"/>
      <c r="BMK48" s="29"/>
      <c r="BML48" s="29"/>
      <c r="BMM48" s="73"/>
      <c r="BMN48" s="29"/>
      <c r="BMO48" s="29"/>
      <c r="BMP48" s="29"/>
      <c r="BMQ48" s="29"/>
      <c r="BMR48" s="29"/>
      <c r="BMS48" s="136"/>
      <c r="BMT48" s="29"/>
      <c r="BMU48" s="29"/>
      <c r="BMV48" s="29"/>
      <c r="BMW48" s="29"/>
      <c r="BMX48" s="29"/>
      <c r="BMY48" s="73"/>
      <c r="BMZ48" s="67"/>
      <c r="BNA48" s="67"/>
      <c r="BNB48" s="67"/>
      <c r="BNC48" s="67"/>
      <c r="BND48" s="29"/>
      <c r="BNE48" s="136"/>
      <c r="BNF48" s="29"/>
      <c r="BNG48" s="29"/>
      <c r="BNH48" s="29"/>
      <c r="BNI48" s="29"/>
      <c r="BNJ48" s="29"/>
      <c r="BNK48" s="73"/>
      <c r="BNL48" s="29"/>
      <c r="BNM48" s="29"/>
      <c r="BNN48" s="29"/>
      <c r="BNO48" s="29"/>
      <c r="BNP48" s="29"/>
      <c r="BNQ48" s="136"/>
      <c r="BNR48" s="29"/>
      <c r="BNS48" s="29"/>
      <c r="BNT48" s="29"/>
      <c r="BNU48" s="29"/>
      <c r="BNV48" s="29"/>
      <c r="BNW48" s="73"/>
      <c r="BNX48" s="29"/>
      <c r="BNY48" s="29"/>
      <c r="BNZ48" s="29"/>
      <c r="BOA48" s="29"/>
      <c r="BOB48" s="29"/>
      <c r="BOC48" s="30"/>
      <c r="BOD48" s="28"/>
      <c r="BOE48" s="67"/>
      <c r="BOF48" s="67"/>
      <c r="BOG48" s="67"/>
      <c r="BOH48" s="29"/>
      <c r="BOI48" s="131"/>
      <c r="BOJ48" s="29"/>
      <c r="BOK48" s="29"/>
      <c r="BOL48" s="29"/>
      <c r="BOM48" s="29"/>
      <c r="BON48" s="29"/>
      <c r="BOO48" s="136"/>
      <c r="BOP48" s="29"/>
      <c r="BOQ48" s="29"/>
      <c r="BOR48" s="29"/>
      <c r="BOS48" s="29"/>
      <c r="BOT48" s="29"/>
      <c r="BOU48" s="73"/>
      <c r="BOV48" s="29"/>
      <c r="BOW48" s="29"/>
      <c r="BOX48" s="29"/>
      <c r="BOY48" s="29"/>
      <c r="BOZ48" s="29"/>
      <c r="BPA48" s="136"/>
      <c r="BPB48" s="29"/>
      <c r="BPC48" s="29"/>
      <c r="BPD48" s="29"/>
      <c r="BPE48" s="29"/>
      <c r="BPF48" s="29"/>
      <c r="BPG48" s="73"/>
      <c r="BPH48" s="67"/>
      <c r="BPI48" s="67"/>
      <c r="BPJ48" s="67"/>
      <c r="BPK48" s="67"/>
      <c r="BPL48" s="29"/>
      <c r="BPM48" s="136"/>
      <c r="BPN48" s="29"/>
      <c r="BPO48" s="29"/>
      <c r="BPP48" s="29"/>
      <c r="BPQ48" s="29"/>
      <c r="BPR48" s="29"/>
      <c r="BPS48" s="73"/>
      <c r="BPT48" s="29"/>
      <c r="BPU48" s="29"/>
      <c r="BPV48" s="29"/>
      <c r="BPW48" s="29"/>
      <c r="BPX48" s="29"/>
      <c r="BPY48" s="136"/>
      <c r="BPZ48" s="29"/>
      <c r="BQA48" s="29"/>
      <c r="BQB48" s="29"/>
      <c r="BQC48" s="29"/>
      <c r="BQD48" s="29"/>
      <c r="BQE48" s="73"/>
      <c r="BQF48" s="29"/>
      <c r="BQG48" s="29"/>
      <c r="BQH48" s="29"/>
      <c r="BQI48" s="29"/>
      <c r="BQJ48" s="29"/>
      <c r="BQK48" s="30"/>
      <c r="BQL48" s="28"/>
      <c r="BQM48" s="67"/>
      <c r="BQN48" s="67"/>
      <c r="BQO48" s="67"/>
      <c r="BQP48" s="29"/>
      <c r="BQQ48" s="131"/>
      <c r="BQR48" s="29"/>
      <c r="BQS48" s="29"/>
      <c r="BQT48" s="29"/>
      <c r="BQU48" s="29"/>
      <c r="BQV48" s="29"/>
      <c r="BQW48" s="136"/>
      <c r="BQX48" s="29"/>
      <c r="BQY48" s="29"/>
      <c r="BQZ48" s="29"/>
      <c r="BRA48" s="29"/>
      <c r="BRB48" s="29"/>
      <c r="BRC48" s="73"/>
      <c r="BRD48" s="29"/>
      <c r="BRE48" s="29"/>
      <c r="BRF48" s="29"/>
      <c r="BRG48" s="29"/>
      <c r="BRH48" s="29"/>
      <c r="BRI48" s="136"/>
      <c r="BRJ48" s="29"/>
      <c r="BRK48" s="29"/>
      <c r="BRL48" s="29"/>
      <c r="BRM48" s="29"/>
      <c r="BRN48" s="29"/>
      <c r="BRO48" s="73"/>
      <c r="BRP48" s="67"/>
      <c r="BRQ48" s="67"/>
      <c r="BRR48" s="67"/>
      <c r="BRS48" s="67"/>
      <c r="BRT48" s="29"/>
      <c r="BRU48" s="136"/>
      <c r="BRV48" s="29"/>
      <c r="BRW48" s="29"/>
      <c r="BRX48" s="29"/>
      <c r="BRY48" s="29"/>
      <c r="BRZ48" s="29"/>
      <c r="BSA48" s="73"/>
      <c r="BSB48" s="29"/>
      <c r="BSC48" s="29"/>
      <c r="BSD48" s="29"/>
      <c r="BSE48" s="29"/>
      <c r="BSF48" s="29"/>
      <c r="BSG48" s="136"/>
      <c r="BSH48" s="29"/>
      <c r="BSI48" s="29"/>
      <c r="BSJ48" s="29"/>
      <c r="BSK48" s="29"/>
      <c r="BSL48" s="29"/>
      <c r="BSM48" s="73"/>
      <c r="BSN48" s="29"/>
      <c r="BSO48" s="29"/>
      <c r="BSP48" s="29"/>
      <c r="BSQ48" s="29"/>
      <c r="BSR48" s="29"/>
      <c r="BSS48" s="30"/>
      <c r="BST48" s="28"/>
      <c r="BSU48" s="67"/>
      <c r="BSV48" s="67"/>
      <c r="BSW48" s="67"/>
      <c r="BSX48" s="29"/>
      <c r="BSY48" s="131"/>
      <c r="BSZ48" s="29"/>
      <c r="BTA48" s="29"/>
      <c r="BTB48" s="29"/>
      <c r="BTC48" s="29"/>
      <c r="BTD48" s="29"/>
      <c r="BTE48" s="136"/>
      <c r="BTF48" s="29"/>
      <c r="BTG48" s="29"/>
      <c r="BTH48" s="29"/>
      <c r="BTI48" s="29"/>
      <c r="BTJ48" s="29"/>
      <c r="BTK48" s="73"/>
      <c r="BTL48" s="29"/>
      <c r="BTM48" s="29"/>
      <c r="BTN48" s="29"/>
      <c r="BTO48" s="29"/>
      <c r="BTP48" s="29"/>
      <c r="BTQ48" s="136"/>
      <c r="BTR48" s="29"/>
      <c r="BTS48" s="29"/>
      <c r="BTT48" s="29"/>
      <c r="BTU48" s="29"/>
      <c r="BTV48" s="29"/>
      <c r="BTW48" s="73"/>
      <c r="BTX48" s="67"/>
      <c r="BTY48" s="67"/>
      <c r="BTZ48" s="67"/>
      <c r="BUA48" s="67"/>
      <c r="BUB48" s="29"/>
      <c r="BUC48" s="136"/>
      <c r="BUD48" s="29"/>
      <c r="BUE48" s="29"/>
      <c r="BUF48" s="29"/>
      <c r="BUG48" s="29"/>
      <c r="BUH48" s="29"/>
      <c r="BUI48" s="73"/>
      <c r="BUJ48" s="29"/>
      <c r="BUK48" s="29"/>
      <c r="BUL48" s="29"/>
      <c r="BUM48" s="29"/>
      <c r="BUN48" s="29"/>
      <c r="BUO48" s="136"/>
      <c r="BUP48" s="29"/>
      <c r="BUQ48" s="29"/>
      <c r="BUR48" s="29"/>
      <c r="BUS48" s="29"/>
      <c r="BUT48" s="29"/>
      <c r="BUU48" s="73"/>
      <c r="BUV48" s="29"/>
      <c r="BUW48" s="29"/>
      <c r="BUX48" s="29"/>
      <c r="BUY48" s="29"/>
      <c r="BUZ48" s="29"/>
      <c r="BVA48" s="30"/>
      <c r="BVB48" s="28"/>
      <c r="BVC48" s="67"/>
      <c r="BVD48" s="67"/>
      <c r="BVE48" s="67"/>
      <c r="BVF48" s="29"/>
      <c r="BVG48" s="131"/>
      <c r="BVH48" s="29"/>
      <c r="BVI48" s="29"/>
      <c r="BVJ48" s="29"/>
      <c r="BVK48" s="29"/>
      <c r="BVL48" s="29"/>
      <c r="BVM48" s="136"/>
      <c r="BVN48" s="29"/>
      <c r="BVO48" s="29"/>
      <c r="BVP48" s="29"/>
      <c r="BVQ48" s="29"/>
      <c r="BVR48" s="29"/>
      <c r="BVS48" s="73"/>
      <c r="BVT48" s="29"/>
      <c r="BVU48" s="29"/>
      <c r="BVV48" s="29"/>
      <c r="BVW48" s="29"/>
      <c r="BVX48" s="29"/>
      <c r="BVY48" s="136"/>
      <c r="BVZ48" s="29"/>
      <c r="BWA48" s="29"/>
      <c r="BWB48" s="29"/>
      <c r="BWC48" s="29"/>
      <c r="BWD48" s="29"/>
      <c r="BWE48" s="73"/>
      <c r="BWF48" s="67"/>
      <c r="BWG48" s="67"/>
      <c r="BWH48" s="67"/>
      <c r="BWI48" s="67"/>
      <c r="BWJ48" s="29"/>
      <c r="BWK48" s="136"/>
      <c r="BWL48" s="29"/>
      <c r="BWM48" s="29"/>
      <c r="BWN48" s="29"/>
      <c r="BWO48" s="29"/>
      <c r="BWP48" s="29"/>
      <c r="BWQ48" s="73"/>
      <c r="BWR48" s="29"/>
      <c r="BWS48" s="29"/>
      <c r="BWT48" s="29"/>
      <c r="BWU48" s="29"/>
      <c r="BWV48" s="29"/>
      <c r="BWW48" s="136"/>
      <c r="BWX48" s="29"/>
      <c r="BWY48" s="29"/>
      <c r="BWZ48" s="29"/>
      <c r="BXA48" s="29"/>
      <c r="BXB48" s="29"/>
      <c r="BXC48" s="73"/>
      <c r="BXD48" s="29"/>
      <c r="BXE48" s="29"/>
      <c r="BXF48" s="29"/>
      <c r="BXG48" s="29"/>
      <c r="BXH48" s="29"/>
      <c r="BXI48" s="30"/>
      <c r="BXJ48" s="28"/>
      <c r="BXK48" s="67"/>
      <c r="BXL48" s="67"/>
      <c r="BXM48" s="67"/>
      <c r="BXN48" s="29"/>
      <c r="BXO48" s="131"/>
      <c r="BXP48" s="29"/>
      <c r="BXQ48" s="29"/>
      <c r="BXR48" s="29"/>
      <c r="BXS48" s="29"/>
      <c r="BXT48" s="29"/>
      <c r="BXU48" s="136"/>
      <c r="BXV48" s="29"/>
      <c r="BXW48" s="29"/>
      <c r="BXX48" s="29"/>
      <c r="BXY48" s="29"/>
      <c r="BXZ48" s="29"/>
      <c r="BYA48" s="73"/>
      <c r="BYB48" s="29"/>
      <c r="BYC48" s="29"/>
      <c r="BYD48" s="29"/>
      <c r="BYE48" s="29"/>
      <c r="BYF48" s="29"/>
      <c r="BYG48" s="136"/>
      <c r="BYH48" s="29"/>
      <c r="BYI48" s="29"/>
      <c r="BYJ48" s="29"/>
      <c r="BYK48" s="29"/>
      <c r="BYL48" s="29"/>
      <c r="BYM48" s="73"/>
      <c r="BYN48" s="67"/>
      <c r="BYO48" s="67"/>
      <c r="BYP48" s="67"/>
      <c r="BYQ48" s="67"/>
      <c r="BYR48" s="29"/>
      <c r="BYS48" s="136"/>
      <c r="BYT48" s="29"/>
      <c r="BYU48" s="29"/>
      <c r="BYV48" s="29"/>
      <c r="BYW48" s="29"/>
      <c r="BYX48" s="29"/>
      <c r="BYY48" s="73"/>
      <c r="BYZ48" s="29"/>
      <c r="BZA48" s="29"/>
      <c r="BZB48" s="29"/>
      <c r="BZC48" s="29"/>
      <c r="BZD48" s="29"/>
      <c r="BZE48" s="136"/>
      <c r="BZF48" s="29"/>
      <c r="BZG48" s="29"/>
      <c r="BZH48" s="29"/>
      <c r="BZI48" s="29"/>
      <c r="BZJ48" s="29"/>
      <c r="BZK48" s="73"/>
      <c r="BZL48" s="29"/>
      <c r="BZM48" s="29"/>
      <c r="BZN48" s="29"/>
      <c r="BZO48" s="29"/>
      <c r="BZP48" s="29"/>
      <c r="BZQ48" s="30"/>
      <c r="BZR48" s="28"/>
      <c r="BZS48" s="67"/>
      <c r="BZT48" s="67"/>
      <c r="BZU48" s="67"/>
      <c r="BZV48" s="29"/>
      <c r="BZW48" s="131"/>
      <c r="BZX48" s="29"/>
      <c r="BZY48" s="29"/>
      <c r="BZZ48" s="29"/>
      <c r="CAA48" s="29"/>
      <c r="CAB48" s="29"/>
      <c r="CAC48" s="136"/>
      <c r="CAD48" s="29"/>
      <c r="CAE48" s="29"/>
      <c r="CAF48" s="29"/>
      <c r="CAG48" s="29"/>
      <c r="CAH48" s="29"/>
      <c r="CAI48" s="73"/>
      <c r="CAJ48" s="29"/>
      <c r="CAK48" s="29"/>
      <c r="CAL48" s="29"/>
      <c r="CAM48" s="29"/>
      <c r="CAN48" s="29"/>
      <c r="CAO48" s="136"/>
      <c r="CAP48" s="29"/>
      <c r="CAQ48" s="29"/>
      <c r="CAR48" s="29"/>
      <c r="CAS48" s="29"/>
      <c r="CAT48" s="29"/>
      <c r="CAU48" s="73"/>
      <c r="CAV48" s="67"/>
      <c r="CAW48" s="67"/>
      <c r="CAX48" s="67"/>
      <c r="CAY48" s="67"/>
      <c r="CAZ48" s="29"/>
      <c r="CBA48" s="136"/>
      <c r="CBB48" s="29"/>
      <c r="CBC48" s="29"/>
      <c r="CBD48" s="29"/>
      <c r="CBE48" s="29"/>
      <c r="CBF48" s="29"/>
      <c r="CBG48" s="73"/>
      <c r="CBH48" s="29"/>
      <c r="CBI48" s="29"/>
      <c r="CBJ48" s="29"/>
      <c r="CBK48" s="29"/>
      <c r="CBL48" s="29"/>
      <c r="CBM48" s="136"/>
      <c r="CBN48" s="29"/>
      <c r="CBO48" s="29"/>
      <c r="CBP48" s="29"/>
      <c r="CBQ48" s="29"/>
      <c r="CBR48" s="29"/>
      <c r="CBS48" s="73"/>
      <c r="CBT48" s="29"/>
      <c r="CBU48" s="29"/>
      <c r="CBV48" s="29"/>
      <c r="CBW48" s="29"/>
      <c r="CBX48" s="29"/>
      <c r="CBY48" s="30"/>
      <c r="CBZ48" s="90"/>
    </row>
    <row r="49" spans="1:2106" ht="20.100000000000001" customHeight="1" x14ac:dyDescent="0.25">
      <c r="A49" s="100" t="s">
        <v>22</v>
      </c>
      <c r="B49" s="63" t="str">
        <f>IF(LEN(C83)=0,"",C83)</f>
        <v/>
      </c>
      <c r="C49" s="170"/>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32"/>
      <c r="BLW49" s="64"/>
      <c r="BLX49" s="64"/>
      <c r="BLY49" s="64"/>
      <c r="BLZ49" s="33"/>
      <c r="BMA49" s="132"/>
      <c r="BMB49" s="33"/>
      <c r="BMC49" s="33"/>
      <c r="BMD49" s="33"/>
      <c r="BME49" s="33"/>
      <c r="BMF49" s="33"/>
      <c r="BMG49" s="137"/>
      <c r="BMH49" s="33"/>
      <c r="BMI49" s="33"/>
      <c r="BMJ49" s="33"/>
      <c r="BMK49" s="33"/>
      <c r="BML49" s="33"/>
      <c r="BMM49" s="74"/>
      <c r="BMN49" s="33"/>
      <c r="BMO49" s="33"/>
      <c r="BMP49" s="33"/>
      <c r="BMQ49" s="33"/>
      <c r="BMR49" s="33"/>
      <c r="BMS49" s="137"/>
      <c r="BMT49" s="33"/>
      <c r="BMU49" s="33"/>
      <c r="BMV49" s="33"/>
      <c r="BMW49" s="33"/>
      <c r="BMX49" s="33"/>
      <c r="BMY49" s="74"/>
      <c r="BMZ49" s="64"/>
      <c r="BNA49" s="64"/>
      <c r="BNB49" s="64"/>
      <c r="BNC49" s="64"/>
      <c r="BND49" s="33"/>
      <c r="BNE49" s="137"/>
      <c r="BNF49" s="33"/>
      <c r="BNG49" s="33"/>
      <c r="BNH49" s="33"/>
      <c r="BNI49" s="33"/>
      <c r="BNJ49" s="33"/>
      <c r="BNK49" s="74"/>
      <c r="BNL49" s="33"/>
      <c r="BNM49" s="33"/>
      <c r="BNN49" s="33"/>
      <c r="BNO49" s="33"/>
      <c r="BNP49" s="33"/>
      <c r="BNQ49" s="137"/>
      <c r="BNR49" s="33"/>
      <c r="BNS49" s="33"/>
      <c r="BNT49" s="33"/>
      <c r="BNU49" s="33"/>
      <c r="BNV49" s="33"/>
      <c r="BNW49" s="74"/>
      <c r="BNX49" s="33"/>
      <c r="BNY49" s="33"/>
      <c r="BNZ49" s="33"/>
      <c r="BOA49" s="33"/>
      <c r="BOB49" s="33"/>
      <c r="BOC49" s="34"/>
      <c r="BOD49" s="32"/>
      <c r="BOE49" s="64"/>
      <c r="BOF49" s="64"/>
      <c r="BOG49" s="64"/>
      <c r="BOH49" s="33"/>
      <c r="BOI49" s="132"/>
      <c r="BOJ49" s="33"/>
      <c r="BOK49" s="33"/>
      <c r="BOL49" s="33"/>
      <c r="BOM49" s="33"/>
      <c r="BON49" s="33"/>
      <c r="BOO49" s="137"/>
      <c r="BOP49" s="33"/>
      <c r="BOQ49" s="33"/>
      <c r="BOR49" s="33"/>
      <c r="BOS49" s="33"/>
      <c r="BOT49" s="33"/>
      <c r="BOU49" s="74"/>
      <c r="BOV49" s="33"/>
      <c r="BOW49" s="33"/>
      <c r="BOX49" s="33"/>
      <c r="BOY49" s="33"/>
      <c r="BOZ49" s="33"/>
      <c r="BPA49" s="137"/>
      <c r="BPB49" s="33"/>
      <c r="BPC49" s="33"/>
      <c r="BPD49" s="33"/>
      <c r="BPE49" s="33"/>
      <c r="BPF49" s="33"/>
      <c r="BPG49" s="74"/>
      <c r="BPH49" s="64"/>
      <c r="BPI49" s="64"/>
      <c r="BPJ49" s="64"/>
      <c r="BPK49" s="64"/>
      <c r="BPL49" s="33"/>
      <c r="BPM49" s="137"/>
      <c r="BPN49" s="33"/>
      <c r="BPO49" s="33"/>
      <c r="BPP49" s="33"/>
      <c r="BPQ49" s="33"/>
      <c r="BPR49" s="33"/>
      <c r="BPS49" s="74"/>
      <c r="BPT49" s="33"/>
      <c r="BPU49" s="33"/>
      <c r="BPV49" s="33"/>
      <c r="BPW49" s="33"/>
      <c r="BPX49" s="33"/>
      <c r="BPY49" s="137"/>
      <c r="BPZ49" s="33"/>
      <c r="BQA49" s="33"/>
      <c r="BQB49" s="33"/>
      <c r="BQC49" s="33"/>
      <c r="BQD49" s="33"/>
      <c r="BQE49" s="74"/>
      <c r="BQF49" s="33"/>
      <c r="BQG49" s="33"/>
      <c r="BQH49" s="33"/>
      <c r="BQI49" s="33"/>
      <c r="BQJ49" s="33"/>
      <c r="BQK49" s="34"/>
      <c r="BQL49" s="32"/>
      <c r="BQM49" s="64"/>
      <c r="BQN49" s="64"/>
      <c r="BQO49" s="64"/>
      <c r="BQP49" s="33"/>
      <c r="BQQ49" s="132"/>
      <c r="BQR49" s="33"/>
      <c r="BQS49" s="33"/>
      <c r="BQT49" s="33"/>
      <c r="BQU49" s="33"/>
      <c r="BQV49" s="33"/>
      <c r="BQW49" s="137"/>
      <c r="BQX49" s="33"/>
      <c r="BQY49" s="33"/>
      <c r="BQZ49" s="33"/>
      <c r="BRA49" s="33"/>
      <c r="BRB49" s="33"/>
      <c r="BRC49" s="74"/>
      <c r="BRD49" s="33"/>
      <c r="BRE49" s="33"/>
      <c r="BRF49" s="33"/>
      <c r="BRG49" s="33"/>
      <c r="BRH49" s="33"/>
      <c r="BRI49" s="137"/>
      <c r="BRJ49" s="33"/>
      <c r="BRK49" s="33"/>
      <c r="BRL49" s="33"/>
      <c r="BRM49" s="33"/>
      <c r="BRN49" s="33"/>
      <c r="BRO49" s="74"/>
      <c r="BRP49" s="64"/>
      <c r="BRQ49" s="64"/>
      <c r="BRR49" s="64"/>
      <c r="BRS49" s="64"/>
      <c r="BRT49" s="33"/>
      <c r="BRU49" s="137"/>
      <c r="BRV49" s="33"/>
      <c r="BRW49" s="33"/>
      <c r="BRX49" s="33"/>
      <c r="BRY49" s="33"/>
      <c r="BRZ49" s="33"/>
      <c r="BSA49" s="74"/>
      <c r="BSB49" s="33"/>
      <c r="BSC49" s="33"/>
      <c r="BSD49" s="33"/>
      <c r="BSE49" s="33"/>
      <c r="BSF49" s="33"/>
      <c r="BSG49" s="137"/>
      <c r="BSH49" s="33"/>
      <c r="BSI49" s="33"/>
      <c r="BSJ49" s="33"/>
      <c r="BSK49" s="33"/>
      <c r="BSL49" s="33"/>
      <c r="BSM49" s="74"/>
      <c r="BSN49" s="33"/>
      <c r="BSO49" s="33"/>
      <c r="BSP49" s="33"/>
      <c r="BSQ49" s="33"/>
      <c r="BSR49" s="33"/>
      <c r="BSS49" s="34"/>
      <c r="BST49" s="32"/>
      <c r="BSU49" s="64"/>
      <c r="BSV49" s="64"/>
      <c r="BSW49" s="64"/>
      <c r="BSX49" s="33"/>
      <c r="BSY49" s="132"/>
      <c r="BSZ49" s="33"/>
      <c r="BTA49" s="33"/>
      <c r="BTB49" s="33"/>
      <c r="BTC49" s="33"/>
      <c r="BTD49" s="33"/>
      <c r="BTE49" s="137"/>
      <c r="BTF49" s="33"/>
      <c r="BTG49" s="33"/>
      <c r="BTH49" s="33"/>
      <c r="BTI49" s="33"/>
      <c r="BTJ49" s="33"/>
      <c r="BTK49" s="74"/>
      <c r="BTL49" s="33"/>
      <c r="BTM49" s="33"/>
      <c r="BTN49" s="33"/>
      <c r="BTO49" s="33"/>
      <c r="BTP49" s="33"/>
      <c r="BTQ49" s="137"/>
      <c r="BTR49" s="33"/>
      <c r="BTS49" s="33"/>
      <c r="BTT49" s="33"/>
      <c r="BTU49" s="33"/>
      <c r="BTV49" s="33"/>
      <c r="BTW49" s="74"/>
      <c r="BTX49" s="64"/>
      <c r="BTY49" s="64"/>
      <c r="BTZ49" s="64"/>
      <c r="BUA49" s="64"/>
      <c r="BUB49" s="33"/>
      <c r="BUC49" s="137"/>
      <c r="BUD49" s="33"/>
      <c r="BUE49" s="33"/>
      <c r="BUF49" s="33"/>
      <c r="BUG49" s="33"/>
      <c r="BUH49" s="33"/>
      <c r="BUI49" s="74"/>
      <c r="BUJ49" s="33"/>
      <c r="BUK49" s="33"/>
      <c r="BUL49" s="33"/>
      <c r="BUM49" s="33"/>
      <c r="BUN49" s="33"/>
      <c r="BUO49" s="137"/>
      <c r="BUP49" s="33"/>
      <c r="BUQ49" s="33"/>
      <c r="BUR49" s="33"/>
      <c r="BUS49" s="33"/>
      <c r="BUT49" s="33"/>
      <c r="BUU49" s="74"/>
      <c r="BUV49" s="33"/>
      <c r="BUW49" s="33"/>
      <c r="BUX49" s="33"/>
      <c r="BUY49" s="33"/>
      <c r="BUZ49" s="33"/>
      <c r="BVA49" s="34"/>
      <c r="BVB49" s="32"/>
      <c r="BVC49" s="64"/>
      <c r="BVD49" s="64"/>
      <c r="BVE49" s="64"/>
      <c r="BVF49" s="33"/>
      <c r="BVG49" s="132"/>
      <c r="BVH49" s="33"/>
      <c r="BVI49" s="33"/>
      <c r="BVJ49" s="33"/>
      <c r="BVK49" s="33"/>
      <c r="BVL49" s="33"/>
      <c r="BVM49" s="137"/>
      <c r="BVN49" s="33"/>
      <c r="BVO49" s="33"/>
      <c r="BVP49" s="33"/>
      <c r="BVQ49" s="33"/>
      <c r="BVR49" s="33"/>
      <c r="BVS49" s="74"/>
      <c r="BVT49" s="33"/>
      <c r="BVU49" s="33"/>
      <c r="BVV49" s="33"/>
      <c r="BVW49" s="33"/>
      <c r="BVX49" s="33"/>
      <c r="BVY49" s="137"/>
      <c r="BVZ49" s="33"/>
      <c r="BWA49" s="33"/>
      <c r="BWB49" s="33"/>
      <c r="BWC49" s="33"/>
      <c r="BWD49" s="33"/>
      <c r="BWE49" s="74"/>
      <c r="BWF49" s="64"/>
      <c r="BWG49" s="64"/>
      <c r="BWH49" s="64"/>
      <c r="BWI49" s="64"/>
      <c r="BWJ49" s="33"/>
      <c r="BWK49" s="137"/>
      <c r="BWL49" s="33"/>
      <c r="BWM49" s="33"/>
      <c r="BWN49" s="33"/>
      <c r="BWO49" s="33"/>
      <c r="BWP49" s="33"/>
      <c r="BWQ49" s="74"/>
      <c r="BWR49" s="33"/>
      <c r="BWS49" s="33"/>
      <c r="BWT49" s="33"/>
      <c r="BWU49" s="33"/>
      <c r="BWV49" s="33"/>
      <c r="BWW49" s="137"/>
      <c r="BWX49" s="33"/>
      <c r="BWY49" s="33"/>
      <c r="BWZ49" s="33"/>
      <c r="BXA49" s="33"/>
      <c r="BXB49" s="33"/>
      <c r="BXC49" s="74"/>
      <c r="BXD49" s="33"/>
      <c r="BXE49" s="33"/>
      <c r="BXF49" s="33"/>
      <c r="BXG49" s="33"/>
      <c r="BXH49" s="33"/>
      <c r="BXI49" s="34"/>
      <c r="BXJ49" s="32"/>
      <c r="BXK49" s="64"/>
      <c r="BXL49" s="64"/>
      <c r="BXM49" s="64"/>
      <c r="BXN49" s="33"/>
      <c r="BXO49" s="132"/>
      <c r="BXP49" s="33"/>
      <c r="BXQ49" s="33"/>
      <c r="BXR49" s="33"/>
      <c r="BXS49" s="33"/>
      <c r="BXT49" s="33"/>
      <c r="BXU49" s="137"/>
      <c r="BXV49" s="33"/>
      <c r="BXW49" s="33"/>
      <c r="BXX49" s="33"/>
      <c r="BXY49" s="33"/>
      <c r="BXZ49" s="33"/>
      <c r="BYA49" s="74"/>
      <c r="BYB49" s="33"/>
      <c r="BYC49" s="33"/>
      <c r="BYD49" s="33"/>
      <c r="BYE49" s="33"/>
      <c r="BYF49" s="33"/>
      <c r="BYG49" s="137"/>
      <c r="BYH49" s="33"/>
      <c r="BYI49" s="33"/>
      <c r="BYJ49" s="33"/>
      <c r="BYK49" s="33"/>
      <c r="BYL49" s="33"/>
      <c r="BYM49" s="74"/>
      <c r="BYN49" s="64"/>
      <c r="BYO49" s="64"/>
      <c r="BYP49" s="64"/>
      <c r="BYQ49" s="64"/>
      <c r="BYR49" s="33"/>
      <c r="BYS49" s="137"/>
      <c r="BYT49" s="33"/>
      <c r="BYU49" s="33"/>
      <c r="BYV49" s="33"/>
      <c r="BYW49" s="33"/>
      <c r="BYX49" s="33"/>
      <c r="BYY49" s="74"/>
      <c r="BYZ49" s="33"/>
      <c r="BZA49" s="33"/>
      <c r="BZB49" s="33"/>
      <c r="BZC49" s="33"/>
      <c r="BZD49" s="33"/>
      <c r="BZE49" s="137"/>
      <c r="BZF49" s="33"/>
      <c r="BZG49" s="33"/>
      <c r="BZH49" s="33"/>
      <c r="BZI49" s="33"/>
      <c r="BZJ49" s="33"/>
      <c r="BZK49" s="74"/>
      <c r="BZL49" s="33"/>
      <c r="BZM49" s="33"/>
      <c r="BZN49" s="33"/>
      <c r="BZO49" s="33"/>
      <c r="BZP49" s="33"/>
      <c r="BZQ49" s="34"/>
      <c r="BZR49" s="32"/>
      <c r="BZS49" s="64"/>
      <c r="BZT49" s="64"/>
      <c r="BZU49" s="64"/>
      <c r="BZV49" s="33"/>
      <c r="BZW49" s="132"/>
      <c r="BZX49" s="33"/>
      <c r="BZY49" s="33"/>
      <c r="BZZ49" s="33"/>
      <c r="CAA49" s="33"/>
      <c r="CAB49" s="33"/>
      <c r="CAC49" s="137"/>
      <c r="CAD49" s="33"/>
      <c r="CAE49" s="33"/>
      <c r="CAF49" s="33"/>
      <c r="CAG49" s="33"/>
      <c r="CAH49" s="33"/>
      <c r="CAI49" s="74"/>
      <c r="CAJ49" s="33"/>
      <c r="CAK49" s="33"/>
      <c r="CAL49" s="33"/>
      <c r="CAM49" s="33"/>
      <c r="CAN49" s="33"/>
      <c r="CAO49" s="137"/>
      <c r="CAP49" s="33"/>
      <c r="CAQ49" s="33"/>
      <c r="CAR49" s="33"/>
      <c r="CAS49" s="33"/>
      <c r="CAT49" s="33"/>
      <c r="CAU49" s="74"/>
      <c r="CAV49" s="64"/>
      <c r="CAW49" s="64"/>
      <c r="CAX49" s="64"/>
      <c r="CAY49" s="64"/>
      <c r="CAZ49" s="33"/>
      <c r="CBA49" s="137"/>
      <c r="CBB49" s="33"/>
      <c r="CBC49" s="33"/>
      <c r="CBD49" s="33"/>
      <c r="CBE49" s="33"/>
      <c r="CBF49" s="33"/>
      <c r="CBG49" s="74"/>
      <c r="CBH49" s="33"/>
      <c r="CBI49" s="33"/>
      <c r="CBJ49" s="33"/>
      <c r="CBK49" s="33"/>
      <c r="CBL49" s="33"/>
      <c r="CBM49" s="137"/>
      <c r="CBN49" s="33"/>
      <c r="CBO49" s="33"/>
      <c r="CBP49" s="33"/>
      <c r="CBQ49" s="33"/>
      <c r="CBR49" s="33"/>
      <c r="CBS49" s="74"/>
      <c r="CBT49" s="33"/>
      <c r="CBU49" s="33"/>
      <c r="CBV49" s="33"/>
      <c r="CBW49" s="33"/>
      <c r="CBX49" s="33"/>
      <c r="CBY49" s="34"/>
      <c r="CBZ49" s="90"/>
    </row>
    <row r="50" spans="1:2106" ht="20.100000000000001" customHeight="1" x14ac:dyDescent="0.3">
      <c r="A50" s="100" t="s">
        <v>23</v>
      </c>
      <c r="B50" s="63" t="str">
        <f>IF(LEN(C85)=0,"",C85)</f>
        <v/>
      </c>
      <c r="C50" s="171"/>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36"/>
      <c r="BLW50" s="65"/>
      <c r="BLX50" s="65"/>
      <c r="BLY50" s="65"/>
      <c r="BLZ50" s="37"/>
      <c r="BMA50" s="133"/>
      <c r="BMB50" s="37"/>
      <c r="BMC50" s="37"/>
      <c r="BMD50" s="37"/>
      <c r="BME50" s="37"/>
      <c r="BMF50" s="37"/>
      <c r="BMG50" s="138"/>
      <c r="BMH50" s="37"/>
      <c r="BMI50" s="37"/>
      <c r="BMJ50" s="37"/>
      <c r="BMK50" s="37"/>
      <c r="BML50" s="37"/>
      <c r="BMM50" s="75"/>
      <c r="BMN50" s="37"/>
      <c r="BMO50" s="37"/>
      <c r="BMP50" s="37"/>
      <c r="BMQ50" s="37"/>
      <c r="BMR50" s="37"/>
      <c r="BMS50" s="138"/>
      <c r="BMT50" s="37"/>
      <c r="BMU50" s="37"/>
      <c r="BMV50" s="37"/>
      <c r="BMW50" s="37"/>
      <c r="BMX50" s="37"/>
      <c r="BMY50" s="75"/>
      <c r="BMZ50" s="65"/>
      <c r="BNA50" s="65"/>
      <c r="BNB50" s="65"/>
      <c r="BNC50" s="65"/>
      <c r="BND50" s="37"/>
      <c r="BNE50" s="138"/>
      <c r="BNF50" s="37"/>
      <c r="BNG50" s="37"/>
      <c r="BNH50" s="37"/>
      <c r="BNI50" s="37"/>
      <c r="BNJ50" s="37"/>
      <c r="BNK50" s="75"/>
      <c r="BNL50" s="37"/>
      <c r="BNM50" s="37"/>
      <c r="BNN50" s="37"/>
      <c r="BNO50" s="37"/>
      <c r="BNP50" s="37"/>
      <c r="BNQ50" s="138"/>
      <c r="BNR50" s="37"/>
      <c r="BNS50" s="37"/>
      <c r="BNT50" s="37"/>
      <c r="BNU50" s="37"/>
      <c r="BNV50" s="37"/>
      <c r="BNW50" s="75"/>
      <c r="BNX50" s="37"/>
      <c r="BNY50" s="37"/>
      <c r="BNZ50" s="37"/>
      <c r="BOA50" s="37"/>
      <c r="BOB50" s="37"/>
      <c r="BOC50" s="38"/>
      <c r="BOD50" s="36"/>
      <c r="BOE50" s="65"/>
      <c r="BOF50" s="65"/>
      <c r="BOG50" s="65"/>
      <c r="BOH50" s="37"/>
      <c r="BOI50" s="133"/>
      <c r="BOJ50" s="37"/>
      <c r="BOK50" s="37"/>
      <c r="BOL50" s="37"/>
      <c r="BOM50" s="37"/>
      <c r="BON50" s="37"/>
      <c r="BOO50" s="138"/>
      <c r="BOP50" s="37"/>
      <c r="BOQ50" s="37"/>
      <c r="BOR50" s="37"/>
      <c r="BOS50" s="37"/>
      <c r="BOT50" s="37"/>
      <c r="BOU50" s="75"/>
      <c r="BOV50" s="37"/>
      <c r="BOW50" s="37"/>
      <c r="BOX50" s="37"/>
      <c r="BOY50" s="37"/>
      <c r="BOZ50" s="37"/>
      <c r="BPA50" s="138"/>
      <c r="BPB50" s="37"/>
      <c r="BPC50" s="37"/>
      <c r="BPD50" s="37"/>
      <c r="BPE50" s="37"/>
      <c r="BPF50" s="37"/>
      <c r="BPG50" s="75"/>
      <c r="BPH50" s="65"/>
      <c r="BPI50" s="65"/>
      <c r="BPJ50" s="65"/>
      <c r="BPK50" s="65"/>
      <c r="BPL50" s="37"/>
      <c r="BPM50" s="138"/>
      <c r="BPN50" s="37"/>
      <c r="BPO50" s="37"/>
      <c r="BPP50" s="37"/>
      <c r="BPQ50" s="37"/>
      <c r="BPR50" s="37"/>
      <c r="BPS50" s="75"/>
      <c r="BPT50" s="37"/>
      <c r="BPU50" s="37"/>
      <c r="BPV50" s="37"/>
      <c r="BPW50" s="37"/>
      <c r="BPX50" s="37"/>
      <c r="BPY50" s="138"/>
      <c r="BPZ50" s="37"/>
      <c r="BQA50" s="37"/>
      <c r="BQB50" s="37"/>
      <c r="BQC50" s="37"/>
      <c r="BQD50" s="37"/>
      <c r="BQE50" s="75"/>
      <c r="BQF50" s="37"/>
      <c r="BQG50" s="37"/>
      <c r="BQH50" s="37"/>
      <c r="BQI50" s="37"/>
      <c r="BQJ50" s="37"/>
      <c r="BQK50" s="38"/>
      <c r="BQL50" s="36"/>
      <c r="BQM50" s="65"/>
      <c r="BQN50" s="65"/>
      <c r="BQO50" s="65"/>
      <c r="BQP50" s="37"/>
      <c r="BQQ50" s="133"/>
      <c r="BQR50" s="37"/>
      <c r="BQS50" s="37"/>
      <c r="BQT50" s="37"/>
      <c r="BQU50" s="37"/>
      <c r="BQV50" s="37"/>
      <c r="BQW50" s="138"/>
      <c r="BQX50" s="37"/>
      <c r="BQY50" s="37"/>
      <c r="BQZ50" s="37"/>
      <c r="BRA50" s="37"/>
      <c r="BRB50" s="37"/>
      <c r="BRC50" s="75"/>
      <c r="BRD50" s="37"/>
      <c r="BRE50" s="37"/>
      <c r="BRF50" s="37"/>
      <c r="BRG50" s="37"/>
      <c r="BRH50" s="37"/>
      <c r="BRI50" s="138"/>
      <c r="BRJ50" s="37"/>
      <c r="BRK50" s="37"/>
      <c r="BRL50" s="37"/>
      <c r="BRM50" s="37"/>
      <c r="BRN50" s="37"/>
      <c r="BRO50" s="75"/>
      <c r="BRP50" s="65"/>
      <c r="BRQ50" s="65"/>
      <c r="BRR50" s="65"/>
      <c r="BRS50" s="65"/>
      <c r="BRT50" s="37"/>
      <c r="BRU50" s="138"/>
      <c r="BRV50" s="37"/>
      <c r="BRW50" s="37"/>
      <c r="BRX50" s="37"/>
      <c r="BRY50" s="37"/>
      <c r="BRZ50" s="37"/>
      <c r="BSA50" s="75"/>
      <c r="BSB50" s="37"/>
      <c r="BSC50" s="37"/>
      <c r="BSD50" s="37"/>
      <c r="BSE50" s="37"/>
      <c r="BSF50" s="37"/>
      <c r="BSG50" s="138"/>
      <c r="BSH50" s="37"/>
      <c r="BSI50" s="37"/>
      <c r="BSJ50" s="37"/>
      <c r="BSK50" s="37"/>
      <c r="BSL50" s="37"/>
      <c r="BSM50" s="75"/>
      <c r="BSN50" s="37"/>
      <c r="BSO50" s="37"/>
      <c r="BSP50" s="37"/>
      <c r="BSQ50" s="37"/>
      <c r="BSR50" s="37"/>
      <c r="BSS50" s="38"/>
      <c r="BST50" s="36"/>
      <c r="BSU50" s="65"/>
      <c r="BSV50" s="65"/>
      <c r="BSW50" s="65"/>
      <c r="BSX50" s="37"/>
      <c r="BSY50" s="133"/>
      <c r="BSZ50" s="37"/>
      <c r="BTA50" s="37"/>
      <c r="BTB50" s="37"/>
      <c r="BTC50" s="37"/>
      <c r="BTD50" s="37"/>
      <c r="BTE50" s="138"/>
      <c r="BTF50" s="37"/>
      <c r="BTG50" s="37"/>
      <c r="BTH50" s="37"/>
      <c r="BTI50" s="37"/>
      <c r="BTJ50" s="37"/>
      <c r="BTK50" s="75"/>
      <c r="BTL50" s="37"/>
      <c r="BTM50" s="37"/>
      <c r="BTN50" s="37"/>
      <c r="BTO50" s="37"/>
      <c r="BTP50" s="37"/>
      <c r="BTQ50" s="138"/>
      <c r="BTR50" s="37"/>
      <c r="BTS50" s="37"/>
      <c r="BTT50" s="37"/>
      <c r="BTU50" s="37"/>
      <c r="BTV50" s="37"/>
      <c r="BTW50" s="75"/>
      <c r="BTX50" s="65"/>
      <c r="BTY50" s="65"/>
      <c r="BTZ50" s="65"/>
      <c r="BUA50" s="65"/>
      <c r="BUB50" s="37"/>
      <c r="BUC50" s="138"/>
      <c r="BUD50" s="37"/>
      <c r="BUE50" s="37"/>
      <c r="BUF50" s="37"/>
      <c r="BUG50" s="37"/>
      <c r="BUH50" s="37"/>
      <c r="BUI50" s="75"/>
      <c r="BUJ50" s="37"/>
      <c r="BUK50" s="37"/>
      <c r="BUL50" s="37"/>
      <c r="BUM50" s="37"/>
      <c r="BUN50" s="37"/>
      <c r="BUO50" s="138"/>
      <c r="BUP50" s="37"/>
      <c r="BUQ50" s="37"/>
      <c r="BUR50" s="37"/>
      <c r="BUS50" s="37"/>
      <c r="BUT50" s="37"/>
      <c r="BUU50" s="75"/>
      <c r="BUV50" s="37"/>
      <c r="BUW50" s="37"/>
      <c r="BUX50" s="37"/>
      <c r="BUY50" s="37"/>
      <c r="BUZ50" s="37"/>
      <c r="BVA50" s="38"/>
      <c r="BVB50" s="36"/>
      <c r="BVC50" s="65"/>
      <c r="BVD50" s="65"/>
      <c r="BVE50" s="65"/>
      <c r="BVF50" s="37"/>
      <c r="BVG50" s="133"/>
      <c r="BVH50" s="37"/>
      <c r="BVI50" s="37"/>
      <c r="BVJ50" s="37"/>
      <c r="BVK50" s="37"/>
      <c r="BVL50" s="37"/>
      <c r="BVM50" s="138"/>
      <c r="BVN50" s="37"/>
      <c r="BVO50" s="37"/>
      <c r="BVP50" s="37"/>
      <c r="BVQ50" s="37"/>
      <c r="BVR50" s="37"/>
      <c r="BVS50" s="75"/>
      <c r="BVT50" s="37"/>
      <c r="BVU50" s="37"/>
      <c r="BVV50" s="37"/>
      <c r="BVW50" s="37"/>
      <c r="BVX50" s="37"/>
      <c r="BVY50" s="138"/>
      <c r="BVZ50" s="37"/>
      <c r="BWA50" s="37"/>
      <c r="BWB50" s="37"/>
      <c r="BWC50" s="37"/>
      <c r="BWD50" s="37"/>
      <c r="BWE50" s="75"/>
      <c r="BWF50" s="65"/>
      <c r="BWG50" s="65"/>
      <c r="BWH50" s="65"/>
      <c r="BWI50" s="65"/>
      <c r="BWJ50" s="37"/>
      <c r="BWK50" s="138"/>
      <c r="BWL50" s="37"/>
      <c r="BWM50" s="37"/>
      <c r="BWN50" s="37"/>
      <c r="BWO50" s="37"/>
      <c r="BWP50" s="37"/>
      <c r="BWQ50" s="75"/>
      <c r="BWR50" s="37"/>
      <c r="BWS50" s="37"/>
      <c r="BWT50" s="37"/>
      <c r="BWU50" s="37"/>
      <c r="BWV50" s="37"/>
      <c r="BWW50" s="138"/>
      <c r="BWX50" s="37"/>
      <c r="BWY50" s="37"/>
      <c r="BWZ50" s="37"/>
      <c r="BXA50" s="37"/>
      <c r="BXB50" s="37"/>
      <c r="BXC50" s="75"/>
      <c r="BXD50" s="37"/>
      <c r="BXE50" s="37"/>
      <c r="BXF50" s="37"/>
      <c r="BXG50" s="37"/>
      <c r="BXH50" s="37"/>
      <c r="BXI50" s="38"/>
      <c r="BXJ50" s="36"/>
      <c r="BXK50" s="65"/>
      <c r="BXL50" s="65"/>
      <c r="BXM50" s="65"/>
      <c r="BXN50" s="37"/>
      <c r="BXO50" s="133"/>
      <c r="BXP50" s="37"/>
      <c r="BXQ50" s="37"/>
      <c r="BXR50" s="37"/>
      <c r="BXS50" s="37"/>
      <c r="BXT50" s="37"/>
      <c r="BXU50" s="138"/>
      <c r="BXV50" s="37"/>
      <c r="BXW50" s="37"/>
      <c r="BXX50" s="37"/>
      <c r="BXY50" s="37"/>
      <c r="BXZ50" s="37"/>
      <c r="BYA50" s="75"/>
      <c r="BYB50" s="37"/>
      <c r="BYC50" s="37"/>
      <c r="BYD50" s="37"/>
      <c r="BYE50" s="37"/>
      <c r="BYF50" s="37"/>
      <c r="BYG50" s="138"/>
      <c r="BYH50" s="37"/>
      <c r="BYI50" s="37"/>
      <c r="BYJ50" s="37"/>
      <c r="BYK50" s="37"/>
      <c r="BYL50" s="37"/>
      <c r="BYM50" s="75"/>
      <c r="BYN50" s="65"/>
      <c r="BYO50" s="65"/>
      <c r="BYP50" s="65"/>
      <c r="BYQ50" s="65"/>
      <c r="BYR50" s="37"/>
      <c r="BYS50" s="138"/>
      <c r="BYT50" s="37"/>
      <c r="BYU50" s="37"/>
      <c r="BYV50" s="37"/>
      <c r="BYW50" s="37"/>
      <c r="BYX50" s="37"/>
      <c r="BYY50" s="75"/>
      <c r="BYZ50" s="37"/>
      <c r="BZA50" s="37"/>
      <c r="BZB50" s="37"/>
      <c r="BZC50" s="37"/>
      <c r="BZD50" s="37"/>
      <c r="BZE50" s="138"/>
      <c r="BZF50" s="37"/>
      <c r="BZG50" s="37"/>
      <c r="BZH50" s="37"/>
      <c r="BZI50" s="37"/>
      <c r="BZJ50" s="37"/>
      <c r="BZK50" s="75"/>
      <c r="BZL50" s="37"/>
      <c r="BZM50" s="37"/>
      <c r="BZN50" s="37"/>
      <c r="BZO50" s="37"/>
      <c r="BZP50" s="37"/>
      <c r="BZQ50" s="38"/>
      <c r="BZR50" s="36"/>
      <c r="BZS50" s="65"/>
      <c r="BZT50" s="65"/>
      <c r="BZU50" s="65"/>
      <c r="BZV50" s="37"/>
      <c r="BZW50" s="133"/>
      <c r="BZX50" s="37"/>
      <c r="BZY50" s="37"/>
      <c r="BZZ50" s="37"/>
      <c r="CAA50" s="37"/>
      <c r="CAB50" s="37"/>
      <c r="CAC50" s="138"/>
      <c r="CAD50" s="37"/>
      <c r="CAE50" s="37"/>
      <c r="CAF50" s="37"/>
      <c r="CAG50" s="37"/>
      <c r="CAH50" s="37"/>
      <c r="CAI50" s="75"/>
      <c r="CAJ50" s="37"/>
      <c r="CAK50" s="37"/>
      <c r="CAL50" s="37"/>
      <c r="CAM50" s="37"/>
      <c r="CAN50" s="37"/>
      <c r="CAO50" s="138"/>
      <c r="CAP50" s="37"/>
      <c r="CAQ50" s="37"/>
      <c r="CAR50" s="37"/>
      <c r="CAS50" s="37"/>
      <c r="CAT50" s="37"/>
      <c r="CAU50" s="75"/>
      <c r="CAV50" s="65"/>
      <c r="CAW50" s="65"/>
      <c r="CAX50" s="65"/>
      <c r="CAY50" s="65"/>
      <c r="CAZ50" s="37"/>
      <c r="CBA50" s="138"/>
      <c r="CBB50" s="37"/>
      <c r="CBC50" s="37"/>
      <c r="CBD50" s="37"/>
      <c r="CBE50" s="37"/>
      <c r="CBF50" s="37"/>
      <c r="CBG50" s="75"/>
      <c r="CBH50" s="37"/>
      <c r="CBI50" s="37"/>
      <c r="CBJ50" s="37"/>
      <c r="CBK50" s="37"/>
      <c r="CBL50" s="37"/>
      <c r="CBM50" s="138"/>
      <c r="CBN50" s="37"/>
      <c r="CBO50" s="37"/>
      <c r="CBP50" s="37"/>
      <c r="CBQ50" s="37"/>
      <c r="CBR50" s="37"/>
      <c r="CBS50" s="75"/>
      <c r="CBT50" s="37"/>
      <c r="CBU50" s="37"/>
      <c r="CBV50" s="37"/>
      <c r="CBW50" s="37"/>
      <c r="CBX50" s="37"/>
      <c r="CBY50" s="38"/>
      <c r="CBZ50" s="90"/>
    </row>
    <row r="51" spans="1:2106" ht="20.100000000000001" customHeight="1" x14ac:dyDescent="0.25">
      <c r="A51" s="100" t="s">
        <v>22</v>
      </c>
      <c r="B51" s="63" t="str">
        <f>IF(LEN(C87)=0,"",C87)</f>
        <v/>
      </c>
      <c r="C51" s="170"/>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40"/>
      <c r="BLW51" s="66"/>
      <c r="BLX51" s="66"/>
      <c r="BLY51" s="66"/>
      <c r="BLZ51" s="41"/>
      <c r="BMA51" s="134"/>
      <c r="BMB51" s="41"/>
      <c r="BMC51" s="41"/>
      <c r="BMD51" s="41"/>
      <c r="BME51" s="41"/>
      <c r="BMF51" s="41"/>
      <c r="BMG51" s="139"/>
      <c r="BMH51" s="41"/>
      <c r="BMI51" s="41"/>
      <c r="BMJ51" s="41"/>
      <c r="BMK51" s="41"/>
      <c r="BML51" s="41"/>
      <c r="BMM51" s="76"/>
      <c r="BMN51" s="41"/>
      <c r="BMO51" s="41"/>
      <c r="BMP51" s="41"/>
      <c r="BMQ51" s="41"/>
      <c r="BMR51" s="41"/>
      <c r="BMS51" s="139"/>
      <c r="BMT51" s="41"/>
      <c r="BMU51" s="41"/>
      <c r="BMV51" s="41"/>
      <c r="BMW51" s="41"/>
      <c r="BMX51" s="41"/>
      <c r="BMY51" s="76"/>
      <c r="BMZ51" s="66"/>
      <c r="BNA51" s="66"/>
      <c r="BNB51" s="66"/>
      <c r="BNC51" s="66"/>
      <c r="BND51" s="41"/>
      <c r="BNE51" s="139"/>
      <c r="BNF51" s="41"/>
      <c r="BNG51" s="41"/>
      <c r="BNH51" s="41"/>
      <c r="BNI51" s="41"/>
      <c r="BNJ51" s="41"/>
      <c r="BNK51" s="76"/>
      <c r="BNL51" s="41"/>
      <c r="BNM51" s="41"/>
      <c r="BNN51" s="41"/>
      <c r="BNO51" s="41"/>
      <c r="BNP51" s="41"/>
      <c r="BNQ51" s="139"/>
      <c r="BNR51" s="41"/>
      <c r="BNS51" s="41"/>
      <c r="BNT51" s="41"/>
      <c r="BNU51" s="41"/>
      <c r="BNV51" s="41"/>
      <c r="BNW51" s="76"/>
      <c r="BNX51" s="41"/>
      <c r="BNY51" s="41"/>
      <c r="BNZ51" s="41"/>
      <c r="BOA51" s="41"/>
      <c r="BOB51" s="41"/>
      <c r="BOC51" s="42"/>
      <c r="BOD51" s="40"/>
      <c r="BOE51" s="66"/>
      <c r="BOF51" s="66"/>
      <c r="BOG51" s="66"/>
      <c r="BOH51" s="41"/>
      <c r="BOI51" s="134"/>
      <c r="BOJ51" s="41"/>
      <c r="BOK51" s="41"/>
      <c r="BOL51" s="41"/>
      <c r="BOM51" s="41"/>
      <c r="BON51" s="41"/>
      <c r="BOO51" s="139"/>
      <c r="BOP51" s="41"/>
      <c r="BOQ51" s="41"/>
      <c r="BOR51" s="41"/>
      <c r="BOS51" s="41"/>
      <c r="BOT51" s="41"/>
      <c r="BOU51" s="76"/>
      <c r="BOV51" s="41"/>
      <c r="BOW51" s="41"/>
      <c r="BOX51" s="41"/>
      <c r="BOY51" s="41"/>
      <c r="BOZ51" s="41"/>
      <c r="BPA51" s="139"/>
      <c r="BPB51" s="41"/>
      <c r="BPC51" s="41"/>
      <c r="BPD51" s="41"/>
      <c r="BPE51" s="41"/>
      <c r="BPF51" s="41"/>
      <c r="BPG51" s="76"/>
      <c r="BPH51" s="66"/>
      <c r="BPI51" s="66"/>
      <c r="BPJ51" s="66"/>
      <c r="BPK51" s="66"/>
      <c r="BPL51" s="41"/>
      <c r="BPM51" s="139"/>
      <c r="BPN51" s="41"/>
      <c r="BPO51" s="41"/>
      <c r="BPP51" s="41"/>
      <c r="BPQ51" s="41"/>
      <c r="BPR51" s="41"/>
      <c r="BPS51" s="76"/>
      <c r="BPT51" s="41"/>
      <c r="BPU51" s="41"/>
      <c r="BPV51" s="41"/>
      <c r="BPW51" s="41"/>
      <c r="BPX51" s="41"/>
      <c r="BPY51" s="139"/>
      <c r="BPZ51" s="41"/>
      <c r="BQA51" s="41"/>
      <c r="BQB51" s="41"/>
      <c r="BQC51" s="41"/>
      <c r="BQD51" s="41"/>
      <c r="BQE51" s="76"/>
      <c r="BQF51" s="41"/>
      <c r="BQG51" s="41"/>
      <c r="BQH51" s="41"/>
      <c r="BQI51" s="41"/>
      <c r="BQJ51" s="41"/>
      <c r="BQK51" s="42"/>
      <c r="BQL51" s="40"/>
      <c r="BQM51" s="66"/>
      <c r="BQN51" s="66"/>
      <c r="BQO51" s="66"/>
      <c r="BQP51" s="41"/>
      <c r="BQQ51" s="134"/>
      <c r="BQR51" s="41"/>
      <c r="BQS51" s="41"/>
      <c r="BQT51" s="41"/>
      <c r="BQU51" s="41"/>
      <c r="BQV51" s="41"/>
      <c r="BQW51" s="139"/>
      <c r="BQX51" s="41"/>
      <c r="BQY51" s="41"/>
      <c r="BQZ51" s="41"/>
      <c r="BRA51" s="41"/>
      <c r="BRB51" s="41"/>
      <c r="BRC51" s="76"/>
      <c r="BRD51" s="41"/>
      <c r="BRE51" s="41"/>
      <c r="BRF51" s="41"/>
      <c r="BRG51" s="41"/>
      <c r="BRH51" s="41"/>
      <c r="BRI51" s="139"/>
      <c r="BRJ51" s="41"/>
      <c r="BRK51" s="41"/>
      <c r="BRL51" s="41"/>
      <c r="BRM51" s="41"/>
      <c r="BRN51" s="41"/>
      <c r="BRO51" s="76"/>
      <c r="BRP51" s="66"/>
      <c r="BRQ51" s="66"/>
      <c r="BRR51" s="66"/>
      <c r="BRS51" s="66"/>
      <c r="BRT51" s="41"/>
      <c r="BRU51" s="139"/>
      <c r="BRV51" s="41"/>
      <c r="BRW51" s="41"/>
      <c r="BRX51" s="41"/>
      <c r="BRY51" s="41"/>
      <c r="BRZ51" s="41"/>
      <c r="BSA51" s="76"/>
      <c r="BSB51" s="41"/>
      <c r="BSC51" s="41"/>
      <c r="BSD51" s="41"/>
      <c r="BSE51" s="41"/>
      <c r="BSF51" s="41"/>
      <c r="BSG51" s="139"/>
      <c r="BSH51" s="41"/>
      <c r="BSI51" s="41"/>
      <c r="BSJ51" s="41"/>
      <c r="BSK51" s="41"/>
      <c r="BSL51" s="41"/>
      <c r="BSM51" s="76"/>
      <c r="BSN51" s="41"/>
      <c r="BSO51" s="41"/>
      <c r="BSP51" s="41"/>
      <c r="BSQ51" s="41"/>
      <c r="BSR51" s="41"/>
      <c r="BSS51" s="42"/>
      <c r="BST51" s="40"/>
      <c r="BSU51" s="66"/>
      <c r="BSV51" s="66"/>
      <c r="BSW51" s="66"/>
      <c r="BSX51" s="41"/>
      <c r="BSY51" s="134"/>
      <c r="BSZ51" s="41"/>
      <c r="BTA51" s="41"/>
      <c r="BTB51" s="41"/>
      <c r="BTC51" s="41"/>
      <c r="BTD51" s="41"/>
      <c r="BTE51" s="139"/>
      <c r="BTF51" s="41"/>
      <c r="BTG51" s="41"/>
      <c r="BTH51" s="41"/>
      <c r="BTI51" s="41"/>
      <c r="BTJ51" s="41"/>
      <c r="BTK51" s="76"/>
      <c r="BTL51" s="41"/>
      <c r="BTM51" s="41"/>
      <c r="BTN51" s="41"/>
      <c r="BTO51" s="41"/>
      <c r="BTP51" s="41"/>
      <c r="BTQ51" s="139"/>
      <c r="BTR51" s="41"/>
      <c r="BTS51" s="41"/>
      <c r="BTT51" s="41"/>
      <c r="BTU51" s="41"/>
      <c r="BTV51" s="41"/>
      <c r="BTW51" s="76"/>
      <c r="BTX51" s="66"/>
      <c r="BTY51" s="66"/>
      <c r="BTZ51" s="66"/>
      <c r="BUA51" s="66"/>
      <c r="BUB51" s="41"/>
      <c r="BUC51" s="139"/>
      <c r="BUD51" s="41"/>
      <c r="BUE51" s="41"/>
      <c r="BUF51" s="41"/>
      <c r="BUG51" s="41"/>
      <c r="BUH51" s="41"/>
      <c r="BUI51" s="76"/>
      <c r="BUJ51" s="41"/>
      <c r="BUK51" s="41"/>
      <c r="BUL51" s="41"/>
      <c r="BUM51" s="41"/>
      <c r="BUN51" s="41"/>
      <c r="BUO51" s="139"/>
      <c r="BUP51" s="41"/>
      <c r="BUQ51" s="41"/>
      <c r="BUR51" s="41"/>
      <c r="BUS51" s="41"/>
      <c r="BUT51" s="41"/>
      <c r="BUU51" s="76"/>
      <c r="BUV51" s="41"/>
      <c r="BUW51" s="41"/>
      <c r="BUX51" s="41"/>
      <c r="BUY51" s="41"/>
      <c r="BUZ51" s="41"/>
      <c r="BVA51" s="42"/>
      <c r="BVB51" s="40"/>
      <c r="BVC51" s="66"/>
      <c r="BVD51" s="66"/>
      <c r="BVE51" s="66"/>
      <c r="BVF51" s="41"/>
      <c r="BVG51" s="134"/>
      <c r="BVH51" s="41"/>
      <c r="BVI51" s="41"/>
      <c r="BVJ51" s="41"/>
      <c r="BVK51" s="41"/>
      <c r="BVL51" s="41"/>
      <c r="BVM51" s="139"/>
      <c r="BVN51" s="41"/>
      <c r="BVO51" s="41"/>
      <c r="BVP51" s="41"/>
      <c r="BVQ51" s="41"/>
      <c r="BVR51" s="41"/>
      <c r="BVS51" s="76"/>
      <c r="BVT51" s="41"/>
      <c r="BVU51" s="41"/>
      <c r="BVV51" s="41"/>
      <c r="BVW51" s="41"/>
      <c r="BVX51" s="41"/>
      <c r="BVY51" s="139"/>
      <c r="BVZ51" s="41"/>
      <c r="BWA51" s="41"/>
      <c r="BWB51" s="41"/>
      <c r="BWC51" s="41"/>
      <c r="BWD51" s="41"/>
      <c r="BWE51" s="76"/>
      <c r="BWF51" s="66"/>
      <c r="BWG51" s="66"/>
      <c r="BWH51" s="66"/>
      <c r="BWI51" s="66"/>
      <c r="BWJ51" s="41"/>
      <c r="BWK51" s="139"/>
      <c r="BWL51" s="41"/>
      <c r="BWM51" s="41"/>
      <c r="BWN51" s="41"/>
      <c r="BWO51" s="41"/>
      <c r="BWP51" s="41"/>
      <c r="BWQ51" s="76"/>
      <c r="BWR51" s="41"/>
      <c r="BWS51" s="41"/>
      <c r="BWT51" s="41"/>
      <c r="BWU51" s="41"/>
      <c r="BWV51" s="41"/>
      <c r="BWW51" s="139"/>
      <c r="BWX51" s="41"/>
      <c r="BWY51" s="41"/>
      <c r="BWZ51" s="41"/>
      <c r="BXA51" s="41"/>
      <c r="BXB51" s="41"/>
      <c r="BXC51" s="76"/>
      <c r="BXD51" s="41"/>
      <c r="BXE51" s="41"/>
      <c r="BXF51" s="41"/>
      <c r="BXG51" s="41"/>
      <c r="BXH51" s="41"/>
      <c r="BXI51" s="42"/>
      <c r="BXJ51" s="40"/>
      <c r="BXK51" s="66"/>
      <c r="BXL51" s="66"/>
      <c r="BXM51" s="66"/>
      <c r="BXN51" s="41"/>
      <c r="BXO51" s="134"/>
      <c r="BXP51" s="41"/>
      <c r="BXQ51" s="41"/>
      <c r="BXR51" s="41"/>
      <c r="BXS51" s="41"/>
      <c r="BXT51" s="41"/>
      <c r="BXU51" s="139"/>
      <c r="BXV51" s="41"/>
      <c r="BXW51" s="41"/>
      <c r="BXX51" s="41"/>
      <c r="BXY51" s="41"/>
      <c r="BXZ51" s="41"/>
      <c r="BYA51" s="76"/>
      <c r="BYB51" s="41"/>
      <c r="BYC51" s="41"/>
      <c r="BYD51" s="41"/>
      <c r="BYE51" s="41"/>
      <c r="BYF51" s="41"/>
      <c r="BYG51" s="139"/>
      <c r="BYH51" s="41"/>
      <c r="BYI51" s="41"/>
      <c r="BYJ51" s="41"/>
      <c r="BYK51" s="41"/>
      <c r="BYL51" s="41"/>
      <c r="BYM51" s="76"/>
      <c r="BYN51" s="66"/>
      <c r="BYO51" s="66"/>
      <c r="BYP51" s="66"/>
      <c r="BYQ51" s="66"/>
      <c r="BYR51" s="41"/>
      <c r="BYS51" s="139"/>
      <c r="BYT51" s="41"/>
      <c r="BYU51" s="41"/>
      <c r="BYV51" s="41"/>
      <c r="BYW51" s="41"/>
      <c r="BYX51" s="41"/>
      <c r="BYY51" s="76"/>
      <c r="BYZ51" s="41"/>
      <c r="BZA51" s="41"/>
      <c r="BZB51" s="41"/>
      <c r="BZC51" s="41"/>
      <c r="BZD51" s="41"/>
      <c r="BZE51" s="139"/>
      <c r="BZF51" s="41"/>
      <c r="BZG51" s="41"/>
      <c r="BZH51" s="41"/>
      <c r="BZI51" s="41"/>
      <c r="BZJ51" s="41"/>
      <c r="BZK51" s="76"/>
      <c r="BZL51" s="41"/>
      <c r="BZM51" s="41"/>
      <c r="BZN51" s="41"/>
      <c r="BZO51" s="41"/>
      <c r="BZP51" s="41"/>
      <c r="BZQ51" s="42"/>
      <c r="BZR51" s="40"/>
      <c r="BZS51" s="66"/>
      <c r="BZT51" s="66"/>
      <c r="BZU51" s="66"/>
      <c r="BZV51" s="41"/>
      <c r="BZW51" s="134"/>
      <c r="BZX51" s="41"/>
      <c r="BZY51" s="41"/>
      <c r="BZZ51" s="41"/>
      <c r="CAA51" s="41"/>
      <c r="CAB51" s="41"/>
      <c r="CAC51" s="139"/>
      <c r="CAD51" s="41"/>
      <c r="CAE51" s="41"/>
      <c r="CAF51" s="41"/>
      <c r="CAG51" s="41"/>
      <c r="CAH51" s="41"/>
      <c r="CAI51" s="76"/>
      <c r="CAJ51" s="41"/>
      <c r="CAK51" s="41"/>
      <c r="CAL51" s="41"/>
      <c r="CAM51" s="41"/>
      <c r="CAN51" s="41"/>
      <c r="CAO51" s="139"/>
      <c r="CAP51" s="41"/>
      <c r="CAQ51" s="41"/>
      <c r="CAR51" s="41"/>
      <c r="CAS51" s="41"/>
      <c r="CAT51" s="41"/>
      <c r="CAU51" s="76"/>
      <c r="CAV51" s="66"/>
      <c r="CAW51" s="66"/>
      <c r="CAX51" s="66"/>
      <c r="CAY51" s="66"/>
      <c r="CAZ51" s="41"/>
      <c r="CBA51" s="139"/>
      <c r="CBB51" s="41"/>
      <c r="CBC51" s="41"/>
      <c r="CBD51" s="41"/>
      <c r="CBE51" s="41"/>
      <c r="CBF51" s="41"/>
      <c r="CBG51" s="76"/>
      <c r="CBH51" s="41"/>
      <c r="CBI51" s="41"/>
      <c r="CBJ51" s="41"/>
      <c r="CBK51" s="41"/>
      <c r="CBL51" s="41"/>
      <c r="CBM51" s="139"/>
      <c r="CBN51" s="41"/>
      <c r="CBO51" s="41"/>
      <c r="CBP51" s="41"/>
      <c r="CBQ51" s="41"/>
      <c r="CBR51" s="41"/>
      <c r="CBS51" s="76"/>
      <c r="CBT51" s="41"/>
      <c r="CBU51" s="41"/>
      <c r="CBV51" s="41"/>
      <c r="CBW51" s="41"/>
      <c r="CBX51" s="41"/>
      <c r="CBY51" s="42"/>
      <c r="CBZ51" s="90"/>
    </row>
    <row r="52" spans="1:2106" ht="20.100000000000001" customHeight="1" x14ac:dyDescent="0.25">
      <c r="A52" s="100" t="s">
        <v>23</v>
      </c>
      <c r="B52" s="63" t="str">
        <f>IF(LEN(C89)=0,"",C89)</f>
        <v/>
      </c>
      <c r="C52" s="172"/>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28"/>
      <c r="BLW52" s="67"/>
      <c r="BLX52" s="67"/>
      <c r="BLY52" s="67"/>
      <c r="BLZ52" s="29"/>
      <c r="BMA52" s="131"/>
      <c r="BMB52" s="29"/>
      <c r="BMC52" s="29"/>
      <c r="BMD52" s="29"/>
      <c r="BME52" s="29"/>
      <c r="BMF52" s="29"/>
      <c r="BMG52" s="136"/>
      <c r="BMH52" s="29"/>
      <c r="BMI52" s="29"/>
      <c r="BMJ52" s="29"/>
      <c r="BMK52" s="29"/>
      <c r="BML52" s="29"/>
      <c r="BMM52" s="75"/>
      <c r="BMN52" s="29"/>
      <c r="BMO52" s="29"/>
      <c r="BMP52" s="29"/>
      <c r="BMQ52" s="29"/>
      <c r="BMR52" s="29"/>
      <c r="BMS52" s="136"/>
      <c r="BMT52" s="29"/>
      <c r="BMU52" s="29"/>
      <c r="BMV52" s="29"/>
      <c r="BMW52" s="29"/>
      <c r="BMX52" s="29"/>
      <c r="BMY52" s="75"/>
      <c r="BMZ52" s="67"/>
      <c r="BNA52" s="67"/>
      <c r="BNB52" s="67"/>
      <c r="BNC52" s="67"/>
      <c r="BND52" s="29"/>
      <c r="BNE52" s="136"/>
      <c r="BNF52" s="29"/>
      <c r="BNG52" s="29"/>
      <c r="BNH52" s="29"/>
      <c r="BNI52" s="29"/>
      <c r="BNJ52" s="37"/>
      <c r="BNK52" s="75"/>
      <c r="BNL52" s="29"/>
      <c r="BNM52" s="29"/>
      <c r="BNN52" s="29"/>
      <c r="BNO52" s="29"/>
      <c r="BNP52" s="29"/>
      <c r="BNQ52" s="136"/>
      <c r="BNR52" s="29"/>
      <c r="BNS52" s="29"/>
      <c r="BNT52" s="29"/>
      <c r="BNU52" s="29"/>
      <c r="BNV52" s="29"/>
      <c r="BNW52" s="75"/>
      <c r="BNX52" s="29"/>
      <c r="BNY52" s="29"/>
      <c r="BNZ52" s="29"/>
      <c r="BOA52" s="29"/>
      <c r="BOB52" s="29"/>
      <c r="BOC52" s="30"/>
      <c r="BOD52" s="28"/>
      <c r="BOE52" s="67"/>
      <c r="BOF52" s="67"/>
      <c r="BOG52" s="67"/>
      <c r="BOH52" s="29"/>
      <c r="BOI52" s="131"/>
      <c r="BOJ52" s="29"/>
      <c r="BOK52" s="29"/>
      <c r="BOL52" s="29"/>
      <c r="BOM52" s="29"/>
      <c r="BON52" s="29"/>
      <c r="BOO52" s="136"/>
      <c r="BOP52" s="29"/>
      <c r="BOQ52" s="29"/>
      <c r="BOR52" s="29"/>
      <c r="BOS52" s="29"/>
      <c r="BOT52" s="29"/>
      <c r="BOU52" s="75"/>
      <c r="BOV52" s="29"/>
      <c r="BOW52" s="29"/>
      <c r="BOX52" s="29"/>
      <c r="BOY52" s="29"/>
      <c r="BOZ52" s="29"/>
      <c r="BPA52" s="136"/>
      <c r="BPB52" s="29"/>
      <c r="BPC52" s="29"/>
      <c r="BPD52" s="29"/>
      <c r="BPE52" s="29"/>
      <c r="BPF52" s="29"/>
      <c r="BPG52" s="75"/>
      <c r="BPH52" s="67"/>
      <c r="BPI52" s="67"/>
      <c r="BPJ52" s="67"/>
      <c r="BPK52" s="67"/>
      <c r="BPL52" s="29"/>
      <c r="BPM52" s="136"/>
      <c r="BPN52" s="29"/>
      <c r="BPO52" s="29"/>
      <c r="BPP52" s="29"/>
      <c r="BPQ52" s="29"/>
      <c r="BPR52" s="37"/>
      <c r="BPS52" s="75"/>
      <c r="BPT52" s="29"/>
      <c r="BPU52" s="29"/>
      <c r="BPV52" s="29"/>
      <c r="BPW52" s="29"/>
      <c r="BPX52" s="29"/>
      <c r="BPY52" s="136"/>
      <c r="BPZ52" s="29"/>
      <c r="BQA52" s="29"/>
      <c r="BQB52" s="29"/>
      <c r="BQC52" s="29"/>
      <c r="BQD52" s="29"/>
      <c r="BQE52" s="75"/>
      <c r="BQF52" s="29"/>
      <c r="BQG52" s="29"/>
      <c r="BQH52" s="29"/>
      <c r="BQI52" s="29"/>
      <c r="BQJ52" s="29"/>
      <c r="BQK52" s="30"/>
      <c r="BQL52" s="28"/>
      <c r="BQM52" s="67"/>
      <c r="BQN52" s="67"/>
      <c r="BQO52" s="67"/>
      <c r="BQP52" s="29"/>
      <c r="BQQ52" s="131"/>
      <c r="BQR52" s="29"/>
      <c r="BQS52" s="29"/>
      <c r="BQT52" s="29"/>
      <c r="BQU52" s="29"/>
      <c r="BQV52" s="29"/>
      <c r="BQW52" s="136"/>
      <c r="BQX52" s="29"/>
      <c r="BQY52" s="29"/>
      <c r="BQZ52" s="29"/>
      <c r="BRA52" s="29"/>
      <c r="BRB52" s="29"/>
      <c r="BRC52" s="75"/>
      <c r="BRD52" s="29"/>
      <c r="BRE52" s="29"/>
      <c r="BRF52" s="29"/>
      <c r="BRG52" s="29"/>
      <c r="BRH52" s="29"/>
      <c r="BRI52" s="136"/>
      <c r="BRJ52" s="29"/>
      <c r="BRK52" s="29"/>
      <c r="BRL52" s="29"/>
      <c r="BRM52" s="29"/>
      <c r="BRN52" s="29"/>
      <c r="BRO52" s="75"/>
      <c r="BRP52" s="67"/>
      <c r="BRQ52" s="67"/>
      <c r="BRR52" s="67"/>
      <c r="BRS52" s="67"/>
      <c r="BRT52" s="29"/>
      <c r="BRU52" s="136"/>
      <c r="BRV52" s="29"/>
      <c r="BRW52" s="29"/>
      <c r="BRX52" s="29"/>
      <c r="BRY52" s="29"/>
      <c r="BRZ52" s="37"/>
      <c r="BSA52" s="75"/>
      <c r="BSB52" s="29"/>
      <c r="BSC52" s="29"/>
      <c r="BSD52" s="29"/>
      <c r="BSE52" s="29"/>
      <c r="BSF52" s="29"/>
      <c r="BSG52" s="136"/>
      <c r="BSH52" s="29"/>
      <c r="BSI52" s="29"/>
      <c r="BSJ52" s="29"/>
      <c r="BSK52" s="29"/>
      <c r="BSL52" s="29"/>
      <c r="BSM52" s="75"/>
      <c r="BSN52" s="29"/>
      <c r="BSO52" s="29"/>
      <c r="BSP52" s="29"/>
      <c r="BSQ52" s="29"/>
      <c r="BSR52" s="29"/>
      <c r="BSS52" s="30"/>
      <c r="BST52" s="28"/>
      <c r="BSU52" s="67"/>
      <c r="BSV52" s="67"/>
      <c r="BSW52" s="67"/>
      <c r="BSX52" s="29"/>
      <c r="BSY52" s="131"/>
      <c r="BSZ52" s="29"/>
      <c r="BTA52" s="29"/>
      <c r="BTB52" s="29"/>
      <c r="BTC52" s="29"/>
      <c r="BTD52" s="29"/>
      <c r="BTE52" s="136"/>
      <c r="BTF52" s="29"/>
      <c r="BTG52" s="29"/>
      <c r="BTH52" s="29"/>
      <c r="BTI52" s="29"/>
      <c r="BTJ52" s="29"/>
      <c r="BTK52" s="75"/>
      <c r="BTL52" s="29"/>
      <c r="BTM52" s="29"/>
      <c r="BTN52" s="29"/>
      <c r="BTO52" s="29"/>
      <c r="BTP52" s="29"/>
      <c r="BTQ52" s="136"/>
      <c r="BTR52" s="29"/>
      <c r="BTS52" s="29"/>
      <c r="BTT52" s="29"/>
      <c r="BTU52" s="29"/>
      <c r="BTV52" s="29"/>
      <c r="BTW52" s="75"/>
      <c r="BTX52" s="67"/>
      <c r="BTY52" s="67"/>
      <c r="BTZ52" s="67"/>
      <c r="BUA52" s="67"/>
      <c r="BUB52" s="29"/>
      <c r="BUC52" s="136"/>
      <c r="BUD52" s="29"/>
      <c r="BUE52" s="29"/>
      <c r="BUF52" s="29"/>
      <c r="BUG52" s="29"/>
      <c r="BUH52" s="37"/>
      <c r="BUI52" s="75"/>
      <c r="BUJ52" s="29"/>
      <c r="BUK52" s="29"/>
      <c r="BUL52" s="29"/>
      <c r="BUM52" s="29"/>
      <c r="BUN52" s="29"/>
      <c r="BUO52" s="136"/>
      <c r="BUP52" s="29"/>
      <c r="BUQ52" s="29"/>
      <c r="BUR52" s="29"/>
      <c r="BUS52" s="29"/>
      <c r="BUT52" s="29"/>
      <c r="BUU52" s="75"/>
      <c r="BUV52" s="29"/>
      <c r="BUW52" s="29"/>
      <c r="BUX52" s="29"/>
      <c r="BUY52" s="29"/>
      <c r="BUZ52" s="29"/>
      <c r="BVA52" s="30"/>
      <c r="BVB52" s="28"/>
      <c r="BVC52" s="67"/>
      <c r="BVD52" s="67"/>
      <c r="BVE52" s="67"/>
      <c r="BVF52" s="29"/>
      <c r="BVG52" s="131"/>
      <c r="BVH52" s="29"/>
      <c r="BVI52" s="29"/>
      <c r="BVJ52" s="29"/>
      <c r="BVK52" s="29"/>
      <c r="BVL52" s="29"/>
      <c r="BVM52" s="136"/>
      <c r="BVN52" s="29"/>
      <c r="BVO52" s="29"/>
      <c r="BVP52" s="29"/>
      <c r="BVQ52" s="29"/>
      <c r="BVR52" s="29"/>
      <c r="BVS52" s="75"/>
      <c r="BVT52" s="29"/>
      <c r="BVU52" s="29"/>
      <c r="BVV52" s="29"/>
      <c r="BVW52" s="29"/>
      <c r="BVX52" s="29"/>
      <c r="BVY52" s="136"/>
      <c r="BVZ52" s="29"/>
      <c r="BWA52" s="29"/>
      <c r="BWB52" s="29"/>
      <c r="BWC52" s="29"/>
      <c r="BWD52" s="29"/>
      <c r="BWE52" s="75"/>
      <c r="BWF52" s="67"/>
      <c r="BWG52" s="67"/>
      <c r="BWH52" s="67"/>
      <c r="BWI52" s="67"/>
      <c r="BWJ52" s="29"/>
      <c r="BWK52" s="136"/>
      <c r="BWL52" s="29"/>
      <c r="BWM52" s="29"/>
      <c r="BWN52" s="29"/>
      <c r="BWO52" s="29"/>
      <c r="BWP52" s="37"/>
      <c r="BWQ52" s="75"/>
      <c r="BWR52" s="29"/>
      <c r="BWS52" s="29"/>
      <c r="BWT52" s="29"/>
      <c r="BWU52" s="29"/>
      <c r="BWV52" s="29"/>
      <c r="BWW52" s="136"/>
      <c r="BWX52" s="29"/>
      <c r="BWY52" s="29"/>
      <c r="BWZ52" s="29"/>
      <c r="BXA52" s="29"/>
      <c r="BXB52" s="29"/>
      <c r="BXC52" s="75"/>
      <c r="BXD52" s="29"/>
      <c r="BXE52" s="29"/>
      <c r="BXF52" s="29"/>
      <c r="BXG52" s="29"/>
      <c r="BXH52" s="29"/>
      <c r="BXI52" s="30"/>
      <c r="BXJ52" s="28"/>
      <c r="BXK52" s="67"/>
      <c r="BXL52" s="67"/>
      <c r="BXM52" s="67"/>
      <c r="BXN52" s="29"/>
      <c r="BXO52" s="131"/>
      <c r="BXP52" s="29"/>
      <c r="BXQ52" s="29"/>
      <c r="BXR52" s="29"/>
      <c r="BXS52" s="29"/>
      <c r="BXT52" s="29"/>
      <c r="BXU52" s="136"/>
      <c r="BXV52" s="29"/>
      <c r="BXW52" s="29"/>
      <c r="BXX52" s="29"/>
      <c r="BXY52" s="29"/>
      <c r="BXZ52" s="29"/>
      <c r="BYA52" s="75"/>
      <c r="BYB52" s="29"/>
      <c r="BYC52" s="29"/>
      <c r="BYD52" s="29"/>
      <c r="BYE52" s="29"/>
      <c r="BYF52" s="29"/>
      <c r="BYG52" s="136"/>
      <c r="BYH52" s="29"/>
      <c r="BYI52" s="29"/>
      <c r="BYJ52" s="29"/>
      <c r="BYK52" s="29"/>
      <c r="BYL52" s="29"/>
      <c r="BYM52" s="75"/>
      <c r="BYN52" s="67"/>
      <c r="BYO52" s="67"/>
      <c r="BYP52" s="67"/>
      <c r="BYQ52" s="67"/>
      <c r="BYR52" s="29"/>
      <c r="BYS52" s="136"/>
      <c r="BYT52" s="29"/>
      <c r="BYU52" s="29"/>
      <c r="BYV52" s="29"/>
      <c r="BYW52" s="29"/>
      <c r="BYX52" s="37"/>
      <c r="BYY52" s="75"/>
      <c r="BYZ52" s="29"/>
      <c r="BZA52" s="29"/>
      <c r="BZB52" s="29"/>
      <c r="BZC52" s="29"/>
      <c r="BZD52" s="29"/>
      <c r="BZE52" s="136"/>
      <c r="BZF52" s="29"/>
      <c r="BZG52" s="29"/>
      <c r="BZH52" s="29"/>
      <c r="BZI52" s="29"/>
      <c r="BZJ52" s="29"/>
      <c r="BZK52" s="75"/>
      <c r="BZL52" s="29"/>
      <c r="BZM52" s="29"/>
      <c r="BZN52" s="29"/>
      <c r="BZO52" s="29"/>
      <c r="BZP52" s="29"/>
      <c r="BZQ52" s="30"/>
      <c r="BZR52" s="28"/>
      <c r="BZS52" s="67"/>
      <c r="BZT52" s="67"/>
      <c r="BZU52" s="67"/>
      <c r="BZV52" s="29"/>
      <c r="BZW52" s="131"/>
      <c r="BZX52" s="29"/>
      <c r="BZY52" s="29"/>
      <c r="BZZ52" s="29"/>
      <c r="CAA52" s="29"/>
      <c r="CAB52" s="29"/>
      <c r="CAC52" s="136"/>
      <c r="CAD52" s="29"/>
      <c r="CAE52" s="29"/>
      <c r="CAF52" s="29"/>
      <c r="CAG52" s="29"/>
      <c r="CAH52" s="29"/>
      <c r="CAI52" s="75"/>
      <c r="CAJ52" s="29"/>
      <c r="CAK52" s="29"/>
      <c r="CAL52" s="29"/>
      <c r="CAM52" s="29"/>
      <c r="CAN52" s="29"/>
      <c r="CAO52" s="136"/>
      <c r="CAP52" s="29"/>
      <c r="CAQ52" s="29"/>
      <c r="CAR52" s="29"/>
      <c r="CAS52" s="29"/>
      <c r="CAT52" s="29"/>
      <c r="CAU52" s="75"/>
      <c r="CAV52" s="67"/>
      <c r="CAW52" s="67"/>
      <c r="CAX52" s="67"/>
      <c r="CAY52" s="67"/>
      <c r="CAZ52" s="29"/>
      <c r="CBA52" s="136"/>
      <c r="CBB52" s="29"/>
      <c r="CBC52" s="29"/>
      <c r="CBD52" s="29"/>
      <c r="CBE52" s="29"/>
      <c r="CBF52" s="37"/>
      <c r="CBG52" s="75"/>
      <c r="CBH52" s="29"/>
      <c r="CBI52" s="29"/>
      <c r="CBJ52" s="29"/>
      <c r="CBK52" s="29"/>
      <c r="CBL52" s="29"/>
      <c r="CBM52" s="136"/>
      <c r="CBN52" s="29"/>
      <c r="CBO52" s="29"/>
      <c r="CBP52" s="29"/>
      <c r="CBQ52" s="29"/>
      <c r="CBR52" s="29"/>
      <c r="CBS52" s="75"/>
      <c r="CBT52" s="29"/>
      <c r="CBU52" s="29"/>
      <c r="CBV52" s="29"/>
      <c r="CBW52" s="29"/>
      <c r="CBX52" s="29"/>
      <c r="CBY52" s="30"/>
      <c r="CBZ52" s="90"/>
    </row>
    <row r="53" spans="1:2106" ht="20.100000000000001" customHeight="1" x14ac:dyDescent="0.25">
      <c r="A53" s="100" t="s">
        <v>22</v>
      </c>
      <c r="B53" s="63" t="str">
        <f>IF(LEN(C91)=0,"",C91)</f>
        <v/>
      </c>
      <c r="C53" s="170"/>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32"/>
      <c r="BLW53" s="64"/>
      <c r="BLX53" s="64"/>
      <c r="BLY53" s="64"/>
      <c r="BLZ53" s="33"/>
      <c r="BMA53" s="132"/>
      <c r="BMB53" s="33"/>
      <c r="BMC53" s="33"/>
      <c r="BMD53" s="33"/>
      <c r="BME53" s="33"/>
      <c r="BMF53" s="33"/>
      <c r="BMG53" s="137"/>
      <c r="BMH53" s="33"/>
      <c r="BMI53" s="33"/>
      <c r="BMJ53" s="33"/>
      <c r="BMK53" s="33"/>
      <c r="BML53" s="33"/>
      <c r="BMM53" s="74"/>
      <c r="BMN53" s="33"/>
      <c r="BMO53" s="33"/>
      <c r="BMP53" s="33"/>
      <c r="BMQ53" s="33"/>
      <c r="BMR53" s="33"/>
      <c r="BMS53" s="137"/>
      <c r="BMT53" s="33"/>
      <c r="BMU53" s="33"/>
      <c r="BMV53" s="33"/>
      <c r="BMW53" s="33"/>
      <c r="BMX53" s="33"/>
      <c r="BMY53" s="74"/>
      <c r="BMZ53" s="64"/>
      <c r="BNA53" s="64"/>
      <c r="BNB53" s="64"/>
      <c r="BNC53" s="64"/>
      <c r="BND53" s="33"/>
      <c r="BNE53" s="137"/>
      <c r="BNF53" s="33"/>
      <c r="BNG53" s="33"/>
      <c r="BNH53" s="33"/>
      <c r="BNI53" s="33"/>
      <c r="BNJ53" s="33"/>
      <c r="BNK53" s="74"/>
      <c r="BNL53" s="33"/>
      <c r="BNM53" s="33"/>
      <c r="BNN53" s="33"/>
      <c r="BNO53" s="33"/>
      <c r="BNP53" s="33"/>
      <c r="BNQ53" s="137"/>
      <c r="BNR53" s="33"/>
      <c r="BNS53" s="33"/>
      <c r="BNT53" s="33"/>
      <c r="BNU53" s="33"/>
      <c r="BNV53" s="33"/>
      <c r="BNW53" s="74"/>
      <c r="BNX53" s="33"/>
      <c r="BNY53" s="33"/>
      <c r="BNZ53" s="33"/>
      <c r="BOA53" s="33"/>
      <c r="BOB53" s="33"/>
      <c r="BOC53" s="34"/>
      <c r="BOD53" s="32"/>
      <c r="BOE53" s="64"/>
      <c r="BOF53" s="64"/>
      <c r="BOG53" s="64"/>
      <c r="BOH53" s="33"/>
      <c r="BOI53" s="132"/>
      <c r="BOJ53" s="33"/>
      <c r="BOK53" s="33"/>
      <c r="BOL53" s="33"/>
      <c r="BOM53" s="33"/>
      <c r="BON53" s="33"/>
      <c r="BOO53" s="137"/>
      <c r="BOP53" s="33"/>
      <c r="BOQ53" s="33"/>
      <c r="BOR53" s="33"/>
      <c r="BOS53" s="33"/>
      <c r="BOT53" s="33"/>
      <c r="BOU53" s="74"/>
      <c r="BOV53" s="33"/>
      <c r="BOW53" s="33"/>
      <c r="BOX53" s="33"/>
      <c r="BOY53" s="33"/>
      <c r="BOZ53" s="33"/>
      <c r="BPA53" s="137"/>
      <c r="BPB53" s="33"/>
      <c r="BPC53" s="33"/>
      <c r="BPD53" s="33"/>
      <c r="BPE53" s="33"/>
      <c r="BPF53" s="33"/>
      <c r="BPG53" s="74"/>
      <c r="BPH53" s="64"/>
      <c r="BPI53" s="64"/>
      <c r="BPJ53" s="64"/>
      <c r="BPK53" s="64"/>
      <c r="BPL53" s="33"/>
      <c r="BPM53" s="137"/>
      <c r="BPN53" s="33"/>
      <c r="BPO53" s="33"/>
      <c r="BPP53" s="33"/>
      <c r="BPQ53" s="33"/>
      <c r="BPR53" s="33"/>
      <c r="BPS53" s="74"/>
      <c r="BPT53" s="33"/>
      <c r="BPU53" s="33"/>
      <c r="BPV53" s="33"/>
      <c r="BPW53" s="33"/>
      <c r="BPX53" s="33"/>
      <c r="BPY53" s="137"/>
      <c r="BPZ53" s="33"/>
      <c r="BQA53" s="33"/>
      <c r="BQB53" s="33"/>
      <c r="BQC53" s="33"/>
      <c r="BQD53" s="33"/>
      <c r="BQE53" s="74"/>
      <c r="BQF53" s="33"/>
      <c r="BQG53" s="33"/>
      <c r="BQH53" s="33"/>
      <c r="BQI53" s="33"/>
      <c r="BQJ53" s="33"/>
      <c r="BQK53" s="34"/>
      <c r="BQL53" s="32"/>
      <c r="BQM53" s="64"/>
      <c r="BQN53" s="64"/>
      <c r="BQO53" s="64"/>
      <c r="BQP53" s="33"/>
      <c r="BQQ53" s="132"/>
      <c r="BQR53" s="33"/>
      <c r="BQS53" s="33"/>
      <c r="BQT53" s="33"/>
      <c r="BQU53" s="33"/>
      <c r="BQV53" s="33"/>
      <c r="BQW53" s="137"/>
      <c r="BQX53" s="33"/>
      <c r="BQY53" s="33"/>
      <c r="BQZ53" s="33"/>
      <c r="BRA53" s="33"/>
      <c r="BRB53" s="33"/>
      <c r="BRC53" s="74"/>
      <c r="BRD53" s="33"/>
      <c r="BRE53" s="33"/>
      <c r="BRF53" s="33"/>
      <c r="BRG53" s="33"/>
      <c r="BRH53" s="33"/>
      <c r="BRI53" s="137"/>
      <c r="BRJ53" s="33"/>
      <c r="BRK53" s="33"/>
      <c r="BRL53" s="33"/>
      <c r="BRM53" s="33"/>
      <c r="BRN53" s="33"/>
      <c r="BRO53" s="74"/>
      <c r="BRP53" s="64"/>
      <c r="BRQ53" s="64"/>
      <c r="BRR53" s="64"/>
      <c r="BRS53" s="64"/>
      <c r="BRT53" s="33"/>
      <c r="BRU53" s="137"/>
      <c r="BRV53" s="33"/>
      <c r="BRW53" s="33"/>
      <c r="BRX53" s="33"/>
      <c r="BRY53" s="33"/>
      <c r="BRZ53" s="33"/>
      <c r="BSA53" s="74"/>
      <c r="BSB53" s="33"/>
      <c r="BSC53" s="33"/>
      <c r="BSD53" s="33"/>
      <c r="BSE53" s="33"/>
      <c r="BSF53" s="33"/>
      <c r="BSG53" s="137"/>
      <c r="BSH53" s="33"/>
      <c r="BSI53" s="33"/>
      <c r="BSJ53" s="33"/>
      <c r="BSK53" s="33"/>
      <c r="BSL53" s="33"/>
      <c r="BSM53" s="74"/>
      <c r="BSN53" s="33"/>
      <c r="BSO53" s="33"/>
      <c r="BSP53" s="33"/>
      <c r="BSQ53" s="33"/>
      <c r="BSR53" s="33"/>
      <c r="BSS53" s="34"/>
      <c r="BST53" s="32"/>
      <c r="BSU53" s="64"/>
      <c r="BSV53" s="64"/>
      <c r="BSW53" s="64"/>
      <c r="BSX53" s="33"/>
      <c r="BSY53" s="132"/>
      <c r="BSZ53" s="33"/>
      <c r="BTA53" s="33"/>
      <c r="BTB53" s="33"/>
      <c r="BTC53" s="33"/>
      <c r="BTD53" s="33"/>
      <c r="BTE53" s="137"/>
      <c r="BTF53" s="33"/>
      <c r="BTG53" s="33"/>
      <c r="BTH53" s="33"/>
      <c r="BTI53" s="33"/>
      <c r="BTJ53" s="33"/>
      <c r="BTK53" s="74"/>
      <c r="BTL53" s="33"/>
      <c r="BTM53" s="33"/>
      <c r="BTN53" s="33"/>
      <c r="BTO53" s="33"/>
      <c r="BTP53" s="33"/>
      <c r="BTQ53" s="137"/>
      <c r="BTR53" s="33"/>
      <c r="BTS53" s="33"/>
      <c r="BTT53" s="33"/>
      <c r="BTU53" s="33"/>
      <c r="BTV53" s="33"/>
      <c r="BTW53" s="74"/>
      <c r="BTX53" s="64"/>
      <c r="BTY53" s="64"/>
      <c r="BTZ53" s="64"/>
      <c r="BUA53" s="64"/>
      <c r="BUB53" s="33"/>
      <c r="BUC53" s="137"/>
      <c r="BUD53" s="33"/>
      <c r="BUE53" s="33"/>
      <c r="BUF53" s="33"/>
      <c r="BUG53" s="33"/>
      <c r="BUH53" s="33"/>
      <c r="BUI53" s="74"/>
      <c r="BUJ53" s="33"/>
      <c r="BUK53" s="33"/>
      <c r="BUL53" s="33"/>
      <c r="BUM53" s="33"/>
      <c r="BUN53" s="33"/>
      <c r="BUO53" s="137"/>
      <c r="BUP53" s="33"/>
      <c r="BUQ53" s="33"/>
      <c r="BUR53" s="33"/>
      <c r="BUS53" s="33"/>
      <c r="BUT53" s="33"/>
      <c r="BUU53" s="74"/>
      <c r="BUV53" s="33"/>
      <c r="BUW53" s="33"/>
      <c r="BUX53" s="33"/>
      <c r="BUY53" s="33"/>
      <c r="BUZ53" s="33"/>
      <c r="BVA53" s="34"/>
      <c r="BVB53" s="32"/>
      <c r="BVC53" s="64"/>
      <c r="BVD53" s="64"/>
      <c r="BVE53" s="64"/>
      <c r="BVF53" s="33"/>
      <c r="BVG53" s="132"/>
      <c r="BVH53" s="33"/>
      <c r="BVI53" s="33"/>
      <c r="BVJ53" s="33"/>
      <c r="BVK53" s="33"/>
      <c r="BVL53" s="33"/>
      <c r="BVM53" s="137"/>
      <c r="BVN53" s="33"/>
      <c r="BVO53" s="33"/>
      <c r="BVP53" s="33"/>
      <c r="BVQ53" s="33"/>
      <c r="BVR53" s="33"/>
      <c r="BVS53" s="74"/>
      <c r="BVT53" s="33"/>
      <c r="BVU53" s="33"/>
      <c r="BVV53" s="33"/>
      <c r="BVW53" s="33"/>
      <c r="BVX53" s="33"/>
      <c r="BVY53" s="137"/>
      <c r="BVZ53" s="33"/>
      <c r="BWA53" s="33"/>
      <c r="BWB53" s="33"/>
      <c r="BWC53" s="33"/>
      <c r="BWD53" s="33"/>
      <c r="BWE53" s="74"/>
      <c r="BWF53" s="64"/>
      <c r="BWG53" s="64"/>
      <c r="BWH53" s="64"/>
      <c r="BWI53" s="64"/>
      <c r="BWJ53" s="33"/>
      <c r="BWK53" s="137"/>
      <c r="BWL53" s="33"/>
      <c r="BWM53" s="33"/>
      <c r="BWN53" s="33"/>
      <c r="BWO53" s="33"/>
      <c r="BWP53" s="33"/>
      <c r="BWQ53" s="74"/>
      <c r="BWR53" s="33"/>
      <c r="BWS53" s="33"/>
      <c r="BWT53" s="33"/>
      <c r="BWU53" s="33"/>
      <c r="BWV53" s="33"/>
      <c r="BWW53" s="137"/>
      <c r="BWX53" s="33"/>
      <c r="BWY53" s="33"/>
      <c r="BWZ53" s="33"/>
      <c r="BXA53" s="33"/>
      <c r="BXB53" s="33"/>
      <c r="BXC53" s="74"/>
      <c r="BXD53" s="33"/>
      <c r="BXE53" s="33"/>
      <c r="BXF53" s="33"/>
      <c r="BXG53" s="33"/>
      <c r="BXH53" s="33"/>
      <c r="BXI53" s="34"/>
      <c r="BXJ53" s="32"/>
      <c r="BXK53" s="64"/>
      <c r="BXL53" s="64"/>
      <c r="BXM53" s="64"/>
      <c r="BXN53" s="33"/>
      <c r="BXO53" s="132"/>
      <c r="BXP53" s="33"/>
      <c r="BXQ53" s="33"/>
      <c r="BXR53" s="33"/>
      <c r="BXS53" s="33"/>
      <c r="BXT53" s="33"/>
      <c r="BXU53" s="137"/>
      <c r="BXV53" s="33"/>
      <c r="BXW53" s="33"/>
      <c r="BXX53" s="33"/>
      <c r="BXY53" s="33"/>
      <c r="BXZ53" s="33"/>
      <c r="BYA53" s="74"/>
      <c r="BYB53" s="33"/>
      <c r="BYC53" s="33"/>
      <c r="BYD53" s="33"/>
      <c r="BYE53" s="33"/>
      <c r="BYF53" s="33"/>
      <c r="BYG53" s="137"/>
      <c r="BYH53" s="33"/>
      <c r="BYI53" s="33"/>
      <c r="BYJ53" s="33"/>
      <c r="BYK53" s="33"/>
      <c r="BYL53" s="33"/>
      <c r="BYM53" s="74"/>
      <c r="BYN53" s="64"/>
      <c r="BYO53" s="64"/>
      <c r="BYP53" s="64"/>
      <c r="BYQ53" s="64"/>
      <c r="BYR53" s="33"/>
      <c r="BYS53" s="137"/>
      <c r="BYT53" s="33"/>
      <c r="BYU53" s="33"/>
      <c r="BYV53" s="33"/>
      <c r="BYW53" s="33"/>
      <c r="BYX53" s="33"/>
      <c r="BYY53" s="74"/>
      <c r="BYZ53" s="33"/>
      <c r="BZA53" s="33"/>
      <c r="BZB53" s="33"/>
      <c r="BZC53" s="33"/>
      <c r="BZD53" s="33"/>
      <c r="BZE53" s="137"/>
      <c r="BZF53" s="33"/>
      <c r="BZG53" s="33"/>
      <c r="BZH53" s="33"/>
      <c r="BZI53" s="33"/>
      <c r="BZJ53" s="33"/>
      <c r="BZK53" s="74"/>
      <c r="BZL53" s="33"/>
      <c r="BZM53" s="33"/>
      <c r="BZN53" s="33"/>
      <c r="BZO53" s="33"/>
      <c r="BZP53" s="33"/>
      <c r="BZQ53" s="34"/>
      <c r="BZR53" s="32"/>
      <c r="BZS53" s="64"/>
      <c r="BZT53" s="64"/>
      <c r="BZU53" s="64"/>
      <c r="BZV53" s="33"/>
      <c r="BZW53" s="132"/>
      <c r="BZX53" s="33"/>
      <c r="BZY53" s="33"/>
      <c r="BZZ53" s="33"/>
      <c r="CAA53" s="33"/>
      <c r="CAB53" s="33"/>
      <c r="CAC53" s="137"/>
      <c r="CAD53" s="33"/>
      <c r="CAE53" s="33"/>
      <c r="CAF53" s="33"/>
      <c r="CAG53" s="33"/>
      <c r="CAH53" s="33"/>
      <c r="CAI53" s="74"/>
      <c r="CAJ53" s="33"/>
      <c r="CAK53" s="33"/>
      <c r="CAL53" s="33"/>
      <c r="CAM53" s="33"/>
      <c r="CAN53" s="33"/>
      <c r="CAO53" s="137"/>
      <c r="CAP53" s="33"/>
      <c r="CAQ53" s="33"/>
      <c r="CAR53" s="33"/>
      <c r="CAS53" s="33"/>
      <c r="CAT53" s="33"/>
      <c r="CAU53" s="74"/>
      <c r="CAV53" s="64"/>
      <c r="CAW53" s="64"/>
      <c r="CAX53" s="64"/>
      <c r="CAY53" s="64"/>
      <c r="CAZ53" s="33"/>
      <c r="CBA53" s="137"/>
      <c r="CBB53" s="33"/>
      <c r="CBC53" s="33"/>
      <c r="CBD53" s="33"/>
      <c r="CBE53" s="33"/>
      <c r="CBF53" s="33"/>
      <c r="CBG53" s="74"/>
      <c r="CBH53" s="33"/>
      <c r="CBI53" s="33"/>
      <c r="CBJ53" s="33"/>
      <c r="CBK53" s="33"/>
      <c r="CBL53" s="33"/>
      <c r="CBM53" s="137"/>
      <c r="CBN53" s="33"/>
      <c r="CBO53" s="33"/>
      <c r="CBP53" s="33"/>
      <c r="CBQ53" s="33"/>
      <c r="CBR53" s="33"/>
      <c r="CBS53" s="74"/>
      <c r="CBT53" s="33"/>
      <c r="CBU53" s="33"/>
      <c r="CBV53" s="33"/>
      <c r="CBW53" s="33"/>
      <c r="CBX53" s="33"/>
      <c r="CBY53" s="34"/>
      <c r="CBZ53" s="90"/>
    </row>
    <row r="54" spans="1:2106" ht="20.100000000000001" customHeight="1" x14ac:dyDescent="0.3">
      <c r="A54" s="100" t="s">
        <v>23</v>
      </c>
      <c r="B54" s="63" t="str">
        <f>IF(LEN(C93)=0,"",C93)</f>
        <v/>
      </c>
      <c r="C54" s="171"/>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36"/>
      <c r="BLW54" s="65"/>
      <c r="BLX54" s="65"/>
      <c r="BLY54" s="65"/>
      <c r="BLZ54" s="37"/>
      <c r="BMA54" s="133"/>
      <c r="BMB54" s="37"/>
      <c r="BMC54" s="37"/>
      <c r="BMD54" s="37"/>
      <c r="BME54" s="37"/>
      <c r="BMF54" s="37"/>
      <c r="BMG54" s="138"/>
      <c r="BMH54" s="37"/>
      <c r="BMI54" s="37"/>
      <c r="BMJ54" s="37"/>
      <c r="BMK54" s="37"/>
      <c r="BML54" s="37"/>
      <c r="BMM54" s="75"/>
      <c r="BMN54" s="37"/>
      <c r="BMO54" s="37"/>
      <c r="BMP54" s="37"/>
      <c r="BMQ54" s="37"/>
      <c r="BMR54" s="37"/>
      <c r="BMS54" s="138"/>
      <c r="BMT54" s="37"/>
      <c r="BMU54" s="37"/>
      <c r="BMV54" s="37"/>
      <c r="BMW54" s="37"/>
      <c r="BMX54" s="37"/>
      <c r="BMY54" s="75"/>
      <c r="BMZ54" s="65"/>
      <c r="BNA54" s="65"/>
      <c r="BNB54" s="65"/>
      <c r="BNC54" s="65"/>
      <c r="BND54" s="37"/>
      <c r="BNE54" s="138"/>
      <c r="BNF54" s="37"/>
      <c r="BNG54" s="37"/>
      <c r="BNH54" s="37"/>
      <c r="BNI54" s="37"/>
      <c r="BNJ54" s="37"/>
      <c r="BNK54" s="75"/>
      <c r="BNL54" s="37"/>
      <c r="BNM54" s="37"/>
      <c r="BNN54" s="37"/>
      <c r="BNO54" s="37"/>
      <c r="BNP54" s="37"/>
      <c r="BNQ54" s="138"/>
      <c r="BNR54" s="37"/>
      <c r="BNS54" s="37"/>
      <c r="BNT54" s="37"/>
      <c r="BNU54" s="37"/>
      <c r="BNV54" s="37"/>
      <c r="BNW54" s="75"/>
      <c r="BNX54" s="37"/>
      <c r="BNY54" s="37"/>
      <c r="BNZ54" s="37"/>
      <c r="BOA54" s="37"/>
      <c r="BOB54" s="37"/>
      <c r="BOC54" s="38"/>
      <c r="BOD54" s="36"/>
      <c r="BOE54" s="65"/>
      <c r="BOF54" s="65"/>
      <c r="BOG54" s="65"/>
      <c r="BOH54" s="37"/>
      <c r="BOI54" s="133"/>
      <c r="BOJ54" s="37"/>
      <c r="BOK54" s="37"/>
      <c r="BOL54" s="37"/>
      <c r="BOM54" s="37"/>
      <c r="BON54" s="37"/>
      <c r="BOO54" s="138"/>
      <c r="BOP54" s="37"/>
      <c r="BOQ54" s="37"/>
      <c r="BOR54" s="37"/>
      <c r="BOS54" s="37"/>
      <c r="BOT54" s="37"/>
      <c r="BOU54" s="75"/>
      <c r="BOV54" s="37"/>
      <c r="BOW54" s="37"/>
      <c r="BOX54" s="37"/>
      <c r="BOY54" s="37"/>
      <c r="BOZ54" s="37"/>
      <c r="BPA54" s="138"/>
      <c r="BPB54" s="37"/>
      <c r="BPC54" s="37"/>
      <c r="BPD54" s="37"/>
      <c r="BPE54" s="37"/>
      <c r="BPF54" s="37"/>
      <c r="BPG54" s="75"/>
      <c r="BPH54" s="65"/>
      <c r="BPI54" s="65"/>
      <c r="BPJ54" s="65"/>
      <c r="BPK54" s="65"/>
      <c r="BPL54" s="37"/>
      <c r="BPM54" s="138"/>
      <c r="BPN54" s="37"/>
      <c r="BPO54" s="37"/>
      <c r="BPP54" s="37"/>
      <c r="BPQ54" s="37"/>
      <c r="BPR54" s="37"/>
      <c r="BPS54" s="75"/>
      <c r="BPT54" s="37"/>
      <c r="BPU54" s="37"/>
      <c r="BPV54" s="37"/>
      <c r="BPW54" s="37"/>
      <c r="BPX54" s="37"/>
      <c r="BPY54" s="138"/>
      <c r="BPZ54" s="37"/>
      <c r="BQA54" s="37"/>
      <c r="BQB54" s="37"/>
      <c r="BQC54" s="37"/>
      <c r="BQD54" s="37"/>
      <c r="BQE54" s="75"/>
      <c r="BQF54" s="37"/>
      <c r="BQG54" s="37"/>
      <c r="BQH54" s="37"/>
      <c r="BQI54" s="37"/>
      <c r="BQJ54" s="37"/>
      <c r="BQK54" s="38"/>
      <c r="BQL54" s="36"/>
      <c r="BQM54" s="65"/>
      <c r="BQN54" s="65"/>
      <c r="BQO54" s="65"/>
      <c r="BQP54" s="37"/>
      <c r="BQQ54" s="133"/>
      <c r="BQR54" s="37"/>
      <c r="BQS54" s="37"/>
      <c r="BQT54" s="37"/>
      <c r="BQU54" s="37"/>
      <c r="BQV54" s="37"/>
      <c r="BQW54" s="138"/>
      <c r="BQX54" s="37"/>
      <c r="BQY54" s="37"/>
      <c r="BQZ54" s="37"/>
      <c r="BRA54" s="37"/>
      <c r="BRB54" s="37"/>
      <c r="BRC54" s="75"/>
      <c r="BRD54" s="37"/>
      <c r="BRE54" s="37"/>
      <c r="BRF54" s="37"/>
      <c r="BRG54" s="37"/>
      <c r="BRH54" s="37"/>
      <c r="BRI54" s="138"/>
      <c r="BRJ54" s="37"/>
      <c r="BRK54" s="37"/>
      <c r="BRL54" s="37"/>
      <c r="BRM54" s="37"/>
      <c r="BRN54" s="37"/>
      <c r="BRO54" s="75"/>
      <c r="BRP54" s="65"/>
      <c r="BRQ54" s="65"/>
      <c r="BRR54" s="65"/>
      <c r="BRS54" s="65"/>
      <c r="BRT54" s="37"/>
      <c r="BRU54" s="138"/>
      <c r="BRV54" s="37"/>
      <c r="BRW54" s="37"/>
      <c r="BRX54" s="37"/>
      <c r="BRY54" s="37"/>
      <c r="BRZ54" s="37"/>
      <c r="BSA54" s="75"/>
      <c r="BSB54" s="37"/>
      <c r="BSC54" s="37"/>
      <c r="BSD54" s="37"/>
      <c r="BSE54" s="37"/>
      <c r="BSF54" s="37"/>
      <c r="BSG54" s="138"/>
      <c r="BSH54" s="37"/>
      <c r="BSI54" s="37"/>
      <c r="BSJ54" s="37"/>
      <c r="BSK54" s="37"/>
      <c r="BSL54" s="37"/>
      <c r="BSM54" s="75"/>
      <c r="BSN54" s="37"/>
      <c r="BSO54" s="37"/>
      <c r="BSP54" s="37"/>
      <c r="BSQ54" s="37"/>
      <c r="BSR54" s="37"/>
      <c r="BSS54" s="38"/>
      <c r="BST54" s="36"/>
      <c r="BSU54" s="65"/>
      <c r="BSV54" s="65"/>
      <c r="BSW54" s="65"/>
      <c r="BSX54" s="37"/>
      <c r="BSY54" s="133"/>
      <c r="BSZ54" s="37"/>
      <c r="BTA54" s="37"/>
      <c r="BTB54" s="37"/>
      <c r="BTC54" s="37"/>
      <c r="BTD54" s="37"/>
      <c r="BTE54" s="138"/>
      <c r="BTF54" s="37"/>
      <c r="BTG54" s="37"/>
      <c r="BTH54" s="37"/>
      <c r="BTI54" s="37"/>
      <c r="BTJ54" s="37"/>
      <c r="BTK54" s="75"/>
      <c r="BTL54" s="37"/>
      <c r="BTM54" s="37"/>
      <c r="BTN54" s="37"/>
      <c r="BTO54" s="37"/>
      <c r="BTP54" s="37"/>
      <c r="BTQ54" s="138"/>
      <c r="BTR54" s="37"/>
      <c r="BTS54" s="37"/>
      <c r="BTT54" s="37"/>
      <c r="BTU54" s="37"/>
      <c r="BTV54" s="37"/>
      <c r="BTW54" s="75"/>
      <c r="BTX54" s="65"/>
      <c r="BTY54" s="65"/>
      <c r="BTZ54" s="65"/>
      <c r="BUA54" s="65"/>
      <c r="BUB54" s="37"/>
      <c r="BUC54" s="138"/>
      <c r="BUD54" s="37"/>
      <c r="BUE54" s="37"/>
      <c r="BUF54" s="37"/>
      <c r="BUG54" s="37"/>
      <c r="BUH54" s="37"/>
      <c r="BUI54" s="75"/>
      <c r="BUJ54" s="37"/>
      <c r="BUK54" s="37"/>
      <c r="BUL54" s="37"/>
      <c r="BUM54" s="37"/>
      <c r="BUN54" s="37"/>
      <c r="BUO54" s="138"/>
      <c r="BUP54" s="37"/>
      <c r="BUQ54" s="37"/>
      <c r="BUR54" s="37"/>
      <c r="BUS54" s="37"/>
      <c r="BUT54" s="37"/>
      <c r="BUU54" s="75"/>
      <c r="BUV54" s="37"/>
      <c r="BUW54" s="37"/>
      <c r="BUX54" s="37"/>
      <c r="BUY54" s="37"/>
      <c r="BUZ54" s="37"/>
      <c r="BVA54" s="38"/>
      <c r="BVB54" s="36"/>
      <c r="BVC54" s="65"/>
      <c r="BVD54" s="65"/>
      <c r="BVE54" s="65"/>
      <c r="BVF54" s="37"/>
      <c r="BVG54" s="133"/>
      <c r="BVH54" s="37"/>
      <c r="BVI54" s="37"/>
      <c r="BVJ54" s="37"/>
      <c r="BVK54" s="37"/>
      <c r="BVL54" s="37"/>
      <c r="BVM54" s="138"/>
      <c r="BVN54" s="37"/>
      <c r="BVO54" s="37"/>
      <c r="BVP54" s="37"/>
      <c r="BVQ54" s="37"/>
      <c r="BVR54" s="37"/>
      <c r="BVS54" s="75"/>
      <c r="BVT54" s="37"/>
      <c r="BVU54" s="37"/>
      <c r="BVV54" s="37"/>
      <c r="BVW54" s="37"/>
      <c r="BVX54" s="37"/>
      <c r="BVY54" s="138"/>
      <c r="BVZ54" s="37"/>
      <c r="BWA54" s="37"/>
      <c r="BWB54" s="37"/>
      <c r="BWC54" s="37"/>
      <c r="BWD54" s="37"/>
      <c r="BWE54" s="75"/>
      <c r="BWF54" s="65"/>
      <c r="BWG54" s="65"/>
      <c r="BWH54" s="65"/>
      <c r="BWI54" s="65"/>
      <c r="BWJ54" s="37"/>
      <c r="BWK54" s="138"/>
      <c r="BWL54" s="37"/>
      <c r="BWM54" s="37"/>
      <c r="BWN54" s="37"/>
      <c r="BWO54" s="37"/>
      <c r="BWP54" s="37"/>
      <c r="BWQ54" s="75"/>
      <c r="BWR54" s="37"/>
      <c r="BWS54" s="37"/>
      <c r="BWT54" s="37"/>
      <c r="BWU54" s="37"/>
      <c r="BWV54" s="37"/>
      <c r="BWW54" s="138"/>
      <c r="BWX54" s="37"/>
      <c r="BWY54" s="37"/>
      <c r="BWZ54" s="37"/>
      <c r="BXA54" s="37"/>
      <c r="BXB54" s="37"/>
      <c r="BXC54" s="75"/>
      <c r="BXD54" s="37"/>
      <c r="BXE54" s="37"/>
      <c r="BXF54" s="37"/>
      <c r="BXG54" s="37"/>
      <c r="BXH54" s="37"/>
      <c r="BXI54" s="38"/>
      <c r="BXJ54" s="36"/>
      <c r="BXK54" s="65"/>
      <c r="BXL54" s="65"/>
      <c r="BXM54" s="65"/>
      <c r="BXN54" s="37"/>
      <c r="BXO54" s="133"/>
      <c r="BXP54" s="37"/>
      <c r="BXQ54" s="37"/>
      <c r="BXR54" s="37"/>
      <c r="BXS54" s="37"/>
      <c r="BXT54" s="37"/>
      <c r="BXU54" s="138"/>
      <c r="BXV54" s="37"/>
      <c r="BXW54" s="37"/>
      <c r="BXX54" s="37"/>
      <c r="BXY54" s="37"/>
      <c r="BXZ54" s="37"/>
      <c r="BYA54" s="75"/>
      <c r="BYB54" s="37"/>
      <c r="BYC54" s="37"/>
      <c r="BYD54" s="37"/>
      <c r="BYE54" s="37"/>
      <c r="BYF54" s="37"/>
      <c r="BYG54" s="138"/>
      <c r="BYH54" s="37"/>
      <c r="BYI54" s="37"/>
      <c r="BYJ54" s="37"/>
      <c r="BYK54" s="37"/>
      <c r="BYL54" s="37"/>
      <c r="BYM54" s="75"/>
      <c r="BYN54" s="65"/>
      <c r="BYO54" s="65"/>
      <c r="BYP54" s="65"/>
      <c r="BYQ54" s="65"/>
      <c r="BYR54" s="37"/>
      <c r="BYS54" s="138"/>
      <c r="BYT54" s="37"/>
      <c r="BYU54" s="37"/>
      <c r="BYV54" s="37"/>
      <c r="BYW54" s="37"/>
      <c r="BYX54" s="37"/>
      <c r="BYY54" s="75"/>
      <c r="BYZ54" s="37"/>
      <c r="BZA54" s="37"/>
      <c r="BZB54" s="37"/>
      <c r="BZC54" s="37"/>
      <c r="BZD54" s="37"/>
      <c r="BZE54" s="138"/>
      <c r="BZF54" s="37"/>
      <c r="BZG54" s="37"/>
      <c r="BZH54" s="37"/>
      <c r="BZI54" s="37"/>
      <c r="BZJ54" s="37"/>
      <c r="BZK54" s="75"/>
      <c r="BZL54" s="37"/>
      <c r="BZM54" s="37"/>
      <c r="BZN54" s="37"/>
      <c r="BZO54" s="37"/>
      <c r="BZP54" s="37"/>
      <c r="BZQ54" s="38"/>
      <c r="BZR54" s="36"/>
      <c r="BZS54" s="65"/>
      <c r="BZT54" s="65"/>
      <c r="BZU54" s="65"/>
      <c r="BZV54" s="37"/>
      <c r="BZW54" s="133"/>
      <c r="BZX54" s="37"/>
      <c r="BZY54" s="37"/>
      <c r="BZZ54" s="37"/>
      <c r="CAA54" s="37"/>
      <c r="CAB54" s="37"/>
      <c r="CAC54" s="138"/>
      <c r="CAD54" s="37"/>
      <c r="CAE54" s="37"/>
      <c r="CAF54" s="37"/>
      <c r="CAG54" s="37"/>
      <c r="CAH54" s="37"/>
      <c r="CAI54" s="75"/>
      <c r="CAJ54" s="37"/>
      <c r="CAK54" s="37"/>
      <c r="CAL54" s="37"/>
      <c r="CAM54" s="37"/>
      <c r="CAN54" s="37"/>
      <c r="CAO54" s="138"/>
      <c r="CAP54" s="37"/>
      <c r="CAQ54" s="37"/>
      <c r="CAR54" s="37"/>
      <c r="CAS54" s="37"/>
      <c r="CAT54" s="37"/>
      <c r="CAU54" s="75"/>
      <c r="CAV54" s="65"/>
      <c r="CAW54" s="65"/>
      <c r="CAX54" s="65"/>
      <c r="CAY54" s="65"/>
      <c r="CAZ54" s="37"/>
      <c r="CBA54" s="138"/>
      <c r="CBB54" s="37"/>
      <c r="CBC54" s="37"/>
      <c r="CBD54" s="37"/>
      <c r="CBE54" s="37"/>
      <c r="CBF54" s="37"/>
      <c r="CBG54" s="75"/>
      <c r="CBH54" s="37"/>
      <c r="CBI54" s="37"/>
      <c r="CBJ54" s="37"/>
      <c r="CBK54" s="37"/>
      <c r="CBL54" s="37"/>
      <c r="CBM54" s="138"/>
      <c r="CBN54" s="37"/>
      <c r="CBO54" s="37"/>
      <c r="CBP54" s="37"/>
      <c r="CBQ54" s="37"/>
      <c r="CBR54" s="37"/>
      <c r="CBS54" s="75"/>
      <c r="CBT54" s="37"/>
      <c r="CBU54" s="37"/>
      <c r="CBV54" s="37"/>
      <c r="CBW54" s="37"/>
      <c r="CBX54" s="37"/>
      <c r="CBY54" s="38"/>
      <c r="CBZ54" s="90"/>
    </row>
    <row r="55" spans="1:2106" ht="20.100000000000001" customHeight="1" x14ac:dyDescent="0.25">
      <c r="A55" s="100" t="s">
        <v>22</v>
      </c>
      <c r="B55" s="63"/>
      <c r="C55" s="170"/>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40"/>
      <c r="BLW55" s="66"/>
      <c r="BLX55" s="66"/>
      <c r="BLY55" s="66"/>
      <c r="BLZ55" s="41"/>
      <c r="BMA55" s="134"/>
      <c r="BMB55" s="41"/>
      <c r="BMC55" s="41"/>
      <c r="BMD55" s="41"/>
      <c r="BME55" s="41"/>
      <c r="BMF55" s="41"/>
      <c r="BMG55" s="139"/>
      <c r="BMH55" s="41"/>
      <c r="BMI55" s="41"/>
      <c r="BMJ55" s="41"/>
      <c r="BMK55" s="41"/>
      <c r="BML55" s="41"/>
      <c r="BMM55" s="76"/>
      <c r="BMN55" s="41"/>
      <c r="BMO55" s="41"/>
      <c r="BMP55" s="41"/>
      <c r="BMQ55" s="41"/>
      <c r="BMR55" s="41"/>
      <c r="BMS55" s="139"/>
      <c r="BMT55" s="41"/>
      <c r="BMU55" s="41"/>
      <c r="BMV55" s="41"/>
      <c r="BMW55" s="41"/>
      <c r="BMX55" s="41"/>
      <c r="BMY55" s="76"/>
      <c r="BMZ55" s="66"/>
      <c r="BNA55" s="66"/>
      <c r="BNB55" s="66"/>
      <c r="BNC55" s="66"/>
      <c r="BND55" s="41"/>
      <c r="BNE55" s="139"/>
      <c r="BNF55" s="41"/>
      <c r="BNG55" s="41"/>
      <c r="BNH55" s="41"/>
      <c r="BNI55" s="41"/>
      <c r="BNJ55" s="41"/>
      <c r="BNK55" s="76"/>
      <c r="BNL55" s="41"/>
      <c r="BNM55" s="41"/>
      <c r="BNN55" s="41"/>
      <c r="BNO55" s="41"/>
      <c r="BNP55" s="41"/>
      <c r="BNQ55" s="139"/>
      <c r="BNR55" s="41"/>
      <c r="BNS55" s="41"/>
      <c r="BNT55" s="41"/>
      <c r="BNU55" s="41"/>
      <c r="BNV55" s="41"/>
      <c r="BNW55" s="76"/>
      <c r="BNX55" s="41"/>
      <c r="BNY55" s="41"/>
      <c r="BNZ55" s="41"/>
      <c r="BOA55" s="41"/>
      <c r="BOB55" s="41"/>
      <c r="BOC55" s="42"/>
      <c r="BOD55" s="40"/>
      <c r="BOE55" s="66"/>
      <c r="BOF55" s="66"/>
      <c r="BOG55" s="66"/>
      <c r="BOH55" s="41"/>
      <c r="BOI55" s="134"/>
      <c r="BOJ55" s="41"/>
      <c r="BOK55" s="41"/>
      <c r="BOL55" s="41"/>
      <c r="BOM55" s="41"/>
      <c r="BON55" s="41"/>
      <c r="BOO55" s="139"/>
      <c r="BOP55" s="41"/>
      <c r="BOQ55" s="41"/>
      <c r="BOR55" s="41"/>
      <c r="BOS55" s="41"/>
      <c r="BOT55" s="41"/>
      <c r="BOU55" s="76"/>
      <c r="BOV55" s="41"/>
      <c r="BOW55" s="41"/>
      <c r="BOX55" s="41"/>
      <c r="BOY55" s="41"/>
      <c r="BOZ55" s="41"/>
      <c r="BPA55" s="139"/>
      <c r="BPB55" s="41"/>
      <c r="BPC55" s="41"/>
      <c r="BPD55" s="41"/>
      <c r="BPE55" s="41"/>
      <c r="BPF55" s="41"/>
      <c r="BPG55" s="76"/>
      <c r="BPH55" s="66"/>
      <c r="BPI55" s="66"/>
      <c r="BPJ55" s="66"/>
      <c r="BPK55" s="66"/>
      <c r="BPL55" s="41"/>
      <c r="BPM55" s="139"/>
      <c r="BPN55" s="41"/>
      <c r="BPO55" s="41"/>
      <c r="BPP55" s="41"/>
      <c r="BPQ55" s="41"/>
      <c r="BPR55" s="41"/>
      <c r="BPS55" s="76"/>
      <c r="BPT55" s="41"/>
      <c r="BPU55" s="41"/>
      <c r="BPV55" s="41"/>
      <c r="BPW55" s="41"/>
      <c r="BPX55" s="41"/>
      <c r="BPY55" s="139"/>
      <c r="BPZ55" s="41"/>
      <c r="BQA55" s="41"/>
      <c r="BQB55" s="41"/>
      <c r="BQC55" s="41"/>
      <c r="BQD55" s="41"/>
      <c r="BQE55" s="76"/>
      <c r="BQF55" s="41"/>
      <c r="BQG55" s="41"/>
      <c r="BQH55" s="41"/>
      <c r="BQI55" s="41"/>
      <c r="BQJ55" s="41"/>
      <c r="BQK55" s="42"/>
      <c r="BQL55" s="40"/>
      <c r="BQM55" s="66"/>
      <c r="BQN55" s="66"/>
      <c r="BQO55" s="66"/>
      <c r="BQP55" s="41"/>
      <c r="BQQ55" s="134"/>
      <c r="BQR55" s="41"/>
      <c r="BQS55" s="41"/>
      <c r="BQT55" s="41"/>
      <c r="BQU55" s="41"/>
      <c r="BQV55" s="41"/>
      <c r="BQW55" s="139"/>
      <c r="BQX55" s="41"/>
      <c r="BQY55" s="41"/>
      <c r="BQZ55" s="41"/>
      <c r="BRA55" s="41"/>
      <c r="BRB55" s="41"/>
      <c r="BRC55" s="76"/>
      <c r="BRD55" s="41"/>
      <c r="BRE55" s="41"/>
      <c r="BRF55" s="41"/>
      <c r="BRG55" s="41"/>
      <c r="BRH55" s="41"/>
      <c r="BRI55" s="139"/>
      <c r="BRJ55" s="41"/>
      <c r="BRK55" s="41"/>
      <c r="BRL55" s="41"/>
      <c r="BRM55" s="41"/>
      <c r="BRN55" s="41"/>
      <c r="BRO55" s="76"/>
      <c r="BRP55" s="66"/>
      <c r="BRQ55" s="66"/>
      <c r="BRR55" s="66"/>
      <c r="BRS55" s="66"/>
      <c r="BRT55" s="41"/>
      <c r="BRU55" s="139"/>
      <c r="BRV55" s="41"/>
      <c r="BRW55" s="41"/>
      <c r="BRX55" s="41"/>
      <c r="BRY55" s="41"/>
      <c r="BRZ55" s="41"/>
      <c r="BSA55" s="76"/>
      <c r="BSB55" s="41"/>
      <c r="BSC55" s="41"/>
      <c r="BSD55" s="41"/>
      <c r="BSE55" s="41"/>
      <c r="BSF55" s="41"/>
      <c r="BSG55" s="139"/>
      <c r="BSH55" s="41"/>
      <c r="BSI55" s="41"/>
      <c r="BSJ55" s="41"/>
      <c r="BSK55" s="41"/>
      <c r="BSL55" s="41"/>
      <c r="BSM55" s="76"/>
      <c r="BSN55" s="41"/>
      <c r="BSO55" s="41"/>
      <c r="BSP55" s="41"/>
      <c r="BSQ55" s="41"/>
      <c r="BSR55" s="41"/>
      <c r="BSS55" s="42"/>
      <c r="BST55" s="40"/>
      <c r="BSU55" s="66"/>
      <c r="BSV55" s="66"/>
      <c r="BSW55" s="66"/>
      <c r="BSX55" s="41"/>
      <c r="BSY55" s="134"/>
      <c r="BSZ55" s="41"/>
      <c r="BTA55" s="41"/>
      <c r="BTB55" s="41"/>
      <c r="BTC55" s="41"/>
      <c r="BTD55" s="41"/>
      <c r="BTE55" s="139"/>
      <c r="BTF55" s="41"/>
      <c r="BTG55" s="41"/>
      <c r="BTH55" s="41"/>
      <c r="BTI55" s="41"/>
      <c r="BTJ55" s="41"/>
      <c r="BTK55" s="76"/>
      <c r="BTL55" s="41"/>
      <c r="BTM55" s="41"/>
      <c r="BTN55" s="41"/>
      <c r="BTO55" s="41"/>
      <c r="BTP55" s="41"/>
      <c r="BTQ55" s="139"/>
      <c r="BTR55" s="41"/>
      <c r="BTS55" s="41"/>
      <c r="BTT55" s="41"/>
      <c r="BTU55" s="41"/>
      <c r="BTV55" s="41"/>
      <c r="BTW55" s="76"/>
      <c r="BTX55" s="66"/>
      <c r="BTY55" s="66"/>
      <c r="BTZ55" s="66"/>
      <c r="BUA55" s="66"/>
      <c r="BUB55" s="41"/>
      <c r="BUC55" s="139"/>
      <c r="BUD55" s="41"/>
      <c r="BUE55" s="41"/>
      <c r="BUF55" s="41"/>
      <c r="BUG55" s="41"/>
      <c r="BUH55" s="41"/>
      <c r="BUI55" s="76"/>
      <c r="BUJ55" s="41"/>
      <c r="BUK55" s="41"/>
      <c r="BUL55" s="41"/>
      <c r="BUM55" s="41"/>
      <c r="BUN55" s="41"/>
      <c r="BUO55" s="139"/>
      <c r="BUP55" s="41"/>
      <c r="BUQ55" s="41"/>
      <c r="BUR55" s="41"/>
      <c r="BUS55" s="41"/>
      <c r="BUT55" s="41"/>
      <c r="BUU55" s="76"/>
      <c r="BUV55" s="41"/>
      <c r="BUW55" s="41"/>
      <c r="BUX55" s="41"/>
      <c r="BUY55" s="41"/>
      <c r="BUZ55" s="41"/>
      <c r="BVA55" s="42"/>
      <c r="BVB55" s="40"/>
      <c r="BVC55" s="66"/>
      <c r="BVD55" s="66"/>
      <c r="BVE55" s="66"/>
      <c r="BVF55" s="41"/>
      <c r="BVG55" s="134"/>
      <c r="BVH55" s="41"/>
      <c r="BVI55" s="41"/>
      <c r="BVJ55" s="41"/>
      <c r="BVK55" s="41"/>
      <c r="BVL55" s="41"/>
      <c r="BVM55" s="139"/>
      <c r="BVN55" s="41"/>
      <c r="BVO55" s="41"/>
      <c r="BVP55" s="41"/>
      <c r="BVQ55" s="41"/>
      <c r="BVR55" s="41"/>
      <c r="BVS55" s="76"/>
      <c r="BVT55" s="41"/>
      <c r="BVU55" s="41"/>
      <c r="BVV55" s="41"/>
      <c r="BVW55" s="41"/>
      <c r="BVX55" s="41"/>
      <c r="BVY55" s="139"/>
      <c r="BVZ55" s="41"/>
      <c r="BWA55" s="41"/>
      <c r="BWB55" s="41"/>
      <c r="BWC55" s="41"/>
      <c r="BWD55" s="41"/>
      <c r="BWE55" s="76"/>
      <c r="BWF55" s="66"/>
      <c r="BWG55" s="66"/>
      <c r="BWH55" s="66"/>
      <c r="BWI55" s="66"/>
      <c r="BWJ55" s="41"/>
      <c r="BWK55" s="139"/>
      <c r="BWL55" s="41"/>
      <c r="BWM55" s="41"/>
      <c r="BWN55" s="41"/>
      <c r="BWO55" s="41"/>
      <c r="BWP55" s="41"/>
      <c r="BWQ55" s="76"/>
      <c r="BWR55" s="41"/>
      <c r="BWS55" s="41"/>
      <c r="BWT55" s="41"/>
      <c r="BWU55" s="41"/>
      <c r="BWV55" s="41"/>
      <c r="BWW55" s="139"/>
      <c r="BWX55" s="41"/>
      <c r="BWY55" s="41"/>
      <c r="BWZ55" s="41"/>
      <c r="BXA55" s="41"/>
      <c r="BXB55" s="41"/>
      <c r="BXC55" s="76"/>
      <c r="BXD55" s="41"/>
      <c r="BXE55" s="41"/>
      <c r="BXF55" s="41"/>
      <c r="BXG55" s="41"/>
      <c r="BXH55" s="41"/>
      <c r="BXI55" s="42"/>
      <c r="BXJ55" s="40"/>
      <c r="BXK55" s="66"/>
      <c r="BXL55" s="66"/>
      <c r="BXM55" s="66"/>
      <c r="BXN55" s="41"/>
      <c r="BXO55" s="134"/>
      <c r="BXP55" s="41"/>
      <c r="BXQ55" s="41"/>
      <c r="BXR55" s="41"/>
      <c r="BXS55" s="41"/>
      <c r="BXT55" s="41"/>
      <c r="BXU55" s="139"/>
      <c r="BXV55" s="41"/>
      <c r="BXW55" s="41"/>
      <c r="BXX55" s="41"/>
      <c r="BXY55" s="41"/>
      <c r="BXZ55" s="41"/>
      <c r="BYA55" s="76"/>
      <c r="BYB55" s="41"/>
      <c r="BYC55" s="41"/>
      <c r="BYD55" s="41"/>
      <c r="BYE55" s="41"/>
      <c r="BYF55" s="41"/>
      <c r="BYG55" s="139"/>
      <c r="BYH55" s="41"/>
      <c r="BYI55" s="41"/>
      <c r="BYJ55" s="41"/>
      <c r="BYK55" s="41"/>
      <c r="BYL55" s="41"/>
      <c r="BYM55" s="76"/>
      <c r="BYN55" s="66"/>
      <c r="BYO55" s="66"/>
      <c r="BYP55" s="66"/>
      <c r="BYQ55" s="66"/>
      <c r="BYR55" s="41"/>
      <c r="BYS55" s="139"/>
      <c r="BYT55" s="41"/>
      <c r="BYU55" s="41"/>
      <c r="BYV55" s="41"/>
      <c r="BYW55" s="41"/>
      <c r="BYX55" s="41"/>
      <c r="BYY55" s="76"/>
      <c r="BYZ55" s="41"/>
      <c r="BZA55" s="41"/>
      <c r="BZB55" s="41"/>
      <c r="BZC55" s="41"/>
      <c r="BZD55" s="41"/>
      <c r="BZE55" s="139"/>
      <c r="BZF55" s="41"/>
      <c r="BZG55" s="41"/>
      <c r="BZH55" s="41"/>
      <c r="BZI55" s="41"/>
      <c r="BZJ55" s="41"/>
      <c r="BZK55" s="76"/>
      <c r="BZL55" s="41"/>
      <c r="BZM55" s="41"/>
      <c r="BZN55" s="41"/>
      <c r="BZO55" s="41"/>
      <c r="BZP55" s="41"/>
      <c r="BZQ55" s="42"/>
      <c r="BZR55" s="40"/>
      <c r="BZS55" s="66"/>
      <c r="BZT55" s="66"/>
      <c r="BZU55" s="66"/>
      <c r="BZV55" s="41"/>
      <c r="BZW55" s="134"/>
      <c r="BZX55" s="41"/>
      <c r="BZY55" s="41"/>
      <c r="BZZ55" s="41"/>
      <c r="CAA55" s="41"/>
      <c r="CAB55" s="41"/>
      <c r="CAC55" s="139"/>
      <c r="CAD55" s="41"/>
      <c r="CAE55" s="41"/>
      <c r="CAF55" s="41"/>
      <c r="CAG55" s="41"/>
      <c r="CAH55" s="41"/>
      <c r="CAI55" s="76"/>
      <c r="CAJ55" s="41"/>
      <c r="CAK55" s="41"/>
      <c r="CAL55" s="41"/>
      <c r="CAM55" s="41"/>
      <c r="CAN55" s="41"/>
      <c r="CAO55" s="139"/>
      <c r="CAP55" s="41"/>
      <c r="CAQ55" s="41"/>
      <c r="CAR55" s="41"/>
      <c r="CAS55" s="41"/>
      <c r="CAT55" s="41"/>
      <c r="CAU55" s="76"/>
      <c r="CAV55" s="66"/>
      <c r="CAW55" s="66"/>
      <c r="CAX55" s="66"/>
      <c r="CAY55" s="66"/>
      <c r="CAZ55" s="41"/>
      <c r="CBA55" s="139"/>
      <c r="CBB55" s="41"/>
      <c r="CBC55" s="41"/>
      <c r="CBD55" s="41"/>
      <c r="CBE55" s="41"/>
      <c r="CBF55" s="41"/>
      <c r="CBG55" s="76"/>
      <c r="CBH55" s="41"/>
      <c r="CBI55" s="41"/>
      <c r="CBJ55" s="41"/>
      <c r="CBK55" s="41"/>
      <c r="CBL55" s="41"/>
      <c r="CBM55" s="139"/>
      <c r="CBN55" s="41"/>
      <c r="CBO55" s="41"/>
      <c r="CBP55" s="41"/>
      <c r="CBQ55" s="41"/>
      <c r="CBR55" s="41"/>
      <c r="CBS55" s="76"/>
      <c r="CBT55" s="41"/>
      <c r="CBU55" s="41"/>
      <c r="CBV55" s="41"/>
      <c r="CBW55" s="41"/>
      <c r="CBX55" s="41"/>
      <c r="CBY55" s="42"/>
      <c r="CBZ55" s="90"/>
    </row>
    <row r="56" spans="1:2106" ht="20.100000000000001" customHeight="1" x14ac:dyDescent="0.25">
      <c r="A56" s="100" t="s">
        <v>23</v>
      </c>
      <c r="B56" s="63"/>
      <c r="C56" s="172"/>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28"/>
      <c r="BLW56" s="67"/>
      <c r="BLX56" s="67"/>
      <c r="BLY56" s="67"/>
      <c r="BLZ56" s="29"/>
      <c r="BMA56" s="131"/>
      <c r="BMB56" s="29"/>
      <c r="BMC56" s="29"/>
      <c r="BMD56" s="29"/>
      <c r="BME56" s="29"/>
      <c r="BMF56" s="29"/>
      <c r="BMG56" s="136"/>
      <c r="BMH56" s="29"/>
      <c r="BMI56" s="29"/>
      <c r="BMJ56" s="29"/>
      <c r="BMK56" s="29"/>
      <c r="BML56" s="29"/>
      <c r="BMM56" s="73"/>
      <c r="BMN56" s="29"/>
      <c r="BMO56" s="29"/>
      <c r="BMP56" s="29"/>
      <c r="BMQ56" s="29"/>
      <c r="BMR56" s="29"/>
      <c r="BMS56" s="136"/>
      <c r="BMT56" s="29"/>
      <c r="BMU56" s="29"/>
      <c r="BMV56" s="29"/>
      <c r="BMW56" s="29"/>
      <c r="BMX56" s="29"/>
      <c r="BMY56" s="73"/>
      <c r="BMZ56" s="67"/>
      <c r="BNA56" s="67"/>
      <c r="BNB56" s="67"/>
      <c r="BNC56" s="67"/>
      <c r="BND56" s="29"/>
      <c r="BNE56" s="136"/>
      <c r="BNF56" s="29"/>
      <c r="BNG56" s="29"/>
      <c r="BNH56" s="29"/>
      <c r="BNI56" s="29"/>
      <c r="BNJ56" s="29"/>
      <c r="BNK56" s="73"/>
      <c r="BNL56" s="29"/>
      <c r="BNM56" s="29"/>
      <c r="BNN56" s="29"/>
      <c r="BNO56" s="29"/>
      <c r="BNP56" s="29"/>
      <c r="BNQ56" s="136"/>
      <c r="BNR56" s="29"/>
      <c r="BNS56" s="29"/>
      <c r="BNT56" s="29"/>
      <c r="BNU56" s="29"/>
      <c r="BNV56" s="29"/>
      <c r="BNW56" s="73"/>
      <c r="BNX56" s="29"/>
      <c r="BNY56" s="29"/>
      <c r="BNZ56" s="29"/>
      <c r="BOA56" s="29"/>
      <c r="BOB56" s="29"/>
      <c r="BOC56" s="30"/>
      <c r="BOD56" s="28"/>
      <c r="BOE56" s="67"/>
      <c r="BOF56" s="67"/>
      <c r="BOG56" s="67"/>
      <c r="BOH56" s="29"/>
      <c r="BOI56" s="131"/>
      <c r="BOJ56" s="29"/>
      <c r="BOK56" s="29"/>
      <c r="BOL56" s="29"/>
      <c r="BOM56" s="29"/>
      <c r="BON56" s="29"/>
      <c r="BOO56" s="136"/>
      <c r="BOP56" s="29"/>
      <c r="BOQ56" s="29"/>
      <c r="BOR56" s="29"/>
      <c r="BOS56" s="29"/>
      <c r="BOT56" s="29"/>
      <c r="BOU56" s="73"/>
      <c r="BOV56" s="29"/>
      <c r="BOW56" s="29"/>
      <c r="BOX56" s="29"/>
      <c r="BOY56" s="29"/>
      <c r="BOZ56" s="29"/>
      <c r="BPA56" s="136"/>
      <c r="BPB56" s="29"/>
      <c r="BPC56" s="29"/>
      <c r="BPD56" s="29"/>
      <c r="BPE56" s="29"/>
      <c r="BPF56" s="29"/>
      <c r="BPG56" s="73"/>
      <c r="BPH56" s="67"/>
      <c r="BPI56" s="67"/>
      <c r="BPJ56" s="67"/>
      <c r="BPK56" s="67"/>
      <c r="BPL56" s="29"/>
      <c r="BPM56" s="136"/>
      <c r="BPN56" s="29"/>
      <c r="BPO56" s="29"/>
      <c r="BPP56" s="29"/>
      <c r="BPQ56" s="29"/>
      <c r="BPR56" s="29"/>
      <c r="BPS56" s="73"/>
      <c r="BPT56" s="29"/>
      <c r="BPU56" s="29"/>
      <c r="BPV56" s="29"/>
      <c r="BPW56" s="29"/>
      <c r="BPX56" s="29"/>
      <c r="BPY56" s="136"/>
      <c r="BPZ56" s="29"/>
      <c r="BQA56" s="29"/>
      <c r="BQB56" s="29"/>
      <c r="BQC56" s="29"/>
      <c r="BQD56" s="29"/>
      <c r="BQE56" s="73"/>
      <c r="BQF56" s="29"/>
      <c r="BQG56" s="29"/>
      <c r="BQH56" s="29"/>
      <c r="BQI56" s="29"/>
      <c r="BQJ56" s="29"/>
      <c r="BQK56" s="30"/>
      <c r="BQL56" s="28"/>
      <c r="BQM56" s="67"/>
      <c r="BQN56" s="67"/>
      <c r="BQO56" s="67"/>
      <c r="BQP56" s="29"/>
      <c r="BQQ56" s="131"/>
      <c r="BQR56" s="29"/>
      <c r="BQS56" s="29"/>
      <c r="BQT56" s="29"/>
      <c r="BQU56" s="29"/>
      <c r="BQV56" s="29"/>
      <c r="BQW56" s="136"/>
      <c r="BQX56" s="29"/>
      <c r="BQY56" s="29"/>
      <c r="BQZ56" s="29"/>
      <c r="BRA56" s="29"/>
      <c r="BRB56" s="29"/>
      <c r="BRC56" s="73"/>
      <c r="BRD56" s="29"/>
      <c r="BRE56" s="29"/>
      <c r="BRF56" s="29"/>
      <c r="BRG56" s="29"/>
      <c r="BRH56" s="29"/>
      <c r="BRI56" s="136"/>
      <c r="BRJ56" s="29"/>
      <c r="BRK56" s="29"/>
      <c r="BRL56" s="29"/>
      <c r="BRM56" s="29"/>
      <c r="BRN56" s="29"/>
      <c r="BRO56" s="73"/>
      <c r="BRP56" s="67"/>
      <c r="BRQ56" s="67"/>
      <c r="BRR56" s="67"/>
      <c r="BRS56" s="67"/>
      <c r="BRT56" s="29"/>
      <c r="BRU56" s="136"/>
      <c r="BRV56" s="29"/>
      <c r="BRW56" s="29"/>
      <c r="BRX56" s="29"/>
      <c r="BRY56" s="29"/>
      <c r="BRZ56" s="29"/>
      <c r="BSA56" s="73"/>
      <c r="BSB56" s="29"/>
      <c r="BSC56" s="29"/>
      <c r="BSD56" s="29"/>
      <c r="BSE56" s="29"/>
      <c r="BSF56" s="29"/>
      <c r="BSG56" s="136"/>
      <c r="BSH56" s="29"/>
      <c r="BSI56" s="29"/>
      <c r="BSJ56" s="29"/>
      <c r="BSK56" s="29"/>
      <c r="BSL56" s="29"/>
      <c r="BSM56" s="73"/>
      <c r="BSN56" s="29"/>
      <c r="BSO56" s="29"/>
      <c r="BSP56" s="29"/>
      <c r="BSQ56" s="29"/>
      <c r="BSR56" s="29"/>
      <c r="BSS56" s="30"/>
      <c r="BST56" s="28"/>
      <c r="BSU56" s="67"/>
      <c r="BSV56" s="67"/>
      <c r="BSW56" s="67"/>
      <c r="BSX56" s="29"/>
      <c r="BSY56" s="131"/>
      <c r="BSZ56" s="29"/>
      <c r="BTA56" s="29"/>
      <c r="BTB56" s="29"/>
      <c r="BTC56" s="29"/>
      <c r="BTD56" s="29"/>
      <c r="BTE56" s="136"/>
      <c r="BTF56" s="29"/>
      <c r="BTG56" s="29"/>
      <c r="BTH56" s="29"/>
      <c r="BTI56" s="29"/>
      <c r="BTJ56" s="29"/>
      <c r="BTK56" s="73"/>
      <c r="BTL56" s="29"/>
      <c r="BTM56" s="29"/>
      <c r="BTN56" s="29"/>
      <c r="BTO56" s="29"/>
      <c r="BTP56" s="29"/>
      <c r="BTQ56" s="136"/>
      <c r="BTR56" s="29"/>
      <c r="BTS56" s="29"/>
      <c r="BTT56" s="29"/>
      <c r="BTU56" s="29"/>
      <c r="BTV56" s="29"/>
      <c r="BTW56" s="73"/>
      <c r="BTX56" s="67"/>
      <c r="BTY56" s="67"/>
      <c r="BTZ56" s="67"/>
      <c r="BUA56" s="67"/>
      <c r="BUB56" s="29"/>
      <c r="BUC56" s="136"/>
      <c r="BUD56" s="29"/>
      <c r="BUE56" s="29"/>
      <c r="BUF56" s="29"/>
      <c r="BUG56" s="29"/>
      <c r="BUH56" s="29"/>
      <c r="BUI56" s="73"/>
      <c r="BUJ56" s="29"/>
      <c r="BUK56" s="29"/>
      <c r="BUL56" s="29"/>
      <c r="BUM56" s="29"/>
      <c r="BUN56" s="29"/>
      <c r="BUO56" s="136"/>
      <c r="BUP56" s="29"/>
      <c r="BUQ56" s="29"/>
      <c r="BUR56" s="29"/>
      <c r="BUS56" s="29"/>
      <c r="BUT56" s="29"/>
      <c r="BUU56" s="73"/>
      <c r="BUV56" s="29"/>
      <c r="BUW56" s="29"/>
      <c r="BUX56" s="29"/>
      <c r="BUY56" s="29"/>
      <c r="BUZ56" s="29"/>
      <c r="BVA56" s="30"/>
      <c r="BVB56" s="28"/>
      <c r="BVC56" s="67"/>
      <c r="BVD56" s="67"/>
      <c r="BVE56" s="67"/>
      <c r="BVF56" s="29"/>
      <c r="BVG56" s="131"/>
      <c r="BVH56" s="29"/>
      <c r="BVI56" s="29"/>
      <c r="BVJ56" s="29"/>
      <c r="BVK56" s="29"/>
      <c r="BVL56" s="29"/>
      <c r="BVM56" s="136"/>
      <c r="BVN56" s="29"/>
      <c r="BVO56" s="29"/>
      <c r="BVP56" s="29"/>
      <c r="BVQ56" s="29"/>
      <c r="BVR56" s="29"/>
      <c r="BVS56" s="73"/>
      <c r="BVT56" s="29"/>
      <c r="BVU56" s="29"/>
      <c r="BVV56" s="29"/>
      <c r="BVW56" s="29"/>
      <c r="BVX56" s="29"/>
      <c r="BVY56" s="136"/>
      <c r="BVZ56" s="29"/>
      <c r="BWA56" s="29"/>
      <c r="BWB56" s="29"/>
      <c r="BWC56" s="29"/>
      <c r="BWD56" s="29"/>
      <c r="BWE56" s="73"/>
      <c r="BWF56" s="67"/>
      <c r="BWG56" s="67"/>
      <c r="BWH56" s="67"/>
      <c r="BWI56" s="67"/>
      <c r="BWJ56" s="29"/>
      <c r="BWK56" s="136"/>
      <c r="BWL56" s="29"/>
      <c r="BWM56" s="29"/>
      <c r="BWN56" s="29"/>
      <c r="BWO56" s="29"/>
      <c r="BWP56" s="29"/>
      <c r="BWQ56" s="73"/>
      <c r="BWR56" s="29"/>
      <c r="BWS56" s="29"/>
      <c r="BWT56" s="29"/>
      <c r="BWU56" s="29"/>
      <c r="BWV56" s="29"/>
      <c r="BWW56" s="136"/>
      <c r="BWX56" s="29"/>
      <c r="BWY56" s="29"/>
      <c r="BWZ56" s="29"/>
      <c r="BXA56" s="29"/>
      <c r="BXB56" s="29"/>
      <c r="BXC56" s="73"/>
      <c r="BXD56" s="29"/>
      <c r="BXE56" s="29"/>
      <c r="BXF56" s="29"/>
      <c r="BXG56" s="29"/>
      <c r="BXH56" s="29"/>
      <c r="BXI56" s="30"/>
      <c r="BXJ56" s="28"/>
      <c r="BXK56" s="67"/>
      <c r="BXL56" s="67"/>
      <c r="BXM56" s="67"/>
      <c r="BXN56" s="29"/>
      <c r="BXO56" s="131"/>
      <c r="BXP56" s="29"/>
      <c r="BXQ56" s="29"/>
      <c r="BXR56" s="29"/>
      <c r="BXS56" s="29"/>
      <c r="BXT56" s="29"/>
      <c r="BXU56" s="136"/>
      <c r="BXV56" s="29"/>
      <c r="BXW56" s="29"/>
      <c r="BXX56" s="29"/>
      <c r="BXY56" s="29"/>
      <c r="BXZ56" s="29"/>
      <c r="BYA56" s="73"/>
      <c r="BYB56" s="29"/>
      <c r="BYC56" s="29"/>
      <c r="BYD56" s="29"/>
      <c r="BYE56" s="29"/>
      <c r="BYF56" s="29"/>
      <c r="BYG56" s="136"/>
      <c r="BYH56" s="29"/>
      <c r="BYI56" s="29"/>
      <c r="BYJ56" s="29"/>
      <c r="BYK56" s="29"/>
      <c r="BYL56" s="29"/>
      <c r="BYM56" s="73"/>
      <c r="BYN56" s="67"/>
      <c r="BYO56" s="67"/>
      <c r="BYP56" s="67"/>
      <c r="BYQ56" s="67"/>
      <c r="BYR56" s="29"/>
      <c r="BYS56" s="136"/>
      <c r="BYT56" s="29"/>
      <c r="BYU56" s="29"/>
      <c r="BYV56" s="29"/>
      <c r="BYW56" s="29"/>
      <c r="BYX56" s="29"/>
      <c r="BYY56" s="73"/>
      <c r="BYZ56" s="29"/>
      <c r="BZA56" s="29"/>
      <c r="BZB56" s="29"/>
      <c r="BZC56" s="29"/>
      <c r="BZD56" s="29"/>
      <c r="BZE56" s="136"/>
      <c r="BZF56" s="29"/>
      <c r="BZG56" s="29"/>
      <c r="BZH56" s="29"/>
      <c r="BZI56" s="29"/>
      <c r="BZJ56" s="29"/>
      <c r="BZK56" s="73"/>
      <c r="BZL56" s="29"/>
      <c r="BZM56" s="29"/>
      <c r="BZN56" s="29"/>
      <c r="BZO56" s="29"/>
      <c r="BZP56" s="29"/>
      <c r="BZQ56" s="30"/>
      <c r="BZR56" s="28"/>
      <c r="BZS56" s="67"/>
      <c r="BZT56" s="67"/>
      <c r="BZU56" s="67"/>
      <c r="BZV56" s="29"/>
      <c r="BZW56" s="131"/>
      <c r="BZX56" s="29"/>
      <c r="BZY56" s="29"/>
      <c r="BZZ56" s="29"/>
      <c r="CAA56" s="29"/>
      <c r="CAB56" s="29"/>
      <c r="CAC56" s="136"/>
      <c r="CAD56" s="29"/>
      <c r="CAE56" s="29"/>
      <c r="CAF56" s="29"/>
      <c r="CAG56" s="29"/>
      <c r="CAH56" s="29"/>
      <c r="CAI56" s="73"/>
      <c r="CAJ56" s="29"/>
      <c r="CAK56" s="29"/>
      <c r="CAL56" s="29"/>
      <c r="CAM56" s="29"/>
      <c r="CAN56" s="29"/>
      <c r="CAO56" s="136"/>
      <c r="CAP56" s="29"/>
      <c r="CAQ56" s="29"/>
      <c r="CAR56" s="29"/>
      <c r="CAS56" s="29"/>
      <c r="CAT56" s="29"/>
      <c r="CAU56" s="73"/>
      <c r="CAV56" s="67"/>
      <c r="CAW56" s="67"/>
      <c r="CAX56" s="67"/>
      <c r="CAY56" s="67"/>
      <c r="CAZ56" s="29"/>
      <c r="CBA56" s="136"/>
      <c r="CBB56" s="29"/>
      <c r="CBC56" s="29"/>
      <c r="CBD56" s="29"/>
      <c r="CBE56" s="29"/>
      <c r="CBF56" s="29"/>
      <c r="CBG56" s="73"/>
      <c r="CBH56" s="29"/>
      <c r="CBI56" s="29"/>
      <c r="CBJ56" s="29"/>
      <c r="CBK56" s="29"/>
      <c r="CBL56" s="29"/>
      <c r="CBM56" s="136"/>
      <c r="CBN56" s="29"/>
      <c r="CBO56" s="29"/>
      <c r="CBP56" s="29"/>
      <c r="CBQ56" s="29"/>
      <c r="CBR56" s="29"/>
      <c r="CBS56" s="73"/>
      <c r="CBT56" s="29"/>
      <c r="CBU56" s="29"/>
      <c r="CBV56" s="29"/>
      <c r="CBW56" s="29"/>
      <c r="CBX56" s="29"/>
      <c r="CBY56" s="30"/>
      <c r="CBZ56" s="90"/>
    </row>
    <row r="57" spans="1:2106" ht="20.100000000000001" customHeight="1" x14ac:dyDescent="0.25">
      <c r="A57" s="100" t="s">
        <v>22</v>
      </c>
      <c r="B57" s="63"/>
      <c r="C57" s="170"/>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32"/>
      <c r="BLW57" s="64"/>
      <c r="BLX57" s="64"/>
      <c r="BLY57" s="64"/>
      <c r="BLZ57" s="33"/>
      <c r="BMA57" s="132"/>
      <c r="BMB57" s="33"/>
      <c r="BMC57" s="33"/>
      <c r="BMD57" s="33"/>
      <c r="BME57" s="33"/>
      <c r="BMF57" s="33"/>
      <c r="BMG57" s="137"/>
      <c r="BMH57" s="33"/>
      <c r="BMI57" s="33"/>
      <c r="BMJ57" s="33"/>
      <c r="BMK57" s="33"/>
      <c r="BML57" s="33"/>
      <c r="BMM57" s="74"/>
      <c r="BMN57" s="33"/>
      <c r="BMO57" s="33"/>
      <c r="BMP57" s="33"/>
      <c r="BMQ57" s="33"/>
      <c r="BMR57" s="33"/>
      <c r="BMS57" s="137"/>
      <c r="BMT57" s="33"/>
      <c r="BMU57" s="33"/>
      <c r="BMV57" s="33"/>
      <c r="BMW57" s="33"/>
      <c r="BMX57" s="33"/>
      <c r="BMY57" s="74"/>
      <c r="BMZ57" s="64"/>
      <c r="BNA57" s="64"/>
      <c r="BNB57" s="64"/>
      <c r="BNC57" s="64"/>
      <c r="BND57" s="33"/>
      <c r="BNE57" s="137"/>
      <c r="BNF57" s="33"/>
      <c r="BNG57" s="33"/>
      <c r="BNH57" s="33"/>
      <c r="BNI57" s="33"/>
      <c r="BNJ57" s="33"/>
      <c r="BNK57" s="74"/>
      <c r="BNL57" s="33"/>
      <c r="BNM57" s="33"/>
      <c r="BNN57" s="33"/>
      <c r="BNO57" s="33"/>
      <c r="BNP57" s="33"/>
      <c r="BNQ57" s="137"/>
      <c r="BNR57" s="33"/>
      <c r="BNS57" s="33"/>
      <c r="BNT57" s="33"/>
      <c r="BNU57" s="33"/>
      <c r="BNV57" s="33"/>
      <c r="BNW57" s="74"/>
      <c r="BNX57" s="33"/>
      <c r="BNY57" s="33"/>
      <c r="BNZ57" s="33"/>
      <c r="BOA57" s="33"/>
      <c r="BOB57" s="33"/>
      <c r="BOC57" s="34"/>
      <c r="BOD57" s="32"/>
      <c r="BOE57" s="64"/>
      <c r="BOF57" s="64"/>
      <c r="BOG57" s="64"/>
      <c r="BOH57" s="33"/>
      <c r="BOI57" s="132"/>
      <c r="BOJ57" s="33"/>
      <c r="BOK57" s="33"/>
      <c r="BOL57" s="33"/>
      <c r="BOM57" s="33"/>
      <c r="BON57" s="33"/>
      <c r="BOO57" s="137"/>
      <c r="BOP57" s="33"/>
      <c r="BOQ57" s="33"/>
      <c r="BOR57" s="33"/>
      <c r="BOS57" s="33"/>
      <c r="BOT57" s="33"/>
      <c r="BOU57" s="74"/>
      <c r="BOV57" s="33"/>
      <c r="BOW57" s="33"/>
      <c r="BOX57" s="33"/>
      <c r="BOY57" s="33"/>
      <c r="BOZ57" s="33"/>
      <c r="BPA57" s="137"/>
      <c r="BPB57" s="33"/>
      <c r="BPC57" s="33"/>
      <c r="BPD57" s="33"/>
      <c r="BPE57" s="33"/>
      <c r="BPF57" s="33"/>
      <c r="BPG57" s="74"/>
      <c r="BPH57" s="64"/>
      <c r="BPI57" s="64"/>
      <c r="BPJ57" s="64"/>
      <c r="BPK57" s="64"/>
      <c r="BPL57" s="33"/>
      <c r="BPM57" s="137"/>
      <c r="BPN57" s="33"/>
      <c r="BPO57" s="33"/>
      <c r="BPP57" s="33"/>
      <c r="BPQ57" s="33"/>
      <c r="BPR57" s="33"/>
      <c r="BPS57" s="74"/>
      <c r="BPT57" s="33"/>
      <c r="BPU57" s="33"/>
      <c r="BPV57" s="33"/>
      <c r="BPW57" s="33"/>
      <c r="BPX57" s="33"/>
      <c r="BPY57" s="137"/>
      <c r="BPZ57" s="33"/>
      <c r="BQA57" s="33"/>
      <c r="BQB57" s="33"/>
      <c r="BQC57" s="33"/>
      <c r="BQD57" s="33"/>
      <c r="BQE57" s="74"/>
      <c r="BQF57" s="33"/>
      <c r="BQG57" s="33"/>
      <c r="BQH57" s="33"/>
      <c r="BQI57" s="33"/>
      <c r="BQJ57" s="33"/>
      <c r="BQK57" s="34"/>
      <c r="BQL57" s="32"/>
      <c r="BQM57" s="64"/>
      <c r="BQN57" s="64"/>
      <c r="BQO57" s="64"/>
      <c r="BQP57" s="33"/>
      <c r="BQQ57" s="132"/>
      <c r="BQR57" s="33"/>
      <c r="BQS57" s="33"/>
      <c r="BQT57" s="33"/>
      <c r="BQU57" s="33"/>
      <c r="BQV57" s="33"/>
      <c r="BQW57" s="137"/>
      <c r="BQX57" s="33"/>
      <c r="BQY57" s="33"/>
      <c r="BQZ57" s="33"/>
      <c r="BRA57" s="33"/>
      <c r="BRB57" s="33"/>
      <c r="BRC57" s="74"/>
      <c r="BRD57" s="33"/>
      <c r="BRE57" s="33"/>
      <c r="BRF57" s="33"/>
      <c r="BRG57" s="33"/>
      <c r="BRH57" s="33"/>
      <c r="BRI57" s="137"/>
      <c r="BRJ57" s="33"/>
      <c r="BRK57" s="33"/>
      <c r="BRL57" s="33"/>
      <c r="BRM57" s="33"/>
      <c r="BRN57" s="33"/>
      <c r="BRO57" s="74"/>
      <c r="BRP57" s="64"/>
      <c r="BRQ57" s="64"/>
      <c r="BRR57" s="64"/>
      <c r="BRS57" s="64"/>
      <c r="BRT57" s="33"/>
      <c r="BRU57" s="137"/>
      <c r="BRV57" s="33"/>
      <c r="BRW57" s="33"/>
      <c r="BRX57" s="33"/>
      <c r="BRY57" s="33"/>
      <c r="BRZ57" s="33"/>
      <c r="BSA57" s="74"/>
      <c r="BSB57" s="33"/>
      <c r="BSC57" s="33"/>
      <c r="BSD57" s="33"/>
      <c r="BSE57" s="33"/>
      <c r="BSF57" s="33"/>
      <c r="BSG57" s="137"/>
      <c r="BSH57" s="33"/>
      <c r="BSI57" s="33"/>
      <c r="BSJ57" s="33"/>
      <c r="BSK57" s="33"/>
      <c r="BSL57" s="33"/>
      <c r="BSM57" s="74"/>
      <c r="BSN57" s="33"/>
      <c r="BSO57" s="33"/>
      <c r="BSP57" s="33"/>
      <c r="BSQ57" s="33"/>
      <c r="BSR57" s="33"/>
      <c r="BSS57" s="34"/>
      <c r="BST57" s="32"/>
      <c r="BSU57" s="64"/>
      <c r="BSV57" s="64"/>
      <c r="BSW57" s="64"/>
      <c r="BSX57" s="33"/>
      <c r="BSY57" s="132"/>
      <c r="BSZ57" s="33"/>
      <c r="BTA57" s="33"/>
      <c r="BTB57" s="33"/>
      <c r="BTC57" s="33"/>
      <c r="BTD57" s="33"/>
      <c r="BTE57" s="137"/>
      <c r="BTF57" s="33"/>
      <c r="BTG57" s="33"/>
      <c r="BTH57" s="33"/>
      <c r="BTI57" s="33"/>
      <c r="BTJ57" s="33"/>
      <c r="BTK57" s="74"/>
      <c r="BTL57" s="33"/>
      <c r="BTM57" s="33"/>
      <c r="BTN57" s="33"/>
      <c r="BTO57" s="33"/>
      <c r="BTP57" s="33"/>
      <c r="BTQ57" s="137"/>
      <c r="BTR57" s="33"/>
      <c r="BTS57" s="33"/>
      <c r="BTT57" s="33"/>
      <c r="BTU57" s="33"/>
      <c r="BTV57" s="33"/>
      <c r="BTW57" s="74"/>
      <c r="BTX57" s="64"/>
      <c r="BTY57" s="64"/>
      <c r="BTZ57" s="64"/>
      <c r="BUA57" s="64"/>
      <c r="BUB57" s="33"/>
      <c r="BUC57" s="137"/>
      <c r="BUD57" s="33"/>
      <c r="BUE57" s="33"/>
      <c r="BUF57" s="33"/>
      <c r="BUG57" s="33"/>
      <c r="BUH57" s="33"/>
      <c r="BUI57" s="74"/>
      <c r="BUJ57" s="33"/>
      <c r="BUK57" s="33"/>
      <c r="BUL57" s="33"/>
      <c r="BUM57" s="33"/>
      <c r="BUN57" s="33"/>
      <c r="BUO57" s="137"/>
      <c r="BUP57" s="33"/>
      <c r="BUQ57" s="33"/>
      <c r="BUR57" s="33"/>
      <c r="BUS57" s="33"/>
      <c r="BUT57" s="33"/>
      <c r="BUU57" s="74"/>
      <c r="BUV57" s="33"/>
      <c r="BUW57" s="33"/>
      <c r="BUX57" s="33"/>
      <c r="BUY57" s="33"/>
      <c r="BUZ57" s="33"/>
      <c r="BVA57" s="34"/>
      <c r="BVB57" s="32"/>
      <c r="BVC57" s="64"/>
      <c r="BVD57" s="64"/>
      <c r="BVE57" s="64"/>
      <c r="BVF57" s="33"/>
      <c r="BVG57" s="132"/>
      <c r="BVH57" s="33"/>
      <c r="BVI57" s="33"/>
      <c r="BVJ57" s="33"/>
      <c r="BVK57" s="33"/>
      <c r="BVL57" s="33"/>
      <c r="BVM57" s="137"/>
      <c r="BVN57" s="33"/>
      <c r="BVO57" s="33"/>
      <c r="BVP57" s="33"/>
      <c r="BVQ57" s="33"/>
      <c r="BVR57" s="33"/>
      <c r="BVS57" s="74"/>
      <c r="BVT57" s="33"/>
      <c r="BVU57" s="33"/>
      <c r="BVV57" s="33"/>
      <c r="BVW57" s="33"/>
      <c r="BVX57" s="33"/>
      <c r="BVY57" s="137"/>
      <c r="BVZ57" s="33"/>
      <c r="BWA57" s="33"/>
      <c r="BWB57" s="33"/>
      <c r="BWC57" s="33"/>
      <c r="BWD57" s="33"/>
      <c r="BWE57" s="74"/>
      <c r="BWF57" s="64"/>
      <c r="BWG57" s="64"/>
      <c r="BWH57" s="64"/>
      <c r="BWI57" s="64"/>
      <c r="BWJ57" s="33"/>
      <c r="BWK57" s="137"/>
      <c r="BWL57" s="33"/>
      <c r="BWM57" s="33"/>
      <c r="BWN57" s="33"/>
      <c r="BWO57" s="33"/>
      <c r="BWP57" s="33"/>
      <c r="BWQ57" s="74"/>
      <c r="BWR57" s="33"/>
      <c r="BWS57" s="33"/>
      <c r="BWT57" s="33"/>
      <c r="BWU57" s="33"/>
      <c r="BWV57" s="33"/>
      <c r="BWW57" s="137"/>
      <c r="BWX57" s="33"/>
      <c r="BWY57" s="33"/>
      <c r="BWZ57" s="33"/>
      <c r="BXA57" s="33"/>
      <c r="BXB57" s="33"/>
      <c r="BXC57" s="74"/>
      <c r="BXD57" s="33"/>
      <c r="BXE57" s="33"/>
      <c r="BXF57" s="33"/>
      <c r="BXG57" s="33"/>
      <c r="BXH57" s="33"/>
      <c r="BXI57" s="34"/>
      <c r="BXJ57" s="32"/>
      <c r="BXK57" s="64"/>
      <c r="BXL57" s="64"/>
      <c r="BXM57" s="64"/>
      <c r="BXN57" s="33"/>
      <c r="BXO57" s="132"/>
      <c r="BXP57" s="33"/>
      <c r="BXQ57" s="33"/>
      <c r="BXR57" s="33"/>
      <c r="BXS57" s="33"/>
      <c r="BXT57" s="33"/>
      <c r="BXU57" s="137"/>
      <c r="BXV57" s="33"/>
      <c r="BXW57" s="33"/>
      <c r="BXX57" s="33"/>
      <c r="BXY57" s="33"/>
      <c r="BXZ57" s="33"/>
      <c r="BYA57" s="74"/>
      <c r="BYB57" s="33"/>
      <c r="BYC57" s="33"/>
      <c r="BYD57" s="33"/>
      <c r="BYE57" s="33"/>
      <c r="BYF57" s="33"/>
      <c r="BYG57" s="137"/>
      <c r="BYH57" s="33"/>
      <c r="BYI57" s="33"/>
      <c r="BYJ57" s="33"/>
      <c r="BYK57" s="33"/>
      <c r="BYL57" s="33"/>
      <c r="BYM57" s="74"/>
      <c r="BYN57" s="64"/>
      <c r="BYO57" s="64"/>
      <c r="BYP57" s="64"/>
      <c r="BYQ57" s="64"/>
      <c r="BYR57" s="33"/>
      <c r="BYS57" s="137"/>
      <c r="BYT57" s="33"/>
      <c r="BYU57" s="33"/>
      <c r="BYV57" s="33"/>
      <c r="BYW57" s="33"/>
      <c r="BYX57" s="33"/>
      <c r="BYY57" s="74"/>
      <c r="BYZ57" s="33"/>
      <c r="BZA57" s="33"/>
      <c r="BZB57" s="33"/>
      <c r="BZC57" s="33"/>
      <c r="BZD57" s="33"/>
      <c r="BZE57" s="137"/>
      <c r="BZF57" s="33"/>
      <c r="BZG57" s="33"/>
      <c r="BZH57" s="33"/>
      <c r="BZI57" s="33"/>
      <c r="BZJ57" s="33"/>
      <c r="BZK57" s="74"/>
      <c r="BZL57" s="33"/>
      <c r="BZM57" s="33"/>
      <c r="BZN57" s="33"/>
      <c r="BZO57" s="33"/>
      <c r="BZP57" s="33"/>
      <c r="BZQ57" s="34"/>
      <c r="BZR57" s="32"/>
      <c r="BZS57" s="64"/>
      <c r="BZT57" s="64"/>
      <c r="BZU57" s="64"/>
      <c r="BZV57" s="33"/>
      <c r="BZW57" s="132"/>
      <c r="BZX57" s="33"/>
      <c r="BZY57" s="33"/>
      <c r="BZZ57" s="33"/>
      <c r="CAA57" s="33"/>
      <c r="CAB57" s="33"/>
      <c r="CAC57" s="137"/>
      <c r="CAD57" s="33"/>
      <c r="CAE57" s="33"/>
      <c r="CAF57" s="33"/>
      <c r="CAG57" s="33"/>
      <c r="CAH57" s="33"/>
      <c r="CAI57" s="74"/>
      <c r="CAJ57" s="33"/>
      <c r="CAK57" s="33"/>
      <c r="CAL57" s="33"/>
      <c r="CAM57" s="33"/>
      <c r="CAN57" s="33"/>
      <c r="CAO57" s="137"/>
      <c r="CAP57" s="33"/>
      <c r="CAQ57" s="33"/>
      <c r="CAR57" s="33"/>
      <c r="CAS57" s="33"/>
      <c r="CAT57" s="33"/>
      <c r="CAU57" s="74"/>
      <c r="CAV57" s="64"/>
      <c r="CAW57" s="64"/>
      <c r="CAX57" s="64"/>
      <c r="CAY57" s="64"/>
      <c r="CAZ57" s="33"/>
      <c r="CBA57" s="137"/>
      <c r="CBB57" s="33"/>
      <c r="CBC57" s="33"/>
      <c r="CBD57" s="33"/>
      <c r="CBE57" s="33"/>
      <c r="CBF57" s="33"/>
      <c r="CBG57" s="74"/>
      <c r="CBH57" s="33"/>
      <c r="CBI57" s="33"/>
      <c r="CBJ57" s="33"/>
      <c r="CBK57" s="33"/>
      <c r="CBL57" s="33"/>
      <c r="CBM57" s="137"/>
      <c r="CBN57" s="33"/>
      <c r="CBO57" s="33"/>
      <c r="CBP57" s="33"/>
      <c r="CBQ57" s="33"/>
      <c r="CBR57" s="33"/>
      <c r="CBS57" s="74"/>
      <c r="CBT57" s="33"/>
      <c r="CBU57" s="33"/>
      <c r="CBV57" s="33"/>
      <c r="CBW57" s="33"/>
      <c r="CBX57" s="33"/>
      <c r="CBY57" s="34"/>
      <c r="CBZ57" s="90"/>
    </row>
    <row r="58" spans="1:2106" ht="20.100000000000001" customHeight="1" x14ac:dyDescent="0.3">
      <c r="A58" s="100" t="s">
        <v>23</v>
      </c>
      <c r="B58" s="63"/>
      <c r="C58" s="171"/>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36"/>
      <c r="BLW58" s="65"/>
      <c r="BLX58" s="65"/>
      <c r="BLY58" s="65"/>
      <c r="BLZ58" s="37"/>
      <c r="BMA58" s="133"/>
      <c r="BMB58" s="37"/>
      <c r="BMC58" s="37"/>
      <c r="BMD58" s="37"/>
      <c r="BME58" s="37"/>
      <c r="BMF58" s="37"/>
      <c r="BMG58" s="138"/>
      <c r="BMH58" s="37"/>
      <c r="BMI58" s="37"/>
      <c r="BMJ58" s="37"/>
      <c r="BMK58" s="37"/>
      <c r="BML58" s="37"/>
      <c r="BMM58" s="75"/>
      <c r="BMN58" s="37"/>
      <c r="BMO58" s="37"/>
      <c r="BMP58" s="37"/>
      <c r="BMQ58" s="37"/>
      <c r="BMR58" s="37"/>
      <c r="BMS58" s="138"/>
      <c r="BMT58" s="37"/>
      <c r="BMU58" s="37"/>
      <c r="BMV58" s="37"/>
      <c r="BMW58" s="37"/>
      <c r="BMX58" s="37"/>
      <c r="BMY58" s="75"/>
      <c r="BMZ58" s="65"/>
      <c r="BNA58" s="65"/>
      <c r="BNB58" s="65"/>
      <c r="BNC58" s="65"/>
      <c r="BND58" s="37"/>
      <c r="BNE58" s="138"/>
      <c r="BNF58" s="37"/>
      <c r="BNG58" s="37"/>
      <c r="BNH58" s="37"/>
      <c r="BNI58" s="37"/>
      <c r="BNJ58" s="37"/>
      <c r="BNK58" s="75"/>
      <c r="BNL58" s="37"/>
      <c r="BNM58" s="37"/>
      <c r="BNN58" s="37"/>
      <c r="BNO58" s="37"/>
      <c r="BNP58" s="37"/>
      <c r="BNQ58" s="138"/>
      <c r="BNR58" s="37"/>
      <c r="BNS58" s="37"/>
      <c r="BNT58" s="37"/>
      <c r="BNU58" s="37"/>
      <c r="BNV58" s="37"/>
      <c r="BNW58" s="75"/>
      <c r="BNX58" s="37"/>
      <c r="BNY58" s="37"/>
      <c r="BNZ58" s="37"/>
      <c r="BOA58" s="37"/>
      <c r="BOB58" s="37"/>
      <c r="BOC58" s="38"/>
      <c r="BOD58" s="36"/>
      <c r="BOE58" s="65"/>
      <c r="BOF58" s="65"/>
      <c r="BOG58" s="65"/>
      <c r="BOH58" s="37"/>
      <c r="BOI58" s="133"/>
      <c r="BOJ58" s="37"/>
      <c r="BOK58" s="37"/>
      <c r="BOL58" s="37"/>
      <c r="BOM58" s="37"/>
      <c r="BON58" s="37"/>
      <c r="BOO58" s="138"/>
      <c r="BOP58" s="37"/>
      <c r="BOQ58" s="37"/>
      <c r="BOR58" s="37"/>
      <c r="BOS58" s="37"/>
      <c r="BOT58" s="37"/>
      <c r="BOU58" s="75"/>
      <c r="BOV58" s="37"/>
      <c r="BOW58" s="37"/>
      <c r="BOX58" s="37"/>
      <c r="BOY58" s="37"/>
      <c r="BOZ58" s="37"/>
      <c r="BPA58" s="138"/>
      <c r="BPB58" s="37"/>
      <c r="BPC58" s="37"/>
      <c r="BPD58" s="37"/>
      <c r="BPE58" s="37"/>
      <c r="BPF58" s="37"/>
      <c r="BPG58" s="75"/>
      <c r="BPH58" s="65"/>
      <c r="BPI58" s="65"/>
      <c r="BPJ58" s="65"/>
      <c r="BPK58" s="65"/>
      <c r="BPL58" s="37"/>
      <c r="BPM58" s="138"/>
      <c r="BPN58" s="37"/>
      <c r="BPO58" s="37"/>
      <c r="BPP58" s="37"/>
      <c r="BPQ58" s="37"/>
      <c r="BPR58" s="37"/>
      <c r="BPS58" s="75"/>
      <c r="BPT58" s="37"/>
      <c r="BPU58" s="37"/>
      <c r="BPV58" s="37"/>
      <c r="BPW58" s="37"/>
      <c r="BPX58" s="37"/>
      <c r="BPY58" s="138"/>
      <c r="BPZ58" s="37"/>
      <c r="BQA58" s="37"/>
      <c r="BQB58" s="37"/>
      <c r="BQC58" s="37"/>
      <c r="BQD58" s="37"/>
      <c r="BQE58" s="75"/>
      <c r="BQF58" s="37"/>
      <c r="BQG58" s="37"/>
      <c r="BQH58" s="37"/>
      <c r="BQI58" s="37"/>
      <c r="BQJ58" s="37"/>
      <c r="BQK58" s="38"/>
      <c r="BQL58" s="36"/>
      <c r="BQM58" s="65"/>
      <c r="BQN58" s="65"/>
      <c r="BQO58" s="65"/>
      <c r="BQP58" s="37"/>
      <c r="BQQ58" s="133"/>
      <c r="BQR58" s="37"/>
      <c r="BQS58" s="37"/>
      <c r="BQT58" s="37"/>
      <c r="BQU58" s="37"/>
      <c r="BQV58" s="37"/>
      <c r="BQW58" s="138"/>
      <c r="BQX58" s="37"/>
      <c r="BQY58" s="37"/>
      <c r="BQZ58" s="37"/>
      <c r="BRA58" s="37"/>
      <c r="BRB58" s="37"/>
      <c r="BRC58" s="75"/>
      <c r="BRD58" s="37"/>
      <c r="BRE58" s="37"/>
      <c r="BRF58" s="37"/>
      <c r="BRG58" s="37"/>
      <c r="BRH58" s="37"/>
      <c r="BRI58" s="138"/>
      <c r="BRJ58" s="37"/>
      <c r="BRK58" s="37"/>
      <c r="BRL58" s="37"/>
      <c r="BRM58" s="37"/>
      <c r="BRN58" s="37"/>
      <c r="BRO58" s="75"/>
      <c r="BRP58" s="65"/>
      <c r="BRQ58" s="65"/>
      <c r="BRR58" s="65"/>
      <c r="BRS58" s="65"/>
      <c r="BRT58" s="37"/>
      <c r="BRU58" s="138"/>
      <c r="BRV58" s="37"/>
      <c r="BRW58" s="37"/>
      <c r="BRX58" s="37"/>
      <c r="BRY58" s="37"/>
      <c r="BRZ58" s="37"/>
      <c r="BSA58" s="75"/>
      <c r="BSB58" s="37"/>
      <c r="BSC58" s="37"/>
      <c r="BSD58" s="37"/>
      <c r="BSE58" s="37"/>
      <c r="BSF58" s="37"/>
      <c r="BSG58" s="138"/>
      <c r="BSH58" s="37"/>
      <c r="BSI58" s="37"/>
      <c r="BSJ58" s="37"/>
      <c r="BSK58" s="37"/>
      <c r="BSL58" s="37"/>
      <c r="BSM58" s="75"/>
      <c r="BSN58" s="37"/>
      <c r="BSO58" s="37"/>
      <c r="BSP58" s="37"/>
      <c r="BSQ58" s="37"/>
      <c r="BSR58" s="37"/>
      <c r="BSS58" s="38"/>
      <c r="BST58" s="36"/>
      <c r="BSU58" s="65"/>
      <c r="BSV58" s="65"/>
      <c r="BSW58" s="65"/>
      <c r="BSX58" s="37"/>
      <c r="BSY58" s="133"/>
      <c r="BSZ58" s="37"/>
      <c r="BTA58" s="37"/>
      <c r="BTB58" s="37"/>
      <c r="BTC58" s="37"/>
      <c r="BTD58" s="37"/>
      <c r="BTE58" s="138"/>
      <c r="BTF58" s="37"/>
      <c r="BTG58" s="37"/>
      <c r="BTH58" s="37"/>
      <c r="BTI58" s="37"/>
      <c r="BTJ58" s="37"/>
      <c r="BTK58" s="75"/>
      <c r="BTL58" s="37"/>
      <c r="BTM58" s="37"/>
      <c r="BTN58" s="37"/>
      <c r="BTO58" s="37"/>
      <c r="BTP58" s="37"/>
      <c r="BTQ58" s="138"/>
      <c r="BTR58" s="37"/>
      <c r="BTS58" s="37"/>
      <c r="BTT58" s="37"/>
      <c r="BTU58" s="37"/>
      <c r="BTV58" s="37"/>
      <c r="BTW58" s="75"/>
      <c r="BTX58" s="65"/>
      <c r="BTY58" s="65"/>
      <c r="BTZ58" s="65"/>
      <c r="BUA58" s="65"/>
      <c r="BUB58" s="37"/>
      <c r="BUC58" s="138"/>
      <c r="BUD58" s="37"/>
      <c r="BUE58" s="37"/>
      <c r="BUF58" s="37"/>
      <c r="BUG58" s="37"/>
      <c r="BUH58" s="37"/>
      <c r="BUI58" s="75"/>
      <c r="BUJ58" s="37"/>
      <c r="BUK58" s="37"/>
      <c r="BUL58" s="37"/>
      <c r="BUM58" s="37"/>
      <c r="BUN58" s="37"/>
      <c r="BUO58" s="138"/>
      <c r="BUP58" s="37"/>
      <c r="BUQ58" s="37"/>
      <c r="BUR58" s="37"/>
      <c r="BUS58" s="37"/>
      <c r="BUT58" s="37"/>
      <c r="BUU58" s="75"/>
      <c r="BUV58" s="37"/>
      <c r="BUW58" s="37"/>
      <c r="BUX58" s="37"/>
      <c r="BUY58" s="37"/>
      <c r="BUZ58" s="37"/>
      <c r="BVA58" s="38"/>
      <c r="BVB58" s="36"/>
      <c r="BVC58" s="65"/>
      <c r="BVD58" s="65"/>
      <c r="BVE58" s="65"/>
      <c r="BVF58" s="37"/>
      <c r="BVG58" s="133"/>
      <c r="BVH58" s="37"/>
      <c r="BVI58" s="37"/>
      <c r="BVJ58" s="37"/>
      <c r="BVK58" s="37"/>
      <c r="BVL58" s="37"/>
      <c r="BVM58" s="138"/>
      <c r="BVN58" s="37"/>
      <c r="BVO58" s="37"/>
      <c r="BVP58" s="37"/>
      <c r="BVQ58" s="37"/>
      <c r="BVR58" s="37"/>
      <c r="BVS58" s="75"/>
      <c r="BVT58" s="37"/>
      <c r="BVU58" s="37"/>
      <c r="BVV58" s="37"/>
      <c r="BVW58" s="37"/>
      <c r="BVX58" s="37"/>
      <c r="BVY58" s="138"/>
      <c r="BVZ58" s="37"/>
      <c r="BWA58" s="37"/>
      <c r="BWB58" s="37"/>
      <c r="BWC58" s="37"/>
      <c r="BWD58" s="37"/>
      <c r="BWE58" s="75"/>
      <c r="BWF58" s="65"/>
      <c r="BWG58" s="65"/>
      <c r="BWH58" s="65"/>
      <c r="BWI58" s="65"/>
      <c r="BWJ58" s="37"/>
      <c r="BWK58" s="138"/>
      <c r="BWL58" s="37"/>
      <c r="BWM58" s="37"/>
      <c r="BWN58" s="37"/>
      <c r="BWO58" s="37"/>
      <c r="BWP58" s="37"/>
      <c r="BWQ58" s="75"/>
      <c r="BWR58" s="37"/>
      <c r="BWS58" s="37"/>
      <c r="BWT58" s="37"/>
      <c r="BWU58" s="37"/>
      <c r="BWV58" s="37"/>
      <c r="BWW58" s="138"/>
      <c r="BWX58" s="37"/>
      <c r="BWY58" s="37"/>
      <c r="BWZ58" s="37"/>
      <c r="BXA58" s="37"/>
      <c r="BXB58" s="37"/>
      <c r="BXC58" s="75"/>
      <c r="BXD58" s="37"/>
      <c r="BXE58" s="37"/>
      <c r="BXF58" s="37"/>
      <c r="BXG58" s="37"/>
      <c r="BXH58" s="37"/>
      <c r="BXI58" s="38"/>
      <c r="BXJ58" s="36"/>
      <c r="BXK58" s="65"/>
      <c r="BXL58" s="65"/>
      <c r="BXM58" s="65"/>
      <c r="BXN58" s="37"/>
      <c r="BXO58" s="133"/>
      <c r="BXP58" s="37"/>
      <c r="BXQ58" s="37"/>
      <c r="BXR58" s="37"/>
      <c r="BXS58" s="37"/>
      <c r="BXT58" s="37"/>
      <c r="BXU58" s="138"/>
      <c r="BXV58" s="37"/>
      <c r="BXW58" s="37"/>
      <c r="BXX58" s="37"/>
      <c r="BXY58" s="37"/>
      <c r="BXZ58" s="37"/>
      <c r="BYA58" s="75"/>
      <c r="BYB58" s="37"/>
      <c r="BYC58" s="37"/>
      <c r="BYD58" s="37"/>
      <c r="BYE58" s="37"/>
      <c r="BYF58" s="37"/>
      <c r="BYG58" s="138"/>
      <c r="BYH58" s="37"/>
      <c r="BYI58" s="37"/>
      <c r="BYJ58" s="37"/>
      <c r="BYK58" s="37"/>
      <c r="BYL58" s="37"/>
      <c r="BYM58" s="75"/>
      <c r="BYN58" s="65"/>
      <c r="BYO58" s="65"/>
      <c r="BYP58" s="65"/>
      <c r="BYQ58" s="65"/>
      <c r="BYR58" s="37"/>
      <c r="BYS58" s="138"/>
      <c r="BYT58" s="37"/>
      <c r="BYU58" s="37"/>
      <c r="BYV58" s="37"/>
      <c r="BYW58" s="37"/>
      <c r="BYX58" s="37"/>
      <c r="BYY58" s="75"/>
      <c r="BYZ58" s="37"/>
      <c r="BZA58" s="37"/>
      <c r="BZB58" s="37"/>
      <c r="BZC58" s="37"/>
      <c r="BZD58" s="37"/>
      <c r="BZE58" s="138"/>
      <c r="BZF58" s="37"/>
      <c r="BZG58" s="37"/>
      <c r="BZH58" s="37"/>
      <c r="BZI58" s="37"/>
      <c r="BZJ58" s="37"/>
      <c r="BZK58" s="75"/>
      <c r="BZL58" s="37"/>
      <c r="BZM58" s="37"/>
      <c r="BZN58" s="37"/>
      <c r="BZO58" s="37"/>
      <c r="BZP58" s="37"/>
      <c r="BZQ58" s="38"/>
      <c r="BZR58" s="36"/>
      <c r="BZS58" s="65"/>
      <c r="BZT58" s="65"/>
      <c r="BZU58" s="65"/>
      <c r="BZV58" s="37"/>
      <c r="BZW58" s="133"/>
      <c r="BZX58" s="37"/>
      <c r="BZY58" s="37"/>
      <c r="BZZ58" s="37"/>
      <c r="CAA58" s="37"/>
      <c r="CAB58" s="37"/>
      <c r="CAC58" s="138"/>
      <c r="CAD58" s="37"/>
      <c r="CAE58" s="37"/>
      <c r="CAF58" s="37"/>
      <c r="CAG58" s="37"/>
      <c r="CAH58" s="37"/>
      <c r="CAI58" s="75"/>
      <c r="CAJ58" s="37"/>
      <c r="CAK58" s="37"/>
      <c r="CAL58" s="37"/>
      <c r="CAM58" s="37"/>
      <c r="CAN58" s="37"/>
      <c r="CAO58" s="138"/>
      <c r="CAP58" s="37"/>
      <c r="CAQ58" s="37"/>
      <c r="CAR58" s="37"/>
      <c r="CAS58" s="37"/>
      <c r="CAT58" s="37"/>
      <c r="CAU58" s="75"/>
      <c r="CAV58" s="65"/>
      <c r="CAW58" s="65"/>
      <c r="CAX58" s="65"/>
      <c r="CAY58" s="65"/>
      <c r="CAZ58" s="37"/>
      <c r="CBA58" s="138"/>
      <c r="CBB58" s="37"/>
      <c r="CBC58" s="37"/>
      <c r="CBD58" s="37"/>
      <c r="CBE58" s="37"/>
      <c r="CBF58" s="37"/>
      <c r="CBG58" s="75"/>
      <c r="CBH58" s="37"/>
      <c r="CBI58" s="37"/>
      <c r="CBJ58" s="37"/>
      <c r="CBK58" s="37"/>
      <c r="CBL58" s="37"/>
      <c r="CBM58" s="138"/>
      <c r="CBN58" s="37"/>
      <c r="CBO58" s="37"/>
      <c r="CBP58" s="37"/>
      <c r="CBQ58" s="37"/>
      <c r="CBR58" s="37"/>
      <c r="CBS58" s="75"/>
      <c r="CBT58" s="37"/>
      <c r="CBU58" s="37"/>
      <c r="CBV58" s="37"/>
      <c r="CBW58" s="37"/>
      <c r="CBX58" s="37"/>
      <c r="CBY58" s="38"/>
      <c r="CBZ58" s="90"/>
    </row>
    <row r="59" spans="1:2106" ht="20.100000000000001" customHeight="1" x14ac:dyDescent="0.25">
      <c r="A59" s="100" t="s">
        <v>22</v>
      </c>
      <c r="B59" s="63"/>
      <c r="C59" s="170"/>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40"/>
      <c r="BLW59" s="66"/>
      <c r="BLX59" s="66"/>
      <c r="BLY59" s="66"/>
      <c r="BLZ59" s="41"/>
      <c r="BMA59" s="134"/>
      <c r="BMB59" s="41"/>
      <c r="BMC59" s="41"/>
      <c r="BMD59" s="41"/>
      <c r="BME59" s="41"/>
      <c r="BMF59" s="41"/>
      <c r="BMG59" s="139"/>
      <c r="BMH59" s="41"/>
      <c r="BMI59" s="41"/>
      <c r="BMJ59" s="41"/>
      <c r="BMK59" s="41"/>
      <c r="BML59" s="41"/>
      <c r="BMM59" s="76"/>
      <c r="BMN59" s="41"/>
      <c r="BMO59" s="41"/>
      <c r="BMP59" s="41"/>
      <c r="BMQ59" s="41"/>
      <c r="BMR59" s="41"/>
      <c r="BMS59" s="139"/>
      <c r="BMT59" s="41"/>
      <c r="BMU59" s="41"/>
      <c r="BMV59" s="41"/>
      <c r="BMW59" s="41"/>
      <c r="BMX59" s="41"/>
      <c r="BMY59" s="76"/>
      <c r="BMZ59" s="66"/>
      <c r="BNA59" s="66"/>
      <c r="BNB59" s="66"/>
      <c r="BNC59" s="66"/>
      <c r="BND59" s="41"/>
      <c r="BNE59" s="139"/>
      <c r="BNF59" s="41"/>
      <c r="BNG59" s="41"/>
      <c r="BNH59" s="41"/>
      <c r="BNI59" s="41"/>
      <c r="BNJ59" s="41"/>
      <c r="BNK59" s="76"/>
      <c r="BNL59" s="41"/>
      <c r="BNM59" s="41"/>
      <c r="BNN59" s="41"/>
      <c r="BNO59" s="41"/>
      <c r="BNP59" s="41"/>
      <c r="BNQ59" s="139"/>
      <c r="BNR59" s="41"/>
      <c r="BNS59" s="41"/>
      <c r="BNT59" s="41"/>
      <c r="BNU59" s="41"/>
      <c r="BNV59" s="41"/>
      <c r="BNW59" s="76"/>
      <c r="BNX59" s="41"/>
      <c r="BNY59" s="41"/>
      <c r="BNZ59" s="41"/>
      <c r="BOA59" s="41"/>
      <c r="BOB59" s="41"/>
      <c r="BOC59" s="42"/>
      <c r="BOD59" s="40"/>
      <c r="BOE59" s="66"/>
      <c r="BOF59" s="66"/>
      <c r="BOG59" s="66"/>
      <c r="BOH59" s="41"/>
      <c r="BOI59" s="134"/>
      <c r="BOJ59" s="41"/>
      <c r="BOK59" s="41"/>
      <c r="BOL59" s="41"/>
      <c r="BOM59" s="41"/>
      <c r="BON59" s="41"/>
      <c r="BOO59" s="139"/>
      <c r="BOP59" s="41"/>
      <c r="BOQ59" s="41"/>
      <c r="BOR59" s="41"/>
      <c r="BOS59" s="41"/>
      <c r="BOT59" s="41"/>
      <c r="BOU59" s="76"/>
      <c r="BOV59" s="41"/>
      <c r="BOW59" s="41"/>
      <c r="BOX59" s="41"/>
      <c r="BOY59" s="41"/>
      <c r="BOZ59" s="41"/>
      <c r="BPA59" s="139"/>
      <c r="BPB59" s="41"/>
      <c r="BPC59" s="41"/>
      <c r="BPD59" s="41"/>
      <c r="BPE59" s="41"/>
      <c r="BPF59" s="41"/>
      <c r="BPG59" s="76"/>
      <c r="BPH59" s="66"/>
      <c r="BPI59" s="66"/>
      <c r="BPJ59" s="66"/>
      <c r="BPK59" s="66"/>
      <c r="BPL59" s="41"/>
      <c r="BPM59" s="139"/>
      <c r="BPN59" s="41"/>
      <c r="BPO59" s="41"/>
      <c r="BPP59" s="41"/>
      <c r="BPQ59" s="41"/>
      <c r="BPR59" s="41"/>
      <c r="BPS59" s="76"/>
      <c r="BPT59" s="41"/>
      <c r="BPU59" s="41"/>
      <c r="BPV59" s="41"/>
      <c r="BPW59" s="41"/>
      <c r="BPX59" s="41"/>
      <c r="BPY59" s="139"/>
      <c r="BPZ59" s="41"/>
      <c r="BQA59" s="41"/>
      <c r="BQB59" s="41"/>
      <c r="BQC59" s="41"/>
      <c r="BQD59" s="41"/>
      <c r="BQE59" s="76"/>
      <c r="BQF59" s="41"/>
      <c r="BQG59" s="41"/>
      <c r="BQH59" s="41"/>
      <c r="BQI59" s="41"/>
      <c r="BQJ59" s="41"/>
      <c r="BQK59" s="42"/>
      <c r="BQL59" s="40"/>
      <c r="BQM59" s="66"/>
      <c r="BQN59" s="66"/>
      <c r="BQO59" s="66"/>
      <c r="BQP59" s="41"/>
      <c r="BQQ59" s="134"/>
      <c r="BQR59" s="41"/>
      <c r="BQS59" s="41"/>
      <c r="BQT59" s="41"/>
      <c r="BQU59" s="41"/>
      <c r="BQV59" s="41"/>
      <c r="BQW59" s="139"/>
      <c r="BQX59" s="41"/>
      <c r="BQY59" s="41"/>
      <c r="BQZ59" s="41"/>
      <c r="BRA59" s="41"/>
      <c r="BRB59" s="41"/>
      <c r="BRC59" s="76"/>
      <c r="BRD59" s="41"/>
      <c r="BRE59" s="41"/>
      <c r="BRF59" s="41"/>
      <c r="BRG59" s="41"/>
      <c r="BRH59" s="41"/>
      <c r="BRI59" s="139"/>
      <c r="BRJ59" s="41"/>
      <c r="BRK59" s="41"/>
      <c r="BRL59" s="41"/>
      <c r="BRM59" s="41"/>
      <c r="BRN59" s="41"/>
      <c r="BRO59" s="76"/>
      <c r="BRP59" s="66"/>
      <c r="BRQ59" s="66"/>
      <c r="BRR59" s="66"/>
      <c r="BRS59" s="66"/>
      <c r="BRT59" s="41"/>
      <c r="BRU59" s="139"/>
      <c r="BRV59" s="41"/>
      <c r="BRW59" s="41"/>
      <c r="BRX59" s="41"/>
      <c r="BRY59" s="41"/>
      <c r="BRZ59" s="41"/>
      <c r="BSA59" s="76"/>
      <c r="BSB59" s="41"/>
      <c r="BSC59" s="41"/>
      <c r="BSD59" s="41"/>
      <c r="BSE59" s="41"/>
      <c r="BSF59" s="41"/>
      <c r="BSG59" s="139"/>
      <c r="BSH59" s="41"/>
      <c r="BSI59" s="41"/>
      <c r="BSJ59" s="41"/>
      <c r="BSK59" s="41"/>
      <c r="BSL59" s="41"/>
      <c r="BSM59" s="76"/>
      <c r="BSN59" s="41"/>
      <c r="BSO59" s="41"/>
      <c r="BSP59" s="41"/>
      <c r="BSQ59" s="41"/>
      <c r="BSR59" s="41"/>
      <c r="BSS59" s="42"/>
      <c r="BST59" s="40"/>
      <c r="BSU59" s="66"/>
      <c r="BSV59" s="66"/>
      <c r="BSW59" s="66"/>
      <c r="BSX59" s="41"/>
      <c r="BSY59" s="134"/>
      <c r="BSZ59" s="41"/>
      <c r="BTA59" s="41"/>
      <c r="BTB59" s="41"/>
      <c r="BTC59" s="41"/>
      <c r="BTD59" s="41"/>
      <c r="BTE59" s="139"/>
      <c r="BTF59" s="41"/>
      <c r="BTG59" s="41"/>
      <c r="BTH59" s="41"/>
      <c r="BTI59" s="41"/>
      <c r="BTJ59" s="41"/>
      <c r="BTK59" s="76"/>
      <c r="BTL59" s="41"/>
      <c r="BTM59" s="41"/>
      <c r="BTN59" s="41"/>
      <c r="BTO59" s="41"/>
      <c r="BTP59" s="41"/>
      <c r="BTQ59" s="139"/>
      <c r="BTR59" s="41"/>
      <c r="BTS59" s="41"/>
      <c r="BTT59" s="41"/>
      <c r="BTU59" s="41"/>
      <c r="BTV59" s="41"/>
      <c r="BTW59" s="76"/>
      <c r="BTX59" s="66"/>
      <c r="BTY59" s="66"/>
      <c r="BTZ59" s="66"/>
      <c r="BUA59" s="66"/>
      <c r="BUB59" s="41"/>
      <c r="BUC59" s="139"/>
      <c r="BUD59" s="41"/>
      <c r="BUE59" s="41"/>
      <c r="BUF59" s="41"/>
      <c r="BUG59" s="41"/>
      <c r="BUH59" s="41"/>
      <c r="BUI59" s="76"/>
      <c r="BUJ59" s="41"/>
      <c r="BUK59" s="41"/>
      <c r="BUL59" s="41"/>
      <c r="BUM59" s="41"/>
      <c r="BUN59" s="41"/>
      <c r="BUO59" s="139"/>
      <c r="BUP59" s="41"/>
      <c r="BUQ59" s="41"/>
      <c r="BUR59" s="41"/>
      <c r="BUS59" s="41"/>
      <c r="BUT59" s="41"/>
      <c r="BUU59" s="76"/>
      <c r="BUV59" s="41"/>
      <c r="BUW59" s="41"/>
      <c r="BUX59" s="41"/>
      <c r="BUY59" s="41"/>
      <c r="BUZ59" s="41"/>
      <c r="BVA59" s="42"/>
      <c r="BVB59" s="40"/>
      <c r="BVC59" s="66"/>
      <c r="BVD59" s="66"/>
      <c r="BVE59" s="66"/>
      <c r="BVF59" s="41"/>
      <c r="BVG59" s="134"/>
      <c r="BVH59" s="41"/>
      <c r="BVI59" s="41"/>
      <c r="BVJ59" s="41"/>
      <c r="BVK59" s="41"/>
      <c r="BVL59" s="41"/>
      <c r="BVM59" s="139"/>
      <c r="BVN59" s="41"/>
      <c r="BVO59" s="41"/>
      <c r="BVP59" s="41"/>
      <c r="BVQ59" s="41"/>
      <c r="BVR59" s="41"/>
      <c r="BVS59" s="76"/>
      <c r="BVT59" s="41"/>
      <c r="BVU59" s="41"/>
      <c r="BVV59" s="41"/>
      <c r="BVW59" s="41"/>
      <c r="BVX59" s="41"/>
      <c r="BVY59" s="139"/>
      <c r="BVZ59" s="41"/>
      <c r="BWA59" s="41"/>
      <c r="BWB59" s="41"/>
      <c r="BWC59" s="41"/>
      <c r="BWD59" s="41"/>
      <c r="BWE59" s="76"/>
      <c r="BWF59" s="66"/>
      <c r="BWG59" s="66"/>
      <c r="BWH59" s="66"/>
      <c r="BWI59" s="66"/>
      <c r="BWJ59" s="41"/>
      <c r="BWK59" s="139"/>
      <c r="BWL59" s="41"/>
      <c r="BWM59" s="41"/>
      <c r="BWN59" s="41"/>
      <c r="BWO59" s="41"/>
      <c r="BWP59" s="41"/>
      <c r="BWQ59" s="76"/>
      <c r="BWR59" s="41"/>
      <c r="BWS59" s="41"/>
      <c r="BWT59" s="41"/>
      <c r="BWU59" s="41"/>
      <c r="BWV59" s="41"/>
      <c r="BWW59" s="139"/>
      <c r="BWX59" s="41"/>
      <c r="BWY59" s="41"/>
      <c r="BWZ59" s="41"/>
      <c r="BXA59" s="41"/>
      <c r="BXB59" s="41"/>
      <c r="BXC59" s="76"/>
      <c r="BXD59" s="41"/>
      <c r="BXE59" s="41"/>
      <c r="BXF59" s="41"/>
      <c r="BXG59" s="41"/>
      <c r="BXH59" s="41"/>
      <c r="BXI59" s="42"/>
      <c r="BXJ59" s="40"/>
      <c r="BXK59" s="66"/>
      <c r="BXL59" s="66"/>
      <c r="BXM59" s="66"/>
      <c r="BXN59" s="41"/>
      <c r="BXO59" s="134"/>
      <c r="BXP59" s="41"/>
      <c r="BXQ59" s="41"/>
      <c r="BXR59" s="41"/>
      <c r="BXS59" s="41"/>
      <c r="BXT59" s="41"/>
      <c r="BXU59" s="139"/>
      <c r="BXV59" s="41"/>
      <c r="BXW59" s="41"/>
      <c r="BXX59" s="41"/>
      <c r="BXY59" s="41"/>
      <c r="BXZ59" s="41"/>
      <c r="BYA59" s="76"/>
      <c r="BYB59" s="41"/>
      <c r="BYC59" s="41"/>
      <c r="BYD59" s="41"/>
      <c r="BYE59" s="41"/>
      <c r="BYF59" s="41"/>
      <c r="BYG59" s="139"/>
      <c r="BYH59" s="41"/>
      <c r="BYI59" s="41"/>
      <c r="BYJ59" s="41"/>
      <c r="BYK59" s="41"/>
      <c r="BYL59" s="41"/>
      <c r="BYM59" s="76"/>
      <c r="BYN59" s="66"/>
      <c r="BYO59" s="66"/>
      <c r="BYP59" s="66"/>
      <c r="BYQ59" s="66"/>
      <c r="BYR59" s="41"/>
      <c r="BYS59" s="139"/>
      <c r="BYT59" s="41"/>
      <c r="BYU59" s="41"/>
      <c r="BYV59" s="41"/>
      <c r="BYW59" s="41"/>
      <c r="BYX59" s="41"/>
      <c r="BYY59" s="76"/>
      <c r="BYZ59" s="41"/>
      <c r="BZA59" s="41"/>
      <c r="BZB59" s="41"/>
      <c r="BZC59" s="41"/>
      <c r="BZD59" s="41"/>
      <c r="BZE59" s="139"/>
      <c r="BZF59" s="41"/>
      <c r="BZG59" s="41"/>
      <c r="BZH59" s="41"/>
      <c r="BZI59" s="41"/>
      <c r="BZJ59" s="41"/>
      <c r="BZK59" s="76"/>
      <c r="BZL59" s="41"/>
      <c r="BZM59" s="41"/>
      <c r="BZN59" s="41"/>
      <c r="BZO59" s="41"/>
      <c r="BZP59" s="41"/>
      <c r="BZQ59" s="42"/>
      <c r="BZR59" s="40"/>
      <c r="BZS59" s="66"/>
      <c r="BZT59" s="66"/>
      <c r="BZU59" s="66"/>
      <c r="BZV59" s="41"/>
      <c r="BZW59" s="134"/>
      <c r="BZX59" s="41"/>
      <c r="BZY59" s="41"/>
      <c r="BZZ59" s="41"/>
      <c r="CAA59" s="41"/>
      <c r="CAB59" s="41"/>
      <c r="CAC59" s="139"/>
      <c r="CAD59" s="41"/>
      <c r="CAE59" s="41"/>
      <c r="CAF59" s="41"/>
      <c r="CAG59" s="41"/>
      <c r="CAH59" s="41"/>
      <c r="CAI59" s="76"/>
      <c r="CAJ59" s="41"/>
      <c r="CAK59" s="41"/>
      <c r="CAL59" s="41"/>
      <c r="CAM59" s="41"/>
      <c r="CAN59" s="41"/>
      <c r="CAO59" s="139"/>
      <c r="CAP59" s="41"/>
      <c r="CAQ59" s="41"/>
      <c r="CAR59" s="41"/>
      <c r="CAS59" s="41"/>
      <c r="CAT59" s="41"/>
      <c r="CAU59" s="76"/>
      <c r="CAV59" s="66"/>
      <c r="CAW59" s="66"/>
      <c r="CAX59" s="66"/>
      <c r="CAY59" s="66"/>
      <c r="CAZ59" s="41"/>
      <c r="CBA59" s="139"/>
      <c r="CBB59" s="41"/>
      <c r="CBC59" s="41"/>
      <c r="CBD59" s="41"/>
      <c r="CBE59" s="41"/>
      <c r="CBF59" s="41"/>
      <c r="CBG59" s="76"/>
      <c r="CBH59" s="41"/>
      <c r="CBI59" s="41"/>
      <c r="CBJ59" s="41"/>
      <c r="CBK59" s="41"/>
      <c r="CBL59" s="41"/>
      <c r="CBM59" s="139"/>
      <c r="CBN59" s="41"/>
      <c r="CBO59" s="41"/>
      <c r="CBP59" s="41"/>
      <c r="CBQ59" s="41"/>
      <c r="CBR59" s="41"/>
      <c r="CBS59" s="76"/>
      <c r="CBT59" s="41"/>
      <c r="CBU59" s="41"/>
      <c r="CBV59" s="41"/>
      <c r="CBW59" s="41"/>
      <c r="CBX59" s="41"/>
      <c r="CBY59" s="42"/>
      <c r="CBZ59" s="90"/>
    </row>
    <row r="60" spans="1:2106" ht="20.100000000000001" customHeight="1" x14ac:dyDescent="0.3">
      <c r="A60" s="100" t="s">
        <v>23</v>
      </c>
      <c r="B60" s="63"/>
      <c r="C60" s="171"/>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28"/>
      <c r="BLW60" s="67"/>
      <c r="BLX60" s="67"/>
      <c r="BLY60" s="67"/>
      <c r="BLZ60" s="29"/>
      <c r="BMA60" s="131"/>
      <c r="BMB60" s="29"/>
      <c r="BMC60" s="29"/>
      <c r="BMD60" s="29"/>
      <c r="BME60" s="29"/>
      <c r="BMF60" s="29"/>
      <c r="BMG60" s="136"/>
      <c r="BMH60" s="29"/>
      <c r="BMI60" s="29"/>
      <c r="BMJ60" s="29"/>
      <c r="BMK60" s="29"/>
      <c r="BML60" s="29"/>
      <c r="BMM60" s="73"/>
      <c r="BMN60" s="29"/>
      <c r="BMO60" s="29"/>
      <c r="BMP60" s="29"/>
      <c r="BMQ60" s="29"/>
      <c r="BMR60" s="29"/>
      <c r="BMS60" s="136"/>
      <c r="BMT60" s="29"/>
      <c r="BMU60" s="29"/>
      <c r="BMV60" s="29"/>
      <c r="BMW60" s="29"/>
      <c r="BMX60" s="29"/>
      <c r="BMY60" s="73"/>
      <c r="BMZ60" s="67"/>
      <c r="BNA60" s="67"/>
      <c r="BNB60" s="67"/>
      <c r="BNC60" s="67"/>
      <c r="BND60" s="29"/>
      <c r="BNE60" s="136"/>
      <c r="BNF60" s="29"/>
      <c r="BNG60" s="29"/>
      <c r="BNH60" s="29"/>
      <c r="BNI60" s="29"/>
      <c r="BNJ60" s="29"/>
      <c r="BNK60" s="73"/>
      <c r="BNL60" s="29"/>
      <c r="BNM60" s="29"/>
      <c r="BNN60" s="29"/>
      <c r="BNO60" s="29"/>
      <c r="BNP60" s="29"/>
      <c r="BNQ60" s="136"/>
      <c r="BNR60" s="29"/>
      <c r="BNS60" s="29"/>
      <c r="BNT60" s="29"/>
      <c r="BNU60" s="29"/>
      <c r="BNV60" s="29"/>
      <c r="BNW60" s="73"/>
      <c r="BNX60" s="29"/>
      <c r="BNY60" s="29"/>
      <c r="BNZ60" s="29"/>
      <c r="BOA60" s="29"/>
      <c r="BOB60" s="29"/>
      <c r="BOC60" s="30"/>
      <c r="BOD60" s="28"/>
      <c r="BOE60" s="67"/>
      <c r="BOF60" s="67"/>
      <c r="BOG60" s="67"/>
      <c r="BOH60" s="29"/>
      <c r="BOI60" s="131"/>
      <c r="BOJ60" s="29"/>
      <c r="BOK60" s="29"/>
      <c r="BOL60" s="29"/>
      <c r="BOM60" s="29"/>
      <c r="BON60" s="29"/>
      <c r="BOO60" s="136"/>
      <c r="BOP60" s="29"/>
      <c r="BOQ60" s="29"/>
      <c r="BOR60" s="29"/>
      <c r="BOS60" s="29"/>
      <c r="BOT60" s="29"/>
      <c r="BOU60" s="73"/>
      <c r="BOV60" s="29"/>
      <c r="BOW60" s="29"/>
      <c r="BOX60" s="29"/>
      <c r="BOY60" s="29"/>
      <c r="BOZ60" s="29"/>
      <c r="BPA60" s="136"/>
      <c r="BPB60" s="29"/>
      <c r="BPC60" s="29"/>
      <c r="BPD60" s="29"/>
      <c r="BPE60" s="29"/>
      <c r="BPF60" s="29"/>
      <c r="BPG60" s="73"/>
      <c r="BPH60" s="67"/>
      <c r="BPI60" s="67"/>
      <c r="BPJ60" s="67"/>
      <c r="BPK60" s="67"/>
      <c r="BPL60" s="29"/>
      <c r="BPM60" s="136"/>
      <c r="BPN60" s="29"/>
      <c r="BPO60" s="29"/>
      <c r="BPP60" s="29"/>
      <c r="BPQ60" s="29"/>
      <c r="BPR60" s="29"/>
      <c r="BPS60" s="73"/>
      <c r="BPT60" s="29"/>
      <c r="BPU60" s="29"/>
      <c r="BPV60" s="29"/>
      <c r="BPW60" s="29"/>
      <c r="BPX60" s="29"/>
      <c r="BPY60" s="136"/>
      <c r="BPZ60" s="29"/>
      <c r="BQA60" s="29"/>
      <c r="BQB60" s="29"/>
      <c r="BQC60" s="29"/>
      <c r="BQD60" s="29"/>
      <c r="BQE60" s="73"/>
      <c r="BQF60" s="29"/>
      <c r="BQG60" s="29"/>
      <c r="BQH60" s="29"/>
      <c r="BQI60" s="29"/>
      <c r="BQJ60" s="29"/>
      <c r="BQK60" s="30"/>
      <c r="BQL60" s="28"/>
      <c r="BQM60" s="67"/>
      <c r="BQN60" s="67"/>
      <c r="BQO60" s="67"/>
      <c r="BQP60" s="29"/>
      <c r="BQQ60" s="131"/>
      <c r="BQR60" s="29"/>
      <c r="BQS60" s="29"/>
      <c r="BQT60" s="29"/>
      <c r="BQU60" s="29"/>
      <c r="BQV60" s="29"/>
      <c r="BQW60" s="136"/>
      <c r="BQX60" s="29"/>
      <c r="BQY60" s="29"/>
      <c r="BQZ60" s="29"/>
      <c r="BRA60" s="29"/>
      <c r="BRB60" s="29"/>
      <c r="BRC60" s="73"/>
      <c r="BRD60" s="29"/>
      <c r="BRE60" s="29"/>
      <c r="BRF60" s="29"/>
      <c r="BRG60" s="29"/>
      <c r="BRH60" s="29"/>
      <c r="BRI60" s="136"/>
      <c r="BRJ60" s="29"/>
      <c r="BRK60" s="29"/>
      <c r="BRL60" s="29"/>
      <c r="BRM60" s="29"/>
      <c r="BRN60" s="29"/>
      <c r="BRO60" s="73"/>
      <c r="BRP60" s="67"/>
      <c r="BRQ60" s="67"/>
      <c r="BRR60" s="67"/>
      <c r="BRS60" s="67"/>
      <c r="BRT60" s="29"/>
      <c r="BRU60" s="136"/>
      <c r="BRV60" s="29"/>
      <c r="BRW60" s="29"/>
      <c r="BRX60" s="29"/>
      <c r="BRY60" s="29"/>
      <c r="BRZ60" s="29"/>
      <c r="BSA60" s="73"/>
      <c r="BSB60" s="29"/>
      <c r="BSC60" s="29"/>
      <c r="BSD60" s="29"/>
      <c r="BSE60" s="29"/>
      <c r="BSF60" s="29"/>
      <c r="BSG60" s="136"/>
      <c r="BSH60" s="29"/>
      <c r="BSI60" s="29"/>
      <c r="BSJ60" s="29"/>
      <c r="BSK60" s="29"/>
      <c r="BSL60" s="29"/>
      <c r="BSM60" s="73"/>
      <c r="BSN60" s="29"/>
      <c r="BSO60" s="29"/>
      <c r="BSP60" s="29"/>
      <c r="BSQ60" s="29"/>
      <c r="BSR60" s="29"/>
      <c r="BSS60" s="30"/>
      <c r="BST60" s="28"/>
      <c r="BSU60" s="67"/>
      <c r="BSV60" s="67"/>
      <c r="BSW60" s="67"/>
      <c r="BSX60" s="29"/>
      <c r="BSY60" s="131"/>
      <c r="BSZ60" s="29"/>
      <c r="BTA60" s="29"/>
      <c r="BTB60" s="29"/>
      <c r="BTC60" s="29"/>
      <c r="BTD60" s="29"/>
      <c r="BTE60" s="136"/>
      <c r="BTF60" s="29"/>
      <c r="BTG60" s="29"/>
      <c r="BTH60" s="29"/>
      <c r="BTI60" s="29"/>
      <c r="BTJ60" s="29"/>
      <c r="BTK60" s="73"/>
      <c r="BTL60" s="29"/>
      <c r="BTM60" s="29"/>
      <c r="BTN60" s="29"/>
      <c r="BTO60" s="29"/>
      <c r="BTP60" s="29"/>
      <c r="BTQ60" s="136"/>
      <c r="BTR60" s="29"/>
      <c r="BTS60" s="29"/>
      <c r="BTT60" s="29"/>
      <c r="BTU60" s="29"/>
      <c r="BTV60" s="29"/>
      <c r="BTW60" s="73"/>
      <c r="BTX60" s="67"/>
      <c r="BTY60" s="67"/>
      <c r="BTZ60" s="67"/>
      <c r="BUA60" s="67"/>
      <c r="BUB60" s="29"/>
      <c r="BUC60" s="136"/>
      <c r="BUD60" s="29"/>
      <c r="BUE60" s="29"/>
      <c r="BUF60" s="29"/>
      <c r="BUG60" s="29"/>
      <c r="BUH60" s="29"/>
      <c r="BUI60" s="73"/>
      <c r="BUJ60" s="29"/>
      <c r="BUK60" s="29"/>
      <c r="BUL60" s="29"/>
      <c r="BUM60" s="29"/>
      <c r="BUN60" s="29"/>
      <c r="BUO60" s="136"/>
      <c r="BUP60" s="29"/>
      <c r="BUQ60" s="29"/>
      <c r="BUR60" s="29"/>
      <c r="BUS60" s="29"/>
      <c r="BUT60" s="29"/>
      <c r="BUU60" s="73"/>
      <c r="BUV60" s="29"/>
      <c r="BUW60" s="29"/>
      <c r="BUX60" s="29"/>
      <c r="BUY60" s="29"/>
      <c r="BUZ60" s="29"/>
      <c r="BVA60" s="30"/>
      <c r="BVB60" s="28"/>
      <c r="BVC60" s="67"/>
      <c r="BVD60" s="67"/>
      <c r="BVE60" s="67"/>
      <c r="BVF60" s="29"/>
      <c r="BVG60" s="131"/>
      <c r="BVH60" s="29"/>
      <c r="BVI60" s="29"/>
      <c r="BVJ60" s="29"/>
      <c r="BVK60" s="29"/>
      <c r="BVL60" s="29"/>
      <c r="BVM60" s="136"/>
      <c r="BVN60" s="29"/>
      <c r="BVO60" s="29"/>
      <c r="BVP60" s="29"/>
      <c r="BVQ60" s="29"/>
      <c r="BVR60" s="29"/>
      <c r="BVS60" s="73"/>
      <c r="BVT60" s="29"/>
      <c r="BVU60" s="29"/>
      <c r="BVV60" s="29"/>
      <c r="BVW60" s="29"/>
      <c r="BVX60" s="29"/>
      <c r="BVY60" s="136"/>
      <c r="BVZ60" s="29"/>
      <c r="BWA60" s="29"/>
      <c r="BWB60" s="29"/>
      <c r="BWC60" s="29"/>
      <c r="BWD60" s="29"/>
      <c r="BWE60" s="73"/>
      <c r="BWF60" s="67"/>
      <c r="BWG60" s="67"/>
      <c r="BWH60" s="67"/>
      <c r="BWI60" s="67"/>
      <c r="BWJ60" s="29"/>
      <c r="BWK60" s="136"/>
      <c r="BWL60" s="29"/>
      <c r="BWM60" s="29"/>
      <c r="BWN60" s="29"/>
      <c r="BWO60" s="29"/>
      <c r="BWP60" s="29"/>
      <c r="BWQ60" s="73"/>
      <c r="BWR60" s="29"/>
      <c r="BWS60" s="29"/>
      <c r="BWT60" s="29"/>
      <c r="BWU60" s="29"/>
      <c r="BWV60" s="29"/>
      <c r="BWW60" s="136"/>
      <c r="BWX60" s="29"/>
      <c r="BWY60" s="29"/>
      <c r="BWZ60" s="29"/>
      <c r="BXA60" s="29"/>
      <c r="BXB60" s="29"/>
      <c r="BXC60" s="73"/>
      <c r="BXD60" s="29"/>
      <c r="BXE60" s="29"/>
      <c r="BXF60" s="29"/>
      <c r="BXG60" s="29"/>
      <c r="BXH60" s="29"/>
      <c r="BXI60" s="30"/>
      <c r="BXJ60" s="28"/>
      <c r="BXK60" s="67"/>
      <c r="BXL60" s="67"/>
      <c r="BXM60" s="67"/>
      <c r="BXN60" s="29"/>
      <c r="BXO60" s="131"/>
      <c r="BXP60" s="29"/>
      <c r="BXQ60" s="29"/>
      <c r="BXR60" s="29"/>
      <c r="BXS60" s="29"/>
      <c r="BXT60" s="29"/>
      <c r="BXU60" s="136"/>
      <c r="BXV60" s="29"/>
      <c r="BXW60" s="29"/>
      <c r="BXX60" s="29"/>
      <c r="BXY60" s="29"/>
      <c r="BXZ60" s="29"/>
      <c r="BYA60" s="73"/>
      <c r="BYB60" s="29"/>
      <c r="BYC60" s="29"/>
      <c r="BYD60" s="29"/>
      <c r="BYE60" s="29"/>
      <c r="BYF60" s="29"/>
      <c r="BYG60" s="136"/>
      <c r="BYH60" s="29"/>
      <c r="BYI60" s="29"/>
      <c r="BYJ60" s="29"/>
      <c r="BYK60" s="29"/>
      <c r="BYL60" s="29"/>
      <c r="BYM60" s="73"/>
      <c r="BYN60" s="67"/>
      <c r="BYO60" s="67"/>
      <c r="BYP60" s="67"/>
      <c r="BYQ60" s="67"/>
      <c r="BYR60" s="29"/>
      <c r="BYS60" s="136"/>
      <c r="BYT60" s="29"/>
      <c r="BYU60" s="29"/>
      <c r="BYV60" s="29"/>
      <c r="BYW60" s="29"/>
      <c r="BYX60" s="29"/>
      <c r="BYY60" s="73"/>
      <c r="BYZ60" s="29"/>
      <c r="BZA60" s="29"/>
      <c r="BZB60" s="29"/>
      <c r="BZC60" s="29"/>
      <c r="BZD60" s="29"/>
      <c r="BZE60" s="136"/>
      <c r="BZF60" s="29"/>
      <c r="BZG60" s="29"/>
      <c r="BZH60" s="29"/>
      <c r="BZI60" s="29"/>
      <c r="BZJ60" s="29"/>
      <c r="BZK60" s="73"/>
      <c r="BZL60" s="29"/>
      <c r="BZM60" s="29"/>
      <c r="BZN60" s="29"/>
      <c r="BZO60" s="29"/>
      <c r="BZP60" s="29"/>
      <c r="BZQ60" s="30"/>
      <c r="BZR60" s="28"/>
      <c r="BZS60" s="67"/>
      <c r="BZT60" s="67"/>
      <c r="BZU60" s="67"/>
      <c r="BZV60" s="29"/>
      <c r="BZW60" s="131"/>
      <c r="BZX60" s="29"/>
      <c r="BZY60" s="29"/>
      <c r="BZZ60" s="29"/>
      <c r="CAA60" s="29"/>
      <c r="CAB60" s="29"/>
      <c r="CAC60" s="136"/>
      <c r="CAD60" s="29"/>
      <c r="CAE60" s="29"/>
      <c r="CAF60" s="29"/>
      <c r="CAG60" s="29"/>
      <c r="CAH60" s="29"/>
      <c r="CAI60" s="73"/>
      <c r="CAJ60" s="29"/>
      <c r="CAK60" s="29"/>
      <c r="CAL60" s="29"/>
      <c r="CAM60" s="29"/>
      <c r="CAN60" s="29"/>
      <c r="CAO60" s="136"/>
      <c r="CAP60" s="29"/>
      <c r="CAQ60" s="29"/>
      <c r="CAR60" s="29"/>
      <c r="CAS60" s="29"/>
      <c r="CAT60" s="29"/>
      <c r="CAU60" s="73"/>
      <c r="CAV60" s="67"/>
      <c r="CAW60" s="67"/>
      <c r="CAX60" s="67"/>
      <c r="CAY60" s="67"/>
      <c r="CAZ60" s="29"/>
      <c r="CBA60" s="136"/>
      <c r="CBB60" s="29"/>
      <c r="CBC60" s="29"/>
      <c r="CBD60" s="29"/>
      <c r="CBE60" s="29"/>
      <c r="CBF60" s="29"/>
      <c r="CBG60" s="73"/>
      <c r="CBH60" s="29"/>
      <c r="CBI60" s="29"/>
      <c r="CBJ60" s="29"/>
      <c r="CBK60" s="29"/>
      <c r="CBL60" s="29"/>
      <c r="CBM60" s="136"/>
      <c r="CBN60" s="29"/>
      <c r="CBO60" s="29"/>
      <c r="CBP60" s="29"/>
      <c r="CBQ60" s="29"/>
      <c r="CBR60" s="29"/>
      <c r="CBS60" s="73"/>
      <c r="CBT60" s="29"/>
      <c r="CBU60" s="29"/>
      <c r="CBV60" s="29"/>
      <c r="CBW60" s="29"/>
      <c r="CBX60" s="29"/>
      <c r="CBY60" s="30"/>
      <c r="CBZ60" s="90"/>
    </row>
    <row r="61" spans="1:2106" ht="20.100000000000001" customHeight="1" x14ac:dyDescent="0.25">
      <c r="A61" s="100" t="s">
        <v>22</v>
      </c>
      <c r="B61" s="63"/>
      <c r="C61" s="170"/>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32"/>
      <c r="BLW61" s="64"/>
      <c r="BLX61" s="64"/>
      <c r="BLY61" s="64"/>
      <c r="BLZ61" s="33"/>
      <c r="BMA61" s="132"/>
      <c r="BMB61" s="33"/>
      <c r="BMC61" s="33"/>
      <c r="BMD61" s="33"/>
      <c r="BME61" s="33"/>
      <c r="BMF61" s="33"/>
      <c r="BMG61" s="137"/>
      <c r="BMH61" s="33"/>
      <c r="BMI61" s="33"/>
      <c r="BMJ61" s="33"/>
      <c r="BMK61" s="33"/>
      <c r="BML61" s="33"/>
      <c r="BMM61" s="74"/>
      <c r="BMN61" s="33"/>
      <c r="BMO61" s="33"/>
      <c r="BMP61" s="33"/>
      <c r="BMQ61" s="33"/>
      <c r="BMR61" s="33"/>
      <c r="BMS61" s="137"/>
      <c r="BMT61" s="33"/>
      <c r="BMU61" s="33"/>
      <c r="BMV61" s="33"/>
      <c r="BMW61" s="33"/>
      <c r="BMX61" s="33"/>
      <c r="BMY61" s="74"/>
      <c r="BMZ61" s="64"/>
      <c r="BNA61" s="64"/>
      <c r="BNB61" s="64"/>
      <c r="BNC61" s="64"/>
      <c r="BND61" s="33"/>
      <c r="BNE61" s="137"/>
      <c r="BNF61" s="33"/>
      <c r="BNG61" s="33"/>
      <c r="BNH61" s="33"/>
      <c r="BNI61" s="33"/>
      <c r="BNJ61" s="33"/>
      <c r="BNK61" s="74"/>
      <c r="BNL61" s="33"/>
      <c r="BNM61" s="33"/>
      <c r="BNN61" s="33"/>
      <c r="BNO61" s="33"/>
      <c r="BNP61" s="33"/>
      <c r="BNQ61" s="137"/>
      <c r="BNR61" s="33"/>
      <c r="BNS61" s="33"/>
      <c r="BNT61" s="33"/>
      <c r="BNU61" s="33"/>
      <c r="BNV61" s="33"/>
      <c r="BNW61" s="74"/>
      <c r="BNX61" s="33"/>
      <c r="BNY61" s="33"/>
      <c r="BNZ61" s="33"/>
      <c r="BOA61" s="33"/>
      <c r="BOB61" s="33"/>
      <c r="BOC61" s="34"/>
      <c r="BOD61" s="32"/>
      <c r="BOE61" s="64"/>
      <c r="BOF61" s="64"/>
      <c r="BOG61" s="64"/>
      <c r="BOH61" s="33"/>
      <c r="BOI61" s="132"/>
      <c r="BOJ61" s="33"/>
      <c r="BOK61" s="33"/>
      <c r="BOL61" s="33"/>
      <c r="BOM61" s="33"/>
      <c r="BON61" s="33"/>
      <c r="BOO61" s="137"/>
      <c r="BOP61" s="33"/>
      <c r="BOQ61" s="33"/>
      <c r="BOR61" s="33"/>
      <c r="BOS61" s="33"/>
      <c r="BOT61" s="33"/>
      <c r="BOU61" s="74"/>
      <c r="BOV61" s="33"/>
      <c r="BOW61" s="33"/>
      <c r="BOX61" s="33"/>
      <c r="BOY61" s="33"/>
      <c r="BOZ61" s="33"/>
      <c r="BPA61" s="137"/>
      <c r="BPB61" s="33"/>
      <c r="BPC61" s="33"/>
      <c r="BPD61" s="33"/>
      <c r="BPE61" s="33"/>
      <c r="BPF61" s="33"/>
      <c r="BPG61" s="74"/>
      <c r="BPH61" s="64"/>
      <c r="BPI61" s="64"/>
      <c r="BPJ61" s="64"/>
      <c r="BPK61" s="64"/>
      <c r="BPL61" s="33"/>
      <c r="BPM61" s="137"/>
      <c r="BPN61" s="33"/>
      <c r="BPO61" s="33"/>
      <c r="BPP61" s="33"/>
      <c r="BPQ61" s="33"/>
      <c r="BPR61" s="33"/>
      <c r="BPS61" s="74"/>
      <c r="BPT61" s="33"/>
      <c r="BPU61" s="33"/>
      <c r="BPV61" s="33"/>
      <c r="BPW61" s="33"/>
      <c r="BPX61" s="33"/>
      <c r="BPY61" s="137"/>
      <c r="BPZ61" s="33"/>
      <c r="BQA61" s="33"/>
      <c r="BQB61" s="33"/>
      <c r="BQC61" s="33"/>
      <c r="BQD61" s="33"/>
      <c r="BQE61" s="74"/>
      <c r="BQF61" s="33"/>
      <c r="BQG61" s="33"/>
      <c r="BQH61" s="33"/>
      <c r="BQI61" s="33"/>
      <c r="BQJ61" s="33"/>
      <c r="BQK61" s="34"/>
      <c r="BQL61" s="32"/>
      <c r="BQM61" s="64"/>
      <c r="BQN61" s="64"/>
      <c r="BQO61" s="64"/>
      <c r="BQP61" s="33"/>
      <c r="BQQ61" s="132"/>
      <c r="BQR61" s="33"/>
      <c r="BQS61" s="33"/>
      <c r="BQT61" s="33"/>
      <c r="BQU61" s="33"/>
      <c r="BQV61" s="33"/>
      <c r="BQW61" s="137"/>
      <c r="BQX61" s="33"/>
      <c r="BQY61" s="33"/>
      <c r="BQZ61" s="33"/>
      <c r="BRA61" s="33"/>
      <c r="BRB61" s="33"/>
      <c r="BRC61" s="74"/>
      <c r="BRD61" s="33"/>
      <c r="BRE61" s="33"/>
      <c r="BRF61" s="33"/>
      <c r="BRG61" s="33"/>
      <c r="BRH61" s="33"/>
      <c r="BRI61" s="137"/>
      <c r="BRJ61" s="33"/>
      <c r="BRK61" s="33"/>
      <c r="BRL61" s="33"/>
      <c r="BRM61" s="33"/>
      <c r="BRN61" s="33"/>
      <c r="BRO61" s="74"/>
      <c r="BRP61" s="64"/>
      <c r="BRQ61" s="64"/>
      <c r="BRR61" s="64"/>
      <c r="BRS61" s="64"/>
      <c r="BRT61" s="33"/>
      <c r="BRU61" s="137"/>
      <c r="BRV61" s="33"/>
      <c r="BRW61" s="33"/>
      <c r="BRX61" s="33"/>
      <c r="BRY61" s="33"/>
      <c r="BRZ61" s="33"/>
      <c r="BSA61" s="74"/>
      <c r="BSB61" s="33"/>
      <c r="BSC61" s="33"/>
      <c r="BSD61" s="33"/>
      <c r="BSE61" s="33"/>
      <c r="BSF61" s="33"/>
      <c r="BSG61" s="137"/>
      <c r="BSH61" s="33"/>
      <c r="BSI61" s="33"/>
      <c r="BSJ61" s="33"/>
      <c r="BSK61" s="33"/>
      <c r="BSL61" s="33"/>
      <c r="BSM61" s="74"/>
      <c r="BSN61" s="33"/>
      <c r="BSO61" s="33"/>
      <c r="BSP61" s="33"/>
      <c r="BSQ61" s="33"/>
      <c r="BSR61" s="33"/>
      <c r="BSS61" s="34"/>
      <c r="BST61" s="32"/>
      <c r="BSU61" s="64"/>
      <c r="BSV61" s="64"/>
      <c r="BSW61" s="64"/>
      <c r="BSX61" s="33"/>
      <c r="BSY61" s="132"/>
      <c r="BSZ61" s="33"/>
      <c r="BTA61" s="33"/>
      <c r="BTB61" s="33"/>
      <c r="BTC61" s="33"/>
      <c r="BTD61" s="33"/>
      <c r="BTE61" s="137"/>
      <c r="BTF61" s="33"/>
      <c r="BTG61" s="33"/>
      <c r="BTH61" s="33"/>
      <c r="BTI61" s="33"/>
      <c r="BTJ61" s="33"/>
      <c r="BTK61" s="74"/>
      <c r="BTL61" s="33"/>
      <c r="BTM61" s="33"/>
      <c r="BTN61" s="33"/>
      <c r="BTO61" s="33"/>
      <c r="BTP61" s="33"/>
      <c r="BTQ61" s="137"/>
      <c r="BTR61" s="33"/>
      <c r="BTS61" s="33"/>
      <c r="BTT61" s="33"/>
      <c r="BTU61" s="33"/>
      <c r="BTV61" s="33"/>
      <c r="BTW61" s="74"/>
      <c r="BTX61" s="64"/>
      <c r="BTY61" s="64"/>
      <c r="BTZ61" s="64"/>
      <c r="BUA61" s="64"/>
      <c r="BUB61" s="33"/>
      <c r="BUC61" s="137"/>
      <c r="BUD61" s="33"/>
      <c r="BUE61" s="33"/>
      <c r="BUF61" s="33"/>
      <c r="BUG61" s="33"/>
      <c r="BUH61" s="33"/>
      <c r="BUI61" s="74"/>
      <c r="BUJ61" s="33"/>
      <c r="BUK61" s="33"/>
      <c r="BUL61" s="33"/>
      <c r="BUM61" s="33"/>
      <c r="BUN61" s="33"/>
      <c r="BUO61" s="137"/>
      <c r="BUP61" s="33"/>
      <c r="BUQ61" s="33"/>
      <c r="BUR61" s="33"/>
      <c r="BUS61" s="33"/>
      <c r="BUT61" s="33"/>
      <c r="BUU61" s="74"/>
      <c r="BUV61" s="33"/>
      <c r="BUW61" s="33"/>
      <c r="BUX61" s="33"/>
      <c r="BUY61" s="33"/>
      <c r="BUZ61" s="33"/>
      <c r="BVA61" s="34"/>
      <c r="BVB61" s="32"/>
      <c r="BVC61" s="64"/>
      <c r="BVD61" s="64"/>
      <c r="BVE61" s="64"/>
      <c r="BVF61" s="33"/>
      <c r="BVG61" s="132"/>
      <c r="BVH61" s="33"/>
      <c r="BVI61" s="33"/>
      <c r="BVJ61" s="33"/>
      <c r="BVK61" s="33"/>
      <c r="BVL61" s="33"/>
      <c r="BVM61" s="137"/>
      <c r="BVN61" s="33"/>
      <c r="BVO61" s="33"/>
      <c r="BVP61" s="33"/>
      <c r="BVQ61" s="33"/>
      <c r="BVR61" s="33"/>
      <c r="BVS61" s="74"/>
      <c r="BVT61" s="33"/>
      <c r="BVU61" s="33"/>
      <c r="BVV61" s="33"/>
      <c r="BVW61" s="33"/>
      <c r="BVX61" s="33"/>
      <c r="BVY61" s="137"/>
      <c r="BVZ61" s="33"/>
      <c r="BWA61" s="33"/>
      <c r="BWB61" s="33"/>
      <c r="BWC61" s="33"/>
      <c r="BWD61" s="33"/>
      <c r="BWE61" s="74"/>
      <c r="BWF61" s="64"/>
      <c r="BWG61" s="64"/>
      <c r="BWH61" s="64"/>
      <c r="BWI61" s="64"/>
      <c r="BWJ61" s="33"/>
      <c r="BWK61" s="137"/>
      <c r="BWL61" s="33"/>
      <c r="BWM61" s="33"/>
      <c r="BWN61" s="33"/>
      <c r="BWO61" s="33"/>
      <c r="BWP61" s="33"/>
      <c r="BWQ61" s="74"/>
      <c r="BWR61" s="33"/>
      <c r="BWS61" s="33"/>
      <c r="BWT61" s="33"/>
      <c r="BWU61" s="33"/>
      <c r="BWV61" s="33"/>
      <c r="BWW61" s="137"/>
      <c r="BWX61" s="33"/>
      <c r="BWY61" s="33"/>
      <c r="BWZ61" s="33"/>
      <c r="BXA61" s="33"/>
      <c r="BXB61" s="33"/>
      <c r="BXC61" s="74"/>
      <c r="BXD61" s="33"/>
      <c r="BXE61" s="33"/>
      <c r="BXF61" s="33"/>
      <c r="BXG61" s="33"/>
      <c r="BXH61" s="33"/>
      <c r="BXI61" s="34"/>
      <c r="BXJ61" s="32"/>
      <c r="BXK61" s="64"/>
      <c r="BXL61" s="64"/>
      <c r="BXM61" s="64"/>
      <c r="BXN61" s="33"/>
      <c r="BXO61" s="132"/>
      <c r="BXP61" s="33"/>
      <c r="BXQ61" s="33"/>
      <c r="BXR61" s="33"/>
      <c r="BXS61" s="33"/>
      <c r="BXT61" s="33"/>
      <c r="BXU61" s="137"/>
      <c r="BXV61" s="33"/>
      <c r="BXW61" s="33"/>
      <c r="BXX61" s="33"/>
      <c r="BXY61" s="33"/>
      <c r="BXZ61" s="33"/>
      <c r="BYA61" s="74"/>
      <c r="BYB61" s="33"/>
      <c r="BYC61" s="33"/>
      <c r="BYD61" s="33"/>
      <c r="BYE61" s="33"/>
      <c r="BYF61" s="33"/>
      <c r="BYG61" s="137"/>
      <c r="BYH61" s="33"/>
      <c r="BYI61" s="33"/>
      <c r="BYJ61" s="33"/>
      <c r="BYK61" s="33"/>
      <c r="BYL61" s="33"/>
      <c r="BYM61" s="74"/>
      <c r="BYN61" s="64"/>
      <c r="BYO61" s="64"/>
      <c r="BYP61" s="64"/>
      <c r="BYQ61" s="64"/>
      <c r="BYR61" s="33"/>
      <c r="BYS61" s="137"/>
      <c r="BYT61" s="33"/>
      <c r="BYU61" s="33"/>
      <c r="BYV61" s="33"/>
      <c r="BYW61" s="33"/>
      <c r="BYX61" s="33"/>
      <c r="BYY61" s="74"/>
      <c r="BYZ61" s="33"/>
      <c r="BZA61" s="33"/>
      <c r="BZB61" s="33"/>
      <c r="BZC61" s="33"/>
      <c r="BZD61" s="33"/>
      <c r="BZE61" s="137"/>
      <c r="BZF61" s="33"/>
      <c r="BZG61" s="33"/>
      <c r="BZH61" s="33"/>
      <c r="BZI61" s="33"/>
      <c r="BZJ61" s="33"/>
      <c r="BZK61" s="74"/>
      <c r="BZL61" s="33"/>
      <c r="BZM61" s="33"/>
      <c r="BZN61" s="33"/>
      <c r="BZO61" s="33"/>
      <c r="BZP61" s="33"/>
      <c r="BZQ61" s="34"/>
      <c r="BZR61" s="32"/>
      <c r="BZS61" s="64"/>
      <c r="BZT61" s="64"/>
      <c r="BZU61" s="64"/>
      <c r="BZV61" s="33"/>
      <c r="BZW61" s="132"/>
      <c r="BZX61" s="33"/>
      <c r="BZY61" s="33"/>
      <c r="BZZ61" s="33"/>
      <c r="CAA61" s="33"/>
      <c r="CAB61" s="33"/>
      <c r="CAC61" s="137"/>
      <c r="CAD61" s="33"/>
      <c r="CAE61" s="33"/>
      <c r="CAF61" s="33"/>
      <c r="CAG61" s="33"/>
      <c r="CAH61" s="33"/>
      <c r="CAI61" s="74"/>
      <c r="CAJ61" s="33"/>
      <c r="CAK61" s="33"/>
      <c r="CAL61" s="33"/>
      <c r="CAM61" s="33"/>
      <c r="CAN61" s="33"/>
      <c r="CAO61" s="137"/>
      <c r="CAP61" s="33"/>
      <c r="CAQ61" s="33"/>
      <c r="CAR61" s="33"/>
      <c r="CAS61" s="33"/>
      <c r="CAT61" s="33"/>
      <c r="CAU61" s="74"/>
      <c r="CAV61" s="64"/>
      <c r="CAW61" s="64"/>
      <c r="CAX61" s="64"/>
      <c r="CAY61" s="64"/>
      <c r="CAZ61" s="33"/>
      <c r="CBA61" s="137"/>
      <c r="CBB61" s="33"/>
      <c r="CBC61" s="33"/>
      <c r="CBD61" s="33"/>
      <c r="CBE61" s="33"/>
      <c r="CBF61" s="33"/>
      <c r="CBG61" s="74"/>
      <c r="CBH61" s="33"/>
      <c r="CBI61" s="33"/>
      <c r="CBJ61" s="33"/>
      <c r="CBK61" s="33"/>
      <c r="CBL61" s="33"/>
      <c r="CBM61" s="137"/>
      <c r="CBN61" s="33"/>
      <c r="CBO61" s="33"/>
      <c r="CBP61" s="33"/>
      <c r="CBQ61" s="33"/>
      <c r="CBR61" s="33"/>
      <c r="CBS61" s="74"/>
      <c r="CBT61" s="33"/>
      <c r="CBU61" s="33"/>
      <c r="CBV61" s="33"/>
      <c r="CBW61" s="33"/>
      <c r="CBX61" s="33"/>
      <c r="CBY61" s="34"/>
      <c r="CBZ61" s="90"/>
    </row>
    <row r="62" spans="1:2106" ht="20.100000000000001" customHeight="1" x14ac:dyDescent="0.25">
      <c r="A62" s="100" t="s">
        <v>23</v>
      </c>
      <c r="B62" s="63"/>
      <c r="C62" s="172"/>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36"/>
      <c r="BLW62" s="65"/>
      <c r="BLX62" s="65"/>
      <c r="BLY62" s="65"/>
      <c r="BLZ62" s="37"/>
      <c r="BMA62" s="133"/>
      <c r="BMB62" s="37"/>
      <c r="BMC62" s="37"/>
      <c r="BMD62" s="37"/>
      <c r="BME62" s="37"/>
      <c r="BMF62" s="37"/>
      <c r="BMG62" s="138"/>
      <c r="BMH62" s="37"/>
      <c r="BMI62" s="37"/>
      <c r="BMJ62" s="37"/>
      <c r="BMK62" s="37"/>
      <c r="BML62" s="37"/>
      <c r="BMM62" s="75"/>
      <c r="BMN62" s="37"/>
      <c r="BMO62" s="37"/>
      <c r="BMP62" s="37"/>
      <c r="BMQ62" s="37"/>
      <c r="BMR62" s="37"/>
      <c r="BMS62" s="138"/>
      <c r="BMT62" s="37"/>
      <c r="BMU62" s="37"/>
      <c r="BMV62" s="37"/>
      <c r="BMW62" s="37"/>
      <c r="BMX62" s="37"/>
      <c r="BMY62" s="75"/>
      <c r="BMZ62" s="65"/>
      <c r="BNA62" s="65"/>
      <c r="BNB62" s="65"/>
      <c r="BNC62" s="65"/>
      <c r="BND62" s="37"/>
      <c r="BNE62" s="138"/>
      <c r="BNF62" s="37"/>
      <c r="BNG62" s="37"/>
      <c r="BNH62" s="37"/>
      <c r="BNI62" s="37"/>
      <c r="BNJ62" s="37"/>
      <c r="BNK62" s="75"/>
      <c r="BNL62" s="37"/>
      <c r="BNM62" s="37"/>
      <c r="BNN62" s="37"/>
      <c r="BNO62" s="37"/>
      <c r="BNP62" s="37"/>
      <c r="BNQ62" s="138"/>
      <c r="BNR62" s="37"/>
      <c r="BNS62" s="37"/>
      <c r="BNT62" s="37"/>
      <c r="BNU62" s="37"/>
      <c r="BNV62" s="37"/>
      <c r="BNW62" s="75"/>
      <c r="BNX62" s="37"/>
      <c r="BNY62" s="37"/>
      <c r="BNZ62" s="37"/>
      <c r="BOA62" s="37"/>
      <c r="BOB62" s="37"/>
      <c r="BOC62" s="38"/>
      <c r="BOD62" s="36"/>
      <c r="BOE62" s="65"/>
      <c r="BOF62" s="65"/>
      <c r="BOG62" s="65"/>
      <c r="BOH62" s="37"/>
      <c r="BOI62" s="133"/>
      <c r="BOJ62" s="37"/>
      <c r="BOK62" s="37"/>
      <c r="BOL62" s="37"/>
      <c r="BOM62" s="37"/>
      <c r="BON62" s="37"/>
      <c r="BOO62" s="138"/>
      <c r="BOP62" s="37"/>
      <c r="BOQ62" s="37"/>
      <c r="BOR62" s="37"/>
      <c r="BOS62" s="37"/>
      <c r="BOT62" s="37"/>
      <c r="BOU62" s="75"/>
      <c r="BOV62" s="37"/>
      <c r="BOW62" s="37"/>
      <c r="BOX62" s="37"/>
      <c r="BOY62" s="37"/>
      <c r="BOZ62" s="37"/>
      <c r="BPA62" s="138"/>
      <c r="BPB62" s="37"/>
      <c r="BPC62" s="37"/>
      <c r="BPD62" s="37"/>
      <c r="BPE62" s="37"/>
      <c r="BPF62" s="37"/>
      <c r="BPG62" s="75"/>
      <c r="BPH62" s="65"/>
      <c r="BPI62" s="65"/>
      <c r="BPJ62" s="65"/>
      <c r="BPK62" s="65"/>
      <c r="BPL62" s="37"/>
      <c r="BPM62" s="138"/>
      <c r="BPN62" s="37"/>
      <c r="BPO62" s="37"/>
      <c r="BPP62" s="37"/>
      <c r="BPQ62" s="37"/>
      <c r="BPR62" s="37"/>
      <c r="BPS62" s="75"/>
      <c r="BPT62" s="37"/>
      <c r="BPU62" s="37"/>
      <c r="BPV62" s="37"/>
      <c r="BPW62" s="37"/>
      <c r="BPX62" s="37"/>
      <c r="BPY62" s="138"/>
      <c r="BPZ62" s="37"/>
      <c r="BQA62" s="37"/>
      <c r="BQB62" s="37"/>
      <c r="BQC62" s="37"/>
      <c r="BQD62" s="37"/>
      <c r="BQE62" s="75"/>
      <c r="BQF62" s="37"/>
      <c r="BQG62" s="37"/>
      <c r="BQH62" s="37"/>
      <c r="BQI62" s="37"/>
      <c r="BQJ62" s="37"/>
      <c r="BQK62" s="38"/>
      <c r="BQL62" s="36"/>
      <c r="BQM62" s="65"/>
      <c r="BQN62" s="65"/>
      <c r="BQO62" s="65"/>
      <c r="BQP62" s="37"/>
      <c r="BQQ62" s="133"/>
      <c r="BQR62" s="37"/>
      <c r="BQS62" s="37"/>
      <c r="BQT62" s="37"/>
      <c r="BQU62" s="37"/>
      <c r="BQV62" s="37"/>
      <c r="BQW62" s="138"/>
      <c r="BQX62" s="37"/>
      <c r="BQY62" s="37"/>
      <c r="BQZ62" s="37"/>
      <c r="BRA62" s="37"/>
      <c r="BRB62" s="37"/>
      <c r="BRC62" s="75"/>
      <c r="BRD62" s="37"/>
      <c r="BRE62" s="37"/>
      <c r="BRF62" s="37"/>
      <c r="BRG62" s="37"/>
      <c r="BRH62" s="37"/>
      <c r="BRI62" s="138"/>
      <c r="BRJ62" s="37"/>
      <c r="BRK62" s="37"/>
      <c r="BRL62" s="37"/>
      <c r="BRM62" s="37"/>
      <c r="BRN62" s="37"/>
      <c r="BRO62" s="75"/>
      <c r="BRP62" s="65"/>
      <c r="BRQ62" s="65"/>
      <c r="BRR62" s="65"/>
      <c r="BRS62" s="65"/>
      <c r="BRT62" s="37"/>
      <c r="BRU62" s="138"/>
      <c r="BRV62" s="37"/>
      <c r="BRW62" s="37"/>
      <c r="BRX62" s="37"/>
      <c r="BRY62" s="37"/>
      <c r="BRZ62" s="37"/>
      <c r="BSA62" s="75"/>
      <c r="BSB62" s="37"/>
      <c r="BSC62" s="37"/>
      <c r="BSD62" s="37"/>
      <c r="BSE62" s="37"/>
      <c r="BSF62" s="37"/>
      <c r="BSG62" s="138"/>
      <c r="BSH62" s="37"/>
      <c r="BSI62" s="37"/>
      <c r="BSJ62" s="37"/>
      <c r="BSK62" s="37"/>
      <c r="BSL62" s="37"/>
      <c r="BSM62" s="75"/>
      <c r="BSN62" s="37"/>
      <c r="BSO62" s="37"/>
      <c r="BSP62" s="37"/>
      <c r="BSQ62" s="37"/>
      <c r="BSR62" s="37"/>
      <c r="BSS62" s="38"/>
      <c r="BST62" s="36"/>
      <c r="BSU62" s="65"/>
      <c r="BSV62" s="65"/>
      <c r="BSW62" s="65"/>
      <c r="BSX62" s="37"/>
      <c r="BSY62" s="133"/>
      <c r="BSZ62" s="37"/>
      <c r="BTA62" s="37"/>
      <c r="BTB62" s="37"/>
      <c r="BTC62" s="37"/>
      <c r="BTD62" s="37"/>
      <c r="BTE62" s="138"/>
      <c r="BTF62" s="37"/>
      <c r="BTG62" s="37"/>
      <c r="BTH62" s="37"/>
      <c r="BTI62" s="37"/>
      <c r="BTJ62" s="37"/>
      <c r="BTK62" s="75"/>
      <c r="BTL62" s="37"/>
      <c r="BTM62" s="37"/>
      <c r="BTN62" s="37"/>
      <c r="BTO62" s="37"/>
      <c r="BTP62" s="37"/>
      <c r="BTQ62" s="138"/>
      <c r="BTR62" s="37"/>
      <c r="BTS62" s="37"/>
      <c r="BTT62" s="37"/>
      <c r="BTU62" s="37"/>
      <c r="BTV62" s="37"/>
      <c r="BTW62" s="75"/>
      <c r="BTX62" s="65"/>
      <c r="BTY62" s="65"/>
      <c r="BTZ62" s="65"/>
      <c r="BUA62" s="65"/>
      <c r="BUB62" s="37"/>
      <c r="BUC62" s="138"/>
      <c r="BUD62" s="37"/>
      <c r="BUE62" s="37"/>
      <c r="BUF62" s="37"/>
      <c r="BUG62" s="37"/>
      <c r="BUH62" s="37"/>
      <c r="BUI62" s="75"/>
      <c r="BUJ62" s="37"/>
      <c r="BUK62" s="37"/>
      <c r="BUL62" s="37"/>
      <c r="BUM62" s="37"/>
      <c r="BUN62" s="37"/>
      <c r="BUO62" s="138"/>
      <c r="BUP62" s="37"/>
      <c r="BUQ62" s="37"/>
      <c r="BUR62" s="37"/>
      <c r="BUS62" s="37"/>
      <c r="BUT62" s="37"/>
      <c r="BUU62" s="75"/>
      <c r="BUV62" s="37"/>
      <c r="BUW62" s="37"/>
      <c r="BUX62" s="37"/>
      <c r="BUY62" s="37"/>
      <c r="BUZ62" s="37"/>
      <c r="BVA62" s="38"/>
      <c r="BVB62" s="36"/>
      <c r="BVC62" s="65"/>
      <c r="BVD62" s="65"/>
      <c r="BVE62" s="65"/>
      <c r="BVF62" s="37"/>
      <c r="BVG62" s="133"/>
      <c r="BVH62" s="37"/>
      <c r="BVI62" s="37"/>
      <c r="BVJ62" s="37"/>
      <c r="BVK62" s="37"/>
      <c r="BVL62" s="37"/>
      <c r="BVM62" s="138"/>
      <c r="BVN62" s="37"/>
      <c r="BVO62" s="37"/>
      <c r="BVP62" s="37"/>
      <c r="BVQ62" s="37"/>
      <c r="BVR62" s="37"/>
      <c r="BVS62" s="75"/>
      <c r="BVT62" s="37"/>
      <c r="BVU62" s="37"/>
      <c r="BVV62" s="37"/>
      <c r="BVW62" s="37"/>
      <c r="BVX62" s="37"/>
      <c r="BVY62" s="138"/>
      <c r="BVZ62" s="37"/>
      <c r="BWA62" s="37"/>
      <c r="BWB62" s="37"/>
      <c r="BWC62" s="37"/>
      <c r="BWD62" s="37"/>
      <c r="BWE62" s="75"/>
      <c r="BWF62" s="65"/>
      <c r="BWG62" s="65"/>
      <c r="BWH62" s="65"/>
      <c r="BWI62" s="65"/>
      <c r="BWJ62" s="37"/>
      <c r="BWK62" s="138"/>
      <c r="BWL62" s="37"/>
      <c r="BWM62" s="37"/>
      <c r="BWN62" s="37"/>
      <c r="BWO62" s="37"/>
      <c r="BWP62" s="37"/>
      <c r="BWQ62" s="75"/>
      <c r="BWR62" s="37"/>
      <c r="BWS62" s="37"/>
      <c r="BWT62" s="37"/>
      <c r="BWU62" s="37"/>
      <c r="BWV62" s="37"/>
      <c r="BWW62" s="138"/>
      <c r="BWX62" s="37"/>
      <c r="BWY62" s="37"/>
      <c r="BWZ62" s="37"/>
      <c r="BXA62" s="37"/>
      <c r="BXB62" s="37"/>
      <c r="BXC62" s="75"/>
      <c r="BXD62" s="37"/>
      <c r="BXE62" s="37"/>
      <c r="BXF62" s="37"/>
      <c r="BXG62" s="37"/>
      <c r="BXH62" s="37"/>
      <c r="BXI62" s="38"/>
      <c r="BXJ62" s="36"/>
      <c r="BXK62" s="65"/>
      <c r="BXL62" s="65"/>
      <c r="BXM62" s="65"/>
      <c r="BXN62" s="37"/>
      <c r="BXO62" s="133"/>
      <c r="BXP62" s="37"/>
      <c r="BXQ62" s="37"/>
      <c r="BXR62" s="37"/>
      <c r="BXS62" s="37"/>
      <c r="BXT62" s="37"/>
      <c r="BXU62" s="138"/>
      <c r="BXV62" s="37"/>
      <c r="BXW62" s="37"/>
      <c r="BXX62" s="37"/>
      <c r="BXY62" s="37"/>
      <c r="BXZ62" s="37"/>
      <c r="BYA62" s="75"/>
      <c r="BYB62" s="37"/>
      <c r="BYC62" s="37"/>
      <c r="BYD62" s="37"/>
      <c r="BYE62" s="37"/>
      <c r="BYF62" s="37"/>
      <c r="BYG62" s="138"/>
      <c r="BYH62" s="37"/>
      <c r="BYI62" s="37"/>
      <c r="BYJ62" s="37"/>
      <c r="BYK62" s="37"/>
      <c r="BYL62" s="37"/>
      <c r="BYM62" s="75"/>
      <c r="BYN62" s="65"/>
      <c r="BYO62" s="65"/>
      <c r="BYP62" s="65"/>
      <c r="BYQ62" s="65"/>
      <c r="BYR62" s="37"/>
      <c r="BYS62" s="138"/>
      <c r="BYT62" s="37"/>
      <c r="BYU62" s="37"/>
      <c r="BYV62" s="37"/>
      <c r="BYW62" s="37"/>
      <c r="BYX62" s="37"/>
      <c r="BYY62" s="75"/>
      <c r="BYZ62" s="37"/>
      <c r="BZA62" s="37"/>
      <c r="BZB62" s="37"/>
      <c r="BZC62" s="37"/>
      <c r="BZD62" s="37"/>
      <c r="BZE62" s="138"/>
      <c r="BZF62" s="37"/>
      <c r="BZG62" s="37"/>
      <c r="BZH62" s="37"/>
      <c r="BZI62" s="37"/>
      <c r="BZJ62" s="37"/>
      <c r="BZK62" s="75"/>
      <c r="BZL62" s="37"/>
      <c r="BZM62" s="37"/>
      <c r="BZN62" s="37"/>
      <c r="BZO62" s="37"/>
      <c r="BZP62" s="37"/>
      <c r="BZQ62" s="38"/>
      <c r="BZR62" s="36"/>
      <c r="BZS62" s="65"/>
      <c r="BZT62" s="65"/>
      <c r="BZU62" s="65"/>
      <c r="BZV62" s="37"/>
      <c r="BZW62" s="133"/>
      <c r="BZX62" s="37"/>
      <c r="BZY62" s="37"/>
      <c r="BZZ62" s="37"/>
      <c r="CAA62" s="37"/>
      <c r="CAB62" s="37"/>
      <c r="CAC62" s="138"/>
      <c r="CAD62" s="37"/>
      <c r="CAE62" s="37"/>
      <c r="CAF62" s="37"/>
      <c r="CAG62" s="37"/>
      <c r="CAH62" s="37"/>
      <c r="CAI62" s="75"/>
      <c r="CAJ62" s="37"/>
      <c r="CAK62" s="37"/>
      <c r="CAL62" s="37"/>
      <c r="CAM62" s="37"/>
      <c r="CAN62" s="37"/>
      <c r="CAO62" s="138"/>
      <c r="CAP62" s="37"/>
      <c r="CAQ62" s="37"/>
      <c r="CAR62" s="37"/>
      <c r="CAS62" s="37"/>
      <c r="CAT62" s="37"/>
      <c r="CAU62" s="75"/>
      <c r="CAV62" s="65"/>
      <c r="CAW62" s="65"/>
      <c r="CAX62" s="65"/>
      <c r="CAY62" s="65"/>
      <c r="CAZ62" s="37"/>
      <c r="CBA62" s="138"/>
      <c r="CBB62" s="37"/>
      <c r="CBC62" s="37"/>
      <c r="CBD62" s="37"/>
      <c r="CBE62" s="37"/>
      <c r="CBF62" s="37"/>
      <c r="CBG62" s="75"/>
      <c r="CBH62" s="37"/>
      <c r="CBI62" s="37"/>
      <c r="CBJ62" s="37"/>
      <c r="CBK62" s="37"/>
      <c r="CBL62" s="37"/>
      <c r="CBM62" s="138"/>
      <c r="CBN62" s="37"/>
      <c r="CBO62" s="37"/>
      <c r="CBP62" s="37"/>
      <c r="CBQ62" s="37"/>
      <c r="CBR62" s="37"/>
      <c r="CBS62" s="75"/>
      <c r="CBT62" s="37"/>
      <c r="CBU62" s="37"/>
      <c r="CBV62" s="37"/>
      <c r="CBW62" s="37"/>
      <c r="CBX62" s="37"/>
      <c r="CBY62" s="38"/>
      <c r="CBZ62" s="90"/>
    </row>
    <row r="63" spans="1:2106" ht="20.100000000000001" customHeight="1" x14ac:dyDescent="0.25">
      <c r="A63" s="100" t="s">
        <v>22</v>
      </c>
      <c r="B63" s="63"/>
      <c r="C63" s="170"/>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40"/>
      <c r="BLW63" s="66"/>
      <c r="BLX63" s="66"/>
      <c r="BLY63" s="66"/>
      <c r="BLZ63" s="41"/>
      <c r="BMA63" s="134"/>
      <c r="BMB63" s="41"/>
      <c r="BMC63" s="41"/>
      <c r="BMD63" s="41"/>
      <c r="BME63" s="41"/>
      <c r="BMF63" s="41"/>
      <c r="BMG63" s="139"/>
      <c r="BMH63" s="41"/>
      <c r="BMI63" s="41"/>
      <c r="BMJ63" s="41"/>
      <c r="BMK63" s="41"/>
      <c r="BML63" s="41"/>
      <c r="BMM63" s="76"/>
      <c r="BMN63" s="41"/>
      <c r="BMO63" s="41"/>
      <c r="BMP63" s="41"/>
      <c r="BMQ63" s="41"/>
      <c r="BMR63" s="41"/>
      <c r="BMS63" s="139"/>
      <c r="BMT63" s="41"/>
      <c r="BMU63" s="41"/>
      <c r="BMV63" s="41"/>
      <c r="BMW63" s="41"/>
      <c r="BMX63" s="41"/>
      <c r="BMY63" s="76"/>
      <c r="BMZ63" s="66"/>
      <c r="BNA63" s="66"/>
      <c r="BNB63" s="66"/>
      <c r="BNC63" s="66"/>
      <c r="BND63" s="41"/>
      <c r="BNE63" s="139"/>
      <c r="BNF63" s="41"/>
      <c r="BNG63" s="41"/>
      <c r="BNH63" s="41"/>
      <c r="BNI63" s="41"/>
      <c r="BNJ63" s="41"/>
      <c r="BNK63" s="76"/>
      <c r="BNL63" s="41"/>
      <c r="BNM63" s="41"/>
      <c r="BNN63" s="41"/>
      <c r="BNO63" s="41"/>
      <c r="BNP63" s="41"/>
      <c r="BNQ63" s="139"/>
      <c r="BNR63" s="41"/>
      <c r="BNS63" s="41"/>
      <c r="BNT63" s="41"/>
      <c r="BNU63" s="41"/>
      <c r="BNV63" s="41"/>
      <c r="BNW63" s="76"/>
      <c r="BNX63" s="41"/>
      <c r="BNY63" s="41"/>
      <c r="BNZ63" s="41"/>
      <c r="BOA63" s="41"/>
      <c r="BOB63" s="41"/>
      <c r="BOC63" s="42"/>
      <c r="BOD63" s="40"/>
      <c r="BOE63" s="66"/>
      <c r="BOF63" s="66"/>
      <c r="BOG63" s="66"/>
      <c r="BOH63" s="41"/>
      <c r="BOI63" s="134"/>
      <c r="BOJ63" s="41"/>
      <c r="BOK63" s="41"/>
      <c r="BOL63" s="41"/>
      <c r="BOM63" s="41"/>
      <c r="BON63" s="41"/>
      <c r="BOO63" s="139"/>
      <c r="BOP63" s="41"/>
      <c r="BOQ63" s="41"/>
      <c r="BOR63" s="41"/>
      <c r="BOS63" s="41"/>
      <c r="BOT63" s="41"/>
      <c r="BOU63" s="76"/>
      <c r="BOV63" s="41"/>
      <c r="BOW63" s="41"/>
      <c r="BOX63" s="41"/>
      <c r="BOY63" s="41"/>
      <c r="BOZ63" s="41"/>
      <c r="BPA63" s="139"/>
      <c r="BPB63" s="41"/>
      <c r="BPC63" s="41"/>
      <c r="BPD63" s="41"/>
      <c r="BPE63" s="41"/>
      <c r="BPF63" s="41"/>
      <c r="BPG63" s="76"/>
      <c r="BPH63" s="66"/>
      <c r="BPI63" s="66"/>
      <c r="BPJ63" s="66"/>
      <c r="BPK63" s="66"/>
      <c r="BPL63" s="41"/>
      <c r="BPM63" s="139"/>
      <c r="BPN63" s="41"/>
      <c r="BPO63" s="41"/>
      <c r="BPP63" s="41"/>
      <c r="BPQ63" s="41"/>
      <c r="BPR63" s="41"/>
      <c r="BPS63" s="76"/>
      <c r="BPT63" s="41"/>
      <c r="BPU63" s="41"/>
      <c r="BPV63" s="41"/>
      <c r="BPW63" s="41"/>
      <c r="BPX63" s="41"/>
      <c r="BPY63" s="139"/>
      <c r="BPZ63" s="41"/>
      <c r="BQA63" s="41"/>
      <c r="BQB63" s="41"/>
      <c r="BQC63" s="41"/>
      <c r="BQD63" s="41"/>
      <c r="BQE63" s="76"/>
      <c r="BQF63" s="41"/>
      <c r="BQG63" s="41"/>
      <c r="BQH63" s="41"/>
      <c r="BQI63" s="41"/>
      <c r="BQJ63" s="41"/>
      <c r="BQK63" s="42"/>
      <c r="BQL63" s="40"/>
      <c r="BQM63" s="66"/>
      <c r="BQN63" s="66"/>
      <c r="BQO63" s="66"/>
      <c r="BQP63" s="41"/>
      <c r="BQQ63" s="134"/>
      <c r="BQR63" s="41"/>
      <c r="BQS63" s="41"/>
      <c r="BQT63" s="41"/>
      <c r="BQU63" s="41"/>
      <c r="BQV63" s="41"/>
      <c r="BQW63" s="139"/>
      <c r="BQX63" s="41"/>
      <c r="BQY63" s="41"/>
      <c r="BQZ63" s="41"/>
      <c r="BRA63" s="41"/>
      <c r="BRB63" s="41"/>
      <c r="BRC63" s="76"/>
      <c r="BRD63" s="41"/>
      <c r="BRE63" s="41"/>
      <c r="BRF63" s="41"/>
      <c r="BRG63" s="41"/>
      <c r="BRH63" s="41"/>
      <c r="BRI63" s="139"/>
      <c r="BRJ63" s="41"/>
      <c r="BRK63" s="41"/>
      <c r="BRL63" s="41"/>
      <c r="BRM63" s="41"/>
      <c r="BRN63" s="41"/>
      <c r="BRO63" s="76"/>
      <c r="BRP63" s="66"/>
      <c r="BRQ63" s="66"/>
      <c r="BRR63" s="66"/>
      <c r="BRS63" s="66"/>
      <c r="BRT63" s="41"/>
      <c r="BRU63" s="139"/>
      <c r="BRV63" s="41"/>
      <c r="BRW63" s="41"/>
      <c r="BRX63" s="41"/>
      <c r="BRY63" s="41"/>
      <c r="BRZ63" s="41"/>
      <c r="BSA63" s="76"/>
      <c r="BSB63" s="41"/>
      <c r="BSC63" s="41"/>
      <c r="BSD63" s="41"/>
      <c r="BSE63" s="41"/>
      <c r="BSF63" s="41"/>
      <c r="BSG63" s="139"/>
      <c r="BSH63" s="41"/>
      <c r="BSI63" s="41"/>
      <c r="BSJ63" s="41"/>
      <c r="BSK63" s="41"/>
      <c r="BSL63" s="41"/>
      <c r="BSM63" s="76"/>
      <c r="BSN63" s="41"/>
      <c r="BSO63" s="41"/>
      <c r="BSP63" s="41"/>
      <c r="BSQ63" s="41"/>
      <c r="BSR63" s="41"/>
      <c r="BSS63" s="42"/>
      <c r="BST63" s="40"/>
      <c r="BSU63" s="66"/>
      <c r="BSV63" s="66"/>
      <c r="BSW63" s="66"/>
      <c r="BSX63" s="41"/>
      <c r="BSY63" s="134"/>
      <c r="BSZ63" s="41"/>
      <c r="BTA63" s="41"/>
      <c r="BTB63" s="41"/>
      <c r="BTC63" s="41"/>
      <c r="BTD63" s="41"/>
      <c r="BTE63" s="139"/>
      <c r="BTF63" s="41"/>
      <c r="BTG63" s="41"/>
      <c r="BTH63" s="41"/>
      <c r="BTI63" s="41"/>
      <c r="BTJ63" s="41"/>
      <c r="BTK63" s="76"/>
      <c r="BTL63" s="41"/>
      <c r="BTM63" s="41"/>
      <c r="BTN63" s="41"/>
      <c r="BTO63" s="41"/>
      <c r="BTP63" s="41"/>
      <c r="BTQ63" s="139"/>
      <c r="BTR63" s="41"/>
      <c r="BTS63" s="41"/>
      <c r="BTT63" s="41"/>
      <c r="BTU63" s="41"/>
      <c r="BTV63" s="41"/>
      <c r="BTW63" s="76"/>
      <c r="BTX63" s="66"/>
      <c r="BTY63" s="66"/>
      <c r="BTZ63" s="66"/>
      <c r="BUA63" s="66"/>
      <c r="BUB63" s="41"/>
      <c r="BUC63" s="139"/>
      <c r="BUD63" s="41"/>
      <c r="BUE63" s="41"/>
      <c r="BUF63" s="41"/>
      <c r="BUG63" s="41"/>
      <c r="BUH63" s="41"/>
      <c r="BUI63" s="76"/>
      <c r="BUJ63" s="41"/>
      <c r="BUK63" s="41"/>
      <c r="BUL63" s="41"/>
      <c r="BUM63" s="41"/>
      <c r="BUN63" s="41"/>
      <c r="BUO63" s="139"/>
      <c r="BUP63" s="41"/>
      <c r="BUQ63" s="41"/>
      <c r="BUR63" s="41"/>
      <c r="BUS63" s="41"/>
      <c r="BUT63" s="41"/>
      <c r="BUU63" s="76"/>
      <c r="BUV63" s="41"/>
      <c r="BUW63" s="41"/>
      <c r="BUX63" s="41"/>
      <c r="BUY63" s="41"/>
      <c r="BUZ63" s="41"/>
      <c r="BVA63" s="42"/>
      <c r="BVB63" s="40"/>
      <c r="BVC63" s="66"/>
      <c r="BVD63" s="66"/>
      <c r="BVE63" s="66"/>
      <c r="BVF63" s="41"/>
      <c r="BVG63" s="134"/>
      <c r="BVH63" s="41"/>
      <c r="BVI63" s="41"/>
      <c r="BVJ63" s="41"/>
      <c r="BVK63" s="41"/>
      <c r="BVL63" s="41"/>
      <c r="BVM63" s="139"/>
      <c r="BVN63" s="41"/>
      <c r="BVO63" s="41"/>
      <c r="BVP63" s="41"/>
      <c r="BVQ63" s="41"/>
      <c r="BVR63" s="41"/>
      <c r="BVS63" s="76"/>
      <c r="BVT63" s="41"/>
      <c r="BVU63" s="41"/>
      <c r="BVV63" s="41"/>
      <c r="BVW63" s="41"/>
      <c r="BVX63" s="41"/>
      <c r="BVY63" s="139"/>
      <c r="BVZ63" s="41"/>
      <c r="BWA63" s="41"/>
      <c r="BWB63" s="41"/>
      <c r="BWC63" s="41"/>
      <c r="BWD63" s="41"/>
      <c r="BWE63" s="76"/>
      <c r="BWF63" s="66"/>
      <c r="BWG63" s="66"/>
      <c r="BWH63" s="66"/>
      <c r="BWI63" s="66"/>
      <c r="BWJ63" s="41"/>
      <c r="BWK63" s="139"/>
      <c r="BWL63" s="41"/>
      <c r="BWM63" s="41"/>
      <c r="BWN63" s="41"/>
      <c r="BWO63" s="41"/>
      <c r="BWP63" s="41"/>
      <c r="BWQ63" s="76"/>
      <c r="BWR63" s="41"/>
      <c r="BWS63" s="41"/>
      <c r="BWT63" s="41"/>
      <c r="BWU63" s="41"/>
      <c r="BWV63" s="41"/>
      <c r="BWW63" s="139"/>
      <c r="BWX63" s="41"/>
      <c r="BWY63" s="41"/>
      <c r="BWZ63" s="41"/>
      <c r="BXA63" s="41"/>
      <c r="BXB63" s="41"/>
      <c r="BXC63" s="76"/>
      <c r="BXD63" s="41"/>
      <c r="BXE63" s="41"/>
      <c r="BXF63" s="41"/>
      <c r="BXG63" s="41"/>
      <c r="BXH63" s="41"/>
      <c r="BXI63" s="42"/>
      <c r="BXJ63" s="40"/>
      <c r="BXK63" s="66"/>
      <c r="BXL63" s="66"/>
      <c r="BXM63" s="66"/>
      <c r="BXN63" s="41"/>
      <c r="BXO63" s="134"/>
      <c r="BXP63" s="41"/>
      <c r="BXQ63" s="41"/>
      <c r="BXR63" s="41"/>
      <c r="BXS63" s="41"/>
      <c r="BXT63" s="41"/>
      <c r="BXU63" s="139"/>
      <c r="BXV63" s="41"/>
      <c r="BXW63" s="41"/>
      <c r="BXX63" s="41"/>
      <c r="BXY63" s="41"/>
      <c r="BXZ63" s="41"/>
      <c r="BYA63" s="76"/>
      <c r="BYB63" s="41"/>
      <c r="BYC63" s="41"/>
      <c r="BYD63" s="41"/>
      <c r="BYE63" s="41"/>
      <c r="BYF63" s="41"/>
      <c r="BYG63" s="139"/>
      <c r="BYH63" s="41"/>
      <c r="BYI63" s="41"/>
      <c r="BYJ63" s="41"/>
      <c r="BYK63" s="41"/>
      <c r="BYL63" s="41"/>
      <c r="BYM63" s="76"/>
      <c r="BYN63" s="66"/>
      <c r="BYO63" s="66"/>
      <c r="BYP63" s="66"/>
      <c r="BYQ63" s="66"/>
      <c r="BYR63" s="41"/>
      <c r="BYS63" s="139"/>
      <c r="BYT63" s="41"/>
      <c r="BYU63" s="41"/>
      <c r="BYV63" s="41"/>
      <c r="BYW63" s="41"/>
      <c r="BYX63" s="41"/>
      <c r="BYY63" s="76"/>
      <c r="BYZ63" s="41"/>
      <c r="BZA63" s="41"/>
      <c r="BZB63" s="41"/>
      <c r="BZC63" s="41"/>
      <c r="BZD63" s="41"/>
      <c r="BZE63" s="139"/>
      <c r="BZF63" s="41"/>
      <c r="BZG63" s="41"/>
      <c r="BZH63" s="41"/>
      <c r="BZI63" s="41"/>
      <c r="BZJ63" s="41"/>
      <c r="BZK63" s="76"/>
      <c r="BZL63" s="41"/>
      <c r="BZM63" s="41"/>
      <c r="BZN63" s="41"/>
      <c r="BZO63" s="41"/>
      <c r="BZP63" s="41"/>
      <c r="BZQ63" s="42"/>
      <c r="BZR63" s="40"/>
      <c r="BZS63" s="66"/>
      <c r="BZT63" s="66"/>
      <c r="BZU63" s="66"/>
      <c r="BZV63" s="41"/>
      <c r="BZW63" s="134"/>
      <c r="BZX63" s="41"/>
      <c r="BZY63" s="41"/>
      <c r="BZZ63" s="41"/>
      <c r="CAA63" s="41"/>
      <c r="CAB63" s="41"/>
      <c r="CAC63" s="139"/>
      <c r="CAD63" s="41"/>
      <c r="CAE63" s="41"/>
      <c r="CAF63" s="41"/>
      <c r="CAG63" s="41"/>
      <c r="CAH63" s="41"/>
      <c r="CAI63" s="76"/>
      <c r="CAJ63" s="41"/>
      <c r="CAK63" s="41"/>
      <c r="CAL63" s="41"/>
      <c r="CAM63" s="41"/>
      <c r="CAN63" s="41"/>
      <c r="CAO63" s="139"/>
      <c r="CAP63" s="41"/>
      <c r="CAQ63" s="41"/>
      <c r="CAR63" s="41"/>
      <c r="CAS63" s="41"/>
      <c r="CAT63" s="41"/>
      <c r="CAU63" s="76"/>
      <c r="CAV63" s="66"/>
      <c r="CAW63" s="66"/>
      <c r="CAX63" s="66"/>
      <c r="CAY63" s="66"/>
      <c r="CAZ63" s="41"/>
      <c r="CBA63" s="139"/>
      <c r="CBB63" s="41"/>
      <c r="CBC63" s="41"/>
      <c r="CBD63" s="41"/>
      <c r="CBE63" s="41"/>
      <c r="CBF63" s="41"/>
      <c r="CBG63" s="76"/>
      <c r="CBH63" s="41"/>
      <c r="CBI63" s="41"/>
      <c r="CBJ63" s="41"/>
      <c r="CBK63" s="41"/>
      <c r="CBL63" s="41"/>
      <c r="CBM63" s="139"/>
      <c r="CBN63" s="41"/>
      <c r="CBO63" s="41"/>
      <c r="CBP63" s="41"/>
      <c r="CBQ63" s="41"/>
      <c r="CBR63" s="41"/>
      <c r="CBS63" s="76"/>
      <c r="CBT63" s="41"/>
      <c r="CBU63" s="41"/>
      <c r="CBV63" s="41"/>
      <c r="CBW63" s="41"/>
      <c r="CBX63" s="41"/>
      <c r="CBY63" s="42"/>
      <c r="CBZ63" s="90"/>
    </row>
    <row r="64" spans="1:2106" ht="20.100000000000001" customHeight="1" x14ac:dyDescent="0.3">
      <c r="A64" s="100" t="s">
        <v>23</v>
      </c>
      <c r="B64" s="63"/>
      <c r="C64" s="171"/>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28"/>
      <c r="BLW64" s="67"/>
      <c r="BLX64" s="67"/>
      <c r="BLY64" s="67"/>
      <c r="BLZ64" s="29"/>
      <c r="BMA64" s="131"/>
      <c r="BMB64" s="29"/>
      <c r="BMC64" s="29"/>
      <c r="BMD64" s="29"/>
      <c r="BME64" s="29"/>
      <c r="BMF64" s="29"/>
      <c r="BMG64" s="136"/>
      <c r="BMH64" s="29"/>
      <c r="BMI64" s="29"/>
      <c r="BMJ64" s="29"/>
      <c r="BMK64" s="29"/>
      <c r="BML64" s="29"/>
      <c r="BMM64" s="73"/>
      <c r="BMN64" s="29"/>
      <c r="BMO64" s="29"/>
      <c r="BMP64" s="29"/>
      <c r="BMQ64" s="29"/>
      <c r="BMR64" s="29"/>
      <c r="BMS64" s="136"/>
      <c r="BMT64" s="29"/>
      <c r="BMU64" s="29"/>
      <c r="BMV64" s="29"/>
      <c r="BMW64" s="29"/>
      <c r="BMX64" s="29"/>
      <c r="BMY64" s="73"/>
      <c r="BMZ64" s="67"/>
      <c r="BNA64" s="67"/>
      <c r="BNB64" s="67"/>
      <c r="BNC64" s="67"/>
      <c r="BND64" s="29"/>
      <c r="BNE64" s="136"/>
      <c r="BNF64" s="29"/>
      <c r="BNG64" s="29"/>
      <c r="BNH64" s="29"/>
      <c r="BNI64" s="29"/>
      <c r="BNJ64" s="29"/>
      <c r="BNK64" s="73"/>
      <c r="BNL64" s="29"/>
      <c r="BNM64" s="29"/>
      <c r="BNN64" s="29"/>
      <c r="BNO64" s="29"/>
      <c r="BNP64" s="29"/>
      <c r="BNQ64" s="136"/>
      <c r="BNR64" s="29"/>
      <c r="BNS64" s="29"/>
      <c r="BNT64" s="29"/>
      <c r="BNU64" s="29"/>
      <c r="BNV64" s="29"/>
      <c r="BNW64" s="73"/>
      <c r="BNX64" s="29"/>
      <c r="BNY64" s="29"/>
      <c r="BNZ64" s="29"/>
      <c r="BOA64" s="29"/>
      <c r="BOB64" s="29"/>
      <c r="BOC64" s="30"/>
      <c r="BOD64" s="28"/>
      <c r="BOE64" s="67"/>
      <c r="BOF64" s="67"/>
      <c r="BOG64" s="67"/>
      <c r="BOH64" s="29"/>
      <c r="BOI64" s="131"/>
      <c r="BOJ64" s="29"/>
      <c r="BOK64" s="29"/>
      <c r="BOL64" s="29"/>
      <c r="BOM64" s="29"/>
      <c r="BON64" s="29"/>
      <c r="BOO64" s="136"/>
      <c r="BOP64" s="29"/>
      <c r="BOQ64" s="29"/>
      <c r="BOR64" s="29"/>
      <c r="BOS64" s="29"/>
      <c r="BOT64" s="29"/>
      <c r="BOU64" s="73"/>
      <c r="BOV64" s="29"/>
      <c r="BOW64" s="29"/>
      <c r="BOX64" s="29"/>
      <c r="BOY64" s="29"/>
      <c r="BOZ64" s="29"/>
      <c r="BPA64" s="136"/>
      <c r="BPB64" s="29"/>
      <c r="BPC64" s="29"/>
      <c r="BPD64" s="29"/>
      <c r="BPE64" s="29"/>
      <c r="BPF64" s="29"/>
      <c r="BPG64" s="73"/>
      <c r="BPH64" s="67"/>
      <c r="BPI64" s="67"/>
      <c r="BPJ64" s="67"/>
      <c r="BPK64" s="67"/>
      <c r="BPL64" s="29"/>
      <c r="BPM64" s="136"/>
      <c r="BPN64" s="29"/>
      <c r="BPO64" s="29"/>
      <c r="BPP64" s="29"/>
      <c r="BPQ64" s="29"/>
      <c r="BPR64" s="29"/>
      <c r="BPS64" s="73"/>
      <c r="BPT64" s="29"/>
      <c r="BPU64" s="29"/>
      <c r="BPV64" s="29"/>
      <c r="BPW64" s="29"/>
      <c r="BPX64" s="29"/>
      <c r="BPY64" s="136"/>
      <c r="BPZ64" s="29"/>
      <c r="BQA64" s="29"/>
      <c r="BQB64" s="29"/>
      <c r="BQC64" s="29"/>
      <c r="BQD64" s="29"/>
      <c r="BQE64" s="73"/>
      <c r="BQF64" s="29"/>
      <c r="BQG64" s="29"/>
      <c r="BQH64" s="29"/>
      <c r="BQI64" s="29"/>
      <c r="BQJ64" s="29"/>
      <c r="BQK64" s="30"/>
      <c r="BQL64" s="28"/>
      <c r="BQM64" s="67"/>
      <c r="BQN64" s="67"/>
      <c r="BQO64" s="67"/>
      <c r="BQP64" s="29"/>
      <c r="BQQ64" s="131"/>
      <c r="BQR64" s="29"/>
      <c r="BQS64" s="29"/>
      <c r="BQT64" s="29"/>
      <c r="BQU64" s="29"/>
      <c r="BQV64" s="29"/>
      <c r="BQW64" s="136"/>
      <c r="BQX64" s="29"/>
      <c r="BQY64" s="29"/>
      <c r="BQZ64" s="29"/>
      <c r="BRA64" s="29"/>
      <c r="BRB64" s="29"/>
      <c r="BRC64" s="73"/>
      <c r="BRD64" s="29"/>
      <c r="BRE64" s="29"/>
      <c r="BRF64" s="29"/>
      <c r="BRG64" s="29"/>
      <c r="BRH64" s="29"/>
      <c r="BRI64" s="136"/>
      <c r="BRJ64" s="29"/>
      <c r="BRK64" s="29"/>
      <c r="BRL64" s="29"/>
      <c r="BRM64" s="29"/>
      <c r="BRN64" s="29"/>
      <c r="BRO64" s="73"/>
      <c r="BRP64" s="67"/>
      <c r="BRQ64" s="67"/>
      <c r="BRR64" s="67"/>
      <c r="BRS64" s="67"/>
      <c r="BRT64" s="29"/>
      <c r="BRU64" s="136"/>
      <c r="BRV64" s="29"/>
      <c r="BRW64" s="29"/>
      <c r="BRX64" s="29"/>
      <c r="BRY64" s="29"/>
      <c r="BRZ64" s="29"/>
      <c r="BSA64" s="73"/>
      <c r="BSB64" s="29"/>
      <c r="BSC64" s="29"/>
      <c r="BSD64" s="29"/>
      <c r="BSE64" s="29"/>
      <c r="BSF64" s="29"/>
      <c r="BSG64" s="136"/>
      <c r="BSH64" s="29"/>
      <c r="BSI64" s="29"/>
      <c r="BSJ64" s="29"/>
      <c r="BSK64" s="29"/>
      <c r="BSL64" s="29"/>
      <c r="BSM64" s="73"/>
      <c r="BSN64" s="29"/>
      <c r="BSO64" s="29"/>
      <c r="BSP64" s="29"/>
      <c r="BSQ64" s="29"/>
      <c r="BSR64" s="29"/>
      <c r="BSS64" s="30"/>
      <c r="BST64" s="28"/>
      <c r="BSU64" s="67"/>
      <c r="BSV64" s="67"/>
      <c r="BSW64" s="67"/>
      <c r="BSX64" s="29"/>
      <c r="BSY64" s="131"/>
      <c r="BSZ64" s="29"/>
      <c r="BTA64" s="29"/>
      <c r="BTB64" s="29"/>
      <c r="BTC64" s="29"/>
      <c r="BTD64" s="29"/>
      <c r="BTE64" s="136"/>
      <c r="BTF64" s="29"/>
      <c r="BTG64" s="29"/>
      <c r="BTH64" s="29"/>
      <c r="BTI64" s="29"/>
      <c r="BTJ64" s="29"/>
      <c r="BTK64" s="73"/>
      <c r="BTL64" s="29"/>
      <c r="BTM64" s="29"/>
      <c r="BTN64" s="29"/>
      <c r="BTO64" s="29"/>
      <c r="BTP64" s="29"/>
      <c r="BTQ64" s="136"/>
      <c r="BTR64" s="29"/>
      <c r="BTS64" s="29"/>
      <c r="BTT64" s="29"/>
      <c r="BTU64" s="29"/>
      <c r="BTV64" s="29"/>
      <c r="BTW64" s="73"/>
      <c r="BTX64" s="67"/>
      <c r="BTY64" s="67"/>
      <c r="BTZ64" s="67"/>
      <c r="BUA64" s="67"/>
      <c r="BUB64" s="29"/>
      <c r="BUC64" s="136"/>
      <c r="BUD64" s="29"/>
      <c r="BUE64" s="29"/>
      <c r="BUF64" s="29"/>
      <c r="BUG64" s="29"/>
      <c r="BUH64" s="29"/>
      <c r="BUI64" s="73"/>
      <c r="BUJ64" s="29"/>
      <c r="BUK64" s="29"/>
      <c r="BUL64" s="29"/>
      <c r="BUM64" s="29"/>
      <c r="BUN64" s="29"/>
      <c r="BUO64" s="136"/>
      <c r="BUP64" s="29"/>
      <c r="BUQ64" s="29"/>
      <c r="BUR64" s="29"/>
      <c r="BUS64" s="29"/>
      <c r="BUT64" s="29"/>
      <c r="BUU64" s="73"/>
      <c r="BUV64" s="29"/>
      <c r="BUW64" s="29"/>
      <c r="BUX64" s="29"/>
      <c r="BUY64" s="29"/>
      <c r="BUZ64" s="29"/>
      <c r="BVA64" s="30"/>
      <c r="BVB64" s="28"/>
      <c r="BVC64" s="67"/>
      <c r="BVD64" s="67"/>
      <c r="BVE64" s="67"/>
      <c r="BVF64" s="29"/>
      <c r="BVG64" s="131"/>
      <c r="BVH64" s="29"/>
      <c r="BVI64" s="29"/>
      <c r="BVJ64" s="29"/>
      <c r="BVK64" s="29"/>
      <c r="BVL64" s="29"/>
      <c r="BVM64" s="136"/>
      <c r="BVN64" s="29"/>
      <c r="BVO64" s="29"/>
      <c r="BVP64" s="29"/>
      <c r="BVQ64" s="29"/>
      <c r="BVR64" s="29"/>
      <c r="BVS64" s="73"/>
      <c r="BVT64" s="29"/>
      <c r="BVU64" s="29"/>
      <c r="BVV64" s="29"/>
      <c r="BVW64" s="29"/>
      <c r="BVX64" s="29"/>
      <c r="BVY64" s="136"/>
      <c r="BVZ64" s="29"/>
      <c r="BWA64" s="29"/>
      <c r="BWB64" s="29"/>
      <c r="BWC64" s="29"/>
      <c r="BWD64" s="29"/>
      <c r="BWE64" s="73"/>
      <c r="BWF64" s="67"/>
      <c r="BWG64" s="67"/>
      <c r="BWH64" s="67"/>
      <c r="BWI64" s="67"/>
      <c r="BWJ64" s="29"/>
      <c r="BWK64" s="136"/>
      <c r="BWL64" s="29"/>
      <c r="BWM64" s="29"/>
      <c r="BWN64" s="29"/>
      <c r="BWO64" s="29"/>
      <c r="BWP64" s="29"/>
      <c r="BWQ64" s="73"/>
      <c r="BWR64" s="29"/>
      <c r="BWS64" s="29"/>
      <c r="BWT64" s="29"/>
      <c r="BWU64" s="29"/>
      <c r="BWV64" s="29"/>
      <c r="BWW64" s="136"/>
      <c r="BWX64" s="29"/>
      <c r="BWY64" s="29"/>
      <c r="BWZ64" s="29"/>
      <c r="BXA64" s="29"/>
      <c r="BXB64" s="29"/>
      <c r="BXC64" s="73"/>
      <c r="BXD64" s="29"/>
      <c r="BXE64" s="29"/>
      <c r="BXF64" s="29"/>
      <c r="BXG64" s="29"/>
      <c r="BXH64" s="29"/>
      <c r="BXI64" s="30"/>
      <c r="BXJ64" s="28"/>
      <c r="BXK64" s="67"/>
      <c r="BXL64" s="67"/>
      <c r="BXM64" s="67"/>
      <c r="BXN64" s="29"/>
      <c r="BXO64" s="131"/>
      <c r="BXP64" s="29"/>
      <c r="BXQ64" s="29"/>
      <c r="BXR64" s="29"/>
      <c r="BXS64" s="29"/>
      <c r="BXT64" s="29"/>
      <c r="BXU64" s="136"/>
      <c r="BXV64" s="29"/>
      <c r="BXW64" s="29"/>
      <c r="BXX64" s="29"/>
      <c r="BXY64" s="29"/>
      <c r="BXZ64" s="29"/>
      <c r="BYA64" s="73"/>
      <c r="BYB64" s="29"/>
      <c r="BYC64" s="29"/>
      <c r="BYD64" s="29"/>
      <c r="BYE64" s="29"/>
      <c r="BYF64" s="29"/>
      <c r="BYG64" s="136"/>
      <c r="BYH64" s="29"/>
      <c r="BYI64" s="29"/>
      <c r="BYJ64" s="29"/>
      <c r="BYK64" s="29"/>
      <c r="BYL64" s="29"/>
      <c r="BYM64" s="73"/>
      <c r="BYN64" s="67"/>
      <c r="BYO64" s="67"/>
      <c r="BYP64" s="67"/>
      <c r="BYQ64" s="67"/>
      <c r="BYR64" s="29"/>
      <c r="BYS64" s="136"/>
      <c r="BYT64" s="29"/>
      <c r="BYU64" s="29"/>
      <c r="BYV64" s="29"/>
      <c r="BYW64" s="29"/>
      <c r="BYX64" s="29"/>
      <c r="BYY64" s="73"/>
      <c r="BYZ64" s="29"/>
      <c r="BZA64" s="29"/>
      <c r="BZB64" s="29"/>
      <c r="BZC64" s="29"/>
      <c r="BZD64" s="29"/>
      <c r="BZE64" s="136"/>
      <c r="BZF64" s="29"/>
      <c r="BZG64" s="29"/>
      <c r="BZH64" s="29"/>
      <c r="BZI64" s="29"/>
      <c r="BZJ64" s="29"/>
      <c r="BZK64" s="73"/>
      <c r="BZL64" s="29"/>
      <c r="BZM64" s="29"/>
      <c r="BZN64" s="29"/>
      <c r="BZO64" s="29"/>
      <c r="BZP64" s="29"/>
      <c r="BZQ64" s="30"/>
      <c r="BZR64" s="28"/>
      <c r="BZS64" s="67"/>
      <c r="BZT64" s="67"/>
      <c r="BZU64" s="67"/>
      <c r="BZV64" s="29"/>
      <c r="BZW64" s="131"/>
      <c r="BZX64" s="29"/>
      <c r="BZY64" s="29"/>
      <c r="BZZ64" s="29"/>
      <c r="CAA64" s="29"/>
      <c r="CAB64" s="29"/>
      <c r="CAC64" s="136"/>
      <c r="CAD64" s="29"/>
      <c r="CAE64" s="29"/>
      <c r="CAF64" s="29"/>
      <c r="CAG64" s="29"/>
      <c r="CAH64" s="29"/>
      <c r="CAI64" s="73"/>
      <c r="CAJ64" s="29"/>
      <c r="CAK64" s="29"/>
      <c r="CAL64" s="29"/>
      <c r="CAM64" s="29"/>
      <c r="CAN64" s="29"/>
      <c r="CAO64" s="136"/>
      <c r="CAP64" s="29"/>
      <c r="CAQ64" s="29"/>
      <c r="CAR64" s="29"/>
      <c r="CAS64" s="29"/>
      <c r="CAT64" s="29"/>
      <c r="CAU64" s="73"/>
      <c r="CAV64" s="67"/>
      <c r="CAW64" s="67"/>
      <c r="CAX64" s="67"/>
      <c r="CAY64" s="67"/>
      <c r="CAZ64" s="29"/>
      <c r="CBA64" s="136"/>
      <c r="CBB64" s="29"/>
      <c r="CBC64" s="29"/>
      <c r="CBD64" s="29"/>
      <c r="CBE64" s="29"/>
      <c r="CBF64" s="29"/>
      <c r="CBG64" s="73"/>
      <c r="CBH64" s="29"/>
      <c r="CBI64" s="29"/>
      <c r="CBJ64" s="29"/>
      <c r="CBK64" s="29"/>
      <c r="CBL64" s="29"/>
      <c r="CBM64" s="136"/>
      <c r="CBN64" s="29"/>
      <c r="CBO64" s="29"/>
      <c r="CBP64" s="29"/>
      <c r="CBQ64" s="29"/>
      <c r="CBR64" s="29"/>
      <c r="CBS64" s="73"/>
      <c r="CBT64" s="29"/>
      <c r="CBU64" s="29"/>
      <c r="CBV64" s="29"/>
      <c r="CBW64" s="29"/>
      <c r="CBX64" s="29"/>
      <c r="CBY64" s="30"/>
      <c r="CBZ64" s="90"/>
    </row>
    <row r="65" spans="1:2106" ht="20.100000000000001" customHeight="1" x14ac:dyDescent="0.25">
      <c r="A65" s="100" t="s">
        <v>22</v>
      </c>
      <c r="B65" s="63"/>
      <c r="C65" s="170"/>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32"/>
      <c r="BLW65" s="64"/>
      <c r="BLX65" s="64"/>
      <c r="BLY65" s="64"/>
      <c r="BLZ65" s="33"/>
      <c r="BMA65" s="132"/>
      <c r="BMB65" s="33"/>
      <c r="BMC65" s="33"/>
      <c r="BMD65" s="33"/>
      <c r="BME65" s="33"/>
      <c r="BMF65" s="33"/>
      <c r="BMG65" s="137"/>
      <c r="BMH65" s="33"/>
      <c r="BMI65" s="33"/>
      <c r="BMJ65" s="33"/>
      <c r="BMK65" s="33"/>
      <c r="BML65" s="33"/>
      <c r="BMM65" s="74"/>
      <c r="BMN65" s="33"/>
      <c r="BMO65" s="33"/>
      <c r="BMP65" s="33"/>
      <c r="BMQ65" s="33"/>
      <c r="BMR65" s="33"/>
      <c r="BMS65" s="137"/>
      <c r="BMT65" s="33"/>
      <c r="BMU65" s="33"/>
      <c r="BMV65" s="33"/>
      <c r="BMW65" s="33"/>
      <c r="BMX65" s="33"/>
      <c r="BMY65" s="74"/>
      <c r="BMZ65" s="64"/>
      <c r="BNA65" s="64"/>
      <c r="BNB65" s="64"/>
      <c r="BNC65" s="64"/>
      <c r="BND65" s="33"/>
      <c r="BNE65" s="137"/>
      <c r="BNF65" s="33"/>
      <c r="BNG65" s="33"/>
      <c r="BNH65" s="33"/>
      <c r="BNI65" s="33"/>
      <c r="BNJ65" s="33"/>
      <c r="BNK65" s="74"/>
      <c r="BNL65" s="33"/>
      <c r="BNM65" s="33"/>
      <c r="BNN65" s="33"/>
      <c r="BNO65" s="33"/>
      <c r="BNP65" s="33"/>
      <c r="BNQ65" s="137"/>
      <c r="BNR65" s="33"/>
      <c r="BNS65" s="33"/>
      <c r="BNT65" s="33"/>
      <c r="BNU65" s="33"/>
      <c r="BNV65" s="33"/>
      <c r="BNW65" s="74"/>
      <c r="BNX65" s="33"/>
      <c r="BNY65" s="33"/>
      <c r="BNZ65" s="33"/>
      <c r="BOA65" s="33"/>
      <c r="BOB65" s="33"/>
      <c r="BOC65" s="34"/>
      <c r="BOD65" s="32"/>
      <c r="BOE65" s="64"/>
      <c r="BOF65" s="64"/>
      <c r="BOG65" s="64"/>
      <c r="BOH65" s="33"/>
      <c r="BOI65" s="132"/>
      <c r="BOJ65" s="33"/>
      <c r="BOK65" s="33"/>
      <c r="BOL65" s="33"/>
      <c r="BOM65" s="33"/>
      <c r="BON65" s="33"/>
      <c r="BOO65" s="137"/>
      <c r="BOP65" s="33"/>
      <c r="BOQ65" s="33"/>
      <c r="BOR65" s="33"/>
      <c r="BOS65" s="33"/>
      <c r="BOT65" s="33"/>
      <c r="BOU65" s="74"/>
      <c r="BOV65" s="33"/>
      <c r="BOW65" s="33"/>
      <c r="BOX65" s="33"/>
      <c r="BOY65" s="33"/>
      <c r="BOZ65" s="33"/>
      <c r="BPA65" s="137"/>
      <c r="BPB65" s="33"/>
      <c r="BPC65" s="33"/>
      <c r="BPD65" s="33"/>
      <c r="BPE65" s="33"/>
      <c r="BPF65" s="33"/>
      <c r="BPG65" s="74"/>
      <c r="BPH65" s="64"/>
      <c r="BPI65" s="64"/>
      <c r="BPJ65" s="64"/>
      <c r="BPK65" s="64"/>
      <c r="BPL65" s="33"/>
      <c r="BPM65" s="137"/>
      <c r="BPN65" s="33"/>
      <c r="BPO65" s="33"/>
      <c r="BPP65" s="33"/>
      <c r="BPQ65" s="33"/>
      <c r="BPR65" s="33"/>
      <c r="BPS65" s="74"/>
      <c r="BPT65" s="33"/>
      <c r="BPU65" s="33"/>
      <c r="BPV65" s="33"/>
      <c r="BPW65" s="33"/>
      <c r="BPX65" s="33"/>
      <c r="BPY65" s="137"/>
      <c r="BPZ65" s="33"/>
      <c r="BQA65" s="33"/>
      <c r="BQB65" s="33"/>
      <c r="BQC65" s="33"/>
      <c r="BQD65" s="33"/>
      <c r="BQE65" s="74"/>
      <c r="BQF65" s="33"/>
      <c r="BQG65" s="33"/>
      <c r="BQH65" s="33"/>
      <c r="BQI65" s="33"/>
      <c r="BQJ65" s="33"/>
      <c r="BQK65" s="34"/>
      <c r="BQL65" s="32"/>
      <c r="BQM65" s="64"/>
      <c r="BQN65" s="64"/>
      <c r="BQO65" s="64"/>
      <c r="BQP65" s="33"/>
      <c r="BQQ65" s="132"/>
      <c r="BQR65" s="33"/>
      <c r="BQS65" s="33"/>
      <c r="BQT65" s="33"/>
      <c r="BQU65" s="33"/>
      <c r="BQV65" s="33"/>
      <c r="BQW65" s="137"/>
      <c r="BQX65" s="33"/>
      <c r="BQY65" s="33"/>
      <c r="BQZ65" s="33"/>
      <c r="BRA65" s="33"/>
      <c r="BRB65" s="33"/>
      <c r="BRC65" s="74"/>
      <c r="BRD65" s="33"/>
      <c r="BRE65" s="33"/>
      <c r="BRF65" s="33"/>
      <c r="BRG65" s="33"/>
      <c r="BRH65" s="33"/>
      <c r="BRI65" s="137"/>
      <c r="BRJ65" s="33"/>
      <c r="BRK65" s="33"/>
      <c r="BRL65" s="33"/>
      <c r="BRM65" s="33"/>
      <c r="BRN65" s="33"/>
      <c r="BRO65" s="74"/>
      <c r="BRP65" s="64"/>
      <c r="BRQ65" s="64"/>
      <c r="BRR65" s="64"/>
      <c r="BRS65" s="64"/>
      <c r="BRT65" s="33"/>
      <c r="BRU65" s="137"/>
      <c r="BRV65" s="33"/>
      <c r="BRW65" s="33"/>
      <c r="BRX65" s="33"/>
      <c r="BRY65" s="33"/>
      <c r="BRZ65" s="33"/>
      <c r="BSA65" s="74"/>
      <c r="BSB65" s="33"/>
      <c r="BSC65" s="33"/>
      <c r="BSD65" s="33"/>
      <c r="BSE65" s="33"/>
      <c r="BSF65" s="33"/>
      <c r="BSG65" s="137"/>
      <c r="BSH65" s="33"/>
      <c r="BSI65" s="33"/>
      <c r="BSJ65" s="33"/>
      <c r="BSK65" s="33"/>
      <c r="BSL65" s="33"/>
      <c r="BSM65" s="74"/>
      <c r="BSN65" s="33"/>
      <c r="BSO65" s="33"/>
      <c r="BSP65" s="33"/>
      <c r="BSQ65" s="33"/>
      <c r="BSR65" s="33"/>
      <c r="BSS65" s="34"/>
      <c r="BST65" s="32"/>
      <c r="BSU65" s="64"/>
      <c r="BSV65" s="64"/>
      <c r="BSW65" s="64"/>
      <c r="BSX65" s="33"/>
      <c r="BSY65" s="132"/>
      <c r="BSZ65" s="33"/>
      <c r="BTA65" s="33"/>
      <c r="BTB65" s="33"/>
      <c r="BTC65" s="33"/>
      <c r="BTD65" s="33"/>
      <c r="BTE65" s="137"/>
      <c r="BTF65" s="33"/>
      <c r="BTG65" s="33"/>
      <c r="BTH65" s="33"/>
      <c r="BTI65" s="33"/>
      <c r="BTJ65" s="33"/>
      <c r="BTK65" s="74"/>
      <c r="BTL65" s="33"/>
      <c r="BTM65" s="33"/>
      <c r="BTN65" s="33"/>
      <c r="BTO65" s="33"/>
      <c r="BTP65" s="33"/>
      <c r="BTQ65" s="137"/>
      <c r="BTR65" s="33"/>
      <c r="BTS65" s="33"/>
      <c r="BTT65" s="33"/>
      <c r="BTU65" s="33"/>
      <c r="BTV65" s="33"/>
      <c r="BTW65" s="74"/>
      <c r="BTX65" s="64"/>
      <c r="BTY65" s="64"/>
      <c r="BTZ65" s="64"/>
      <c r="BUA65" s="64"/>
      <c r="BUB65" s="33"/>
      <c r="BUC65" s="137"/>
      <c r="BUD65" s="33"/>
      <c r="BUE65" s="33"/>
      <c r="BUF65" s="33"/>
      <c r="BUG65" s="33"/>
      <c r="BUH65" s="33"/>
      <c r="BUI65" s="74"/>
      <c r="BUJ65" s="33"/>
      <c r="BUK65" s="33"/>
      <c r="BUL65" s="33"/>
      <c r="BUM65" s="33"/>
      <c r="BUN65" s="33"/>
      <c r="BUO65" s="137"/>
      <c r="BUP65" s="33"/>
      <c r="BUQ65" s="33"/>
      <c r="BUR65" s="33"/>
      <c r="BUS65" s="33"/>
      <c r="BUT65" s="33"/>
      <c r="BUU65" s="74"/>
      <c r="BUV65" s="33"/>
      <c r="BUW65" s="33"/>
      <c r="BUX65" s="33"/>
      <c r="BUY65" s="33"/>
      <c r="BUZ65" s="33"/>
      <c r="BVA65" s="34"/>
      <c r="BVB65" s="32"/>
      <c r="BVC65" s="64"/>
      <c r="BVD65" s="64"/>
      <c r="BVE65" s="64"/>
      <c r="BVF65" s="33"/>
      <c r="BVG65" s="132"/>
      <c r="BVH65" s="33"/>
      <c r="BVI65" s="33"/>
      <c r="BVJ65" s="33"/>
      <c r="BVK65" s="33"/>
      <c r="BVL65" s="33"/>
      <c r="BVM65" s="137"/>
      <c r="BVN65" s="33"/>
      <c r="BVO65" s="33"/>
      <c r="BVP65" s="33"/>
      <c r="BVQ65" s="33"/>
      <c r="BVR65" s="33"/>
      <c r="BVS65" s="74"/>
      <c r="BVT65" s="33"/>
      <c r="BVU65" s="33"/>
      <c r="BVV65" s="33"/>
      <c r="BVW65" s="33"/>
      <c r="BVX65" s="33"/>
      <c r="BVY65" s="137"/>
      <c r="BVZ65" s="33"/>
      <c r="BWA65" s="33"/>
      <c r="BWB65" s="33"/>
      <c r="BWC65" s="33"/>
      <c r="BWD65" s="33"/>
      <c r="BWE65" s="74"/>
      <c r="BWF65" s="64"/>
      <c r="BWG65" s="64"/>
      <c r="BWH65" s="64"/>
      <c r="BWI65" s="64"/>
      <c r="BWJ65" s="33"/>
      <c r="BWK65" s="137"/>
      <c r="BWL65" s="33"/>
      <c r="BWM65" s="33"/>
      <c r="BWN65" s="33"/>
      <c r="BWO65" s="33"/>
      <c r="BWP65" s="33"/>
      <c r="BWQ65" s="74"/>
      <c r="BWR65" s="33"/>
      <c r="BWS65" s="33"/>
      <c r="BWT65" s="33"/>
      <c r="BWU65" s="33"/>
      <c r="BWV65" s="33"/>
      <c r="BWW65" s="137"/>
      <c r="BWX65" s="33"/>
      <c r="BWY65" s="33"/>
      <c r="BWZ65" s="33"/>
      <c r="BXA65" s="33"/>
      <c r="BXB65" s="33"/>
      <c r="BXC65" s="74"/>
      <c r="BXD65" s="33"/>
      <c r="BXE65" s="33"/>
      <c r="BXF65" s="33"/>
      <c r="BXG65" s="33"/>
      <c r="BXH65" s="33"/>
      <c r="BXI65" s="34"/>
      <c r="BXJ65" s="32"/>
      <c r="BXK65" s="64"/>
      <c r="BXL65" s="64"/>
      <c r="BXM65" s="64"/>
      <c r="BXN65" s="33"/>
      <c r="BXO65" s="132"/>
      <c r="BXP65" s="33"/>
      <c r="BXQ65" s="33"/>
      <c r="BXR65" s="33"/>
      <c r="BXS65" s="33"/>
      <c r="BXT65" s="33"/>
      <c r="BXU65" s="137"/>
      <c r="BXV65" s="33"/>
      <c r="BXW65" s="33"/>
      <c r="BXX65" s="33"/>
      <c r="BXY65" s="33"/>
      <c r="BXZ65" s="33"/>
      <c r="BYA65" s="74"/>
      <c r="BYB65" s="33"/>
      <c r="BYC65" s="33"/>
      <c r="BYD65" s="33"/>
      <c r="BYE65" s="33"/>
      <c r="BYF65" s="33"/>
      <c r="BYG65" s="137"/>
      <c r="BYH65" s="33"/>
      <c r="BYI65" s="33"/>
      <c r="BYJ65" s="33"/>
      <c r="BYK65" s="33"/>
      <c r="BYL65" s="33"/>
      <c r="BYM65" s="74"/>
      <c r="BYN65" s="64"/>
      <c r="BYO65" s="64"/>
      <c r="BYP65" s="64"/>
      <c r="BYQ65" s="64"/>
      <c r="BYR65" s="33"/>
      <c r="BYS65" s="137"/>
      <c r="BYT65" s="33"/>
      <c r="BYU65" s="33"/>
      <c r="BYV65" s="33"/>
      <c r="BYW65" s="33"/>
      <c r="BYX65" s="33"/>
      <c r="BYY65" s="74"/>
      <c r="BYZ65" s="33"/>
      <c r="BZA65" s="33"/>
      <c r="BZB65" s="33"/>
      <c r="BZC65" s="33"/>
      <c r="BZD65" s="33"/>
      <c r="BZE65" s="137"/>
      <c r="BZF65" s="33"/>
      <c r="BZG65" s="33"/>
      <c r="BZH65" s="33"/>
      <c r="BZI65" s="33"/>
      <c r="BZJ65" s="33"/>
      <c r="BZK65" s="74"/>
      <c r="BZL65" s="33"/>
      <c r="BZM65" s="33"/>
      <c r="BZN65" s="33"/>
      <c r="BZO65" s="33"/>
      <c r="BZP65" s="33"/>
      <c r="BZQ65" s="34"/>
      <c r="BZR65" s="32"/>
      <c r="BZS65" s="64"/>
      <c r="BZT65" s="64"/>
      <c r="BZU65" s="64"/>
      <c r="BZV65" s="33"/>
      <c r="BZW65" s="132"/>
      <c r="BZX65" s="33"/>
      <c r="BZY65" s="33"/>
      <c r="BZZ65" s="33"/>
      <c r="CAA65" s="33"/>
      <c r="CAB65" s="33"/>
      <c r="CAC65" s="137"/>
      <c r="CAD65" s="33"/>
      <c r="CAE65" s="33"/>
      <c r="CAF65" s="33"/>
      <c r="CAG65" s="33"/>
      <c r="CAH65" s="33"/>
      <c r="CAI65" s="74"/>
      <c r="CAJ65" s="33"/>
      <c r="CAK65" s="33"/>
      <c r="CAL65" s="33"/>
      <c r="CAM65" s="33"/>
      <c r="CAN65" s="33"/>
      <c r="CAO65" s="137"/>
      <c r="CAP65" s="33"/>
      <c r="CAQ65" s="33"/>
      <c r="CAR65" s="33"/>
      <c r="CAS65" s="33"/>
      <c r="CAT65" s="33"/>
      <c r="CAU65" s="74"/>
      <c r="CAV65" s="64"/>
      <c r="CAW65" s="64"/>
      <c r="CAX65" s="64"/>
      <c r="CAY65" s="64"/>
      <c r="CAZ65" s="33"/>
      <c r="CBA65" s="137"/>
      <c r="CBB65" s="33"/>
      <c r="CBC65" s="33"/>
      <c r="CBD65" s="33"/>
      <c r="CBE65" s="33"/>
      <c r="CBF65" s="33"/>
      <c r="CBG65" s="74"/>
      <c r="CBH65" s="33"/>
      <c r="CBI65" s="33"/>
      <c r="CBJ65" s="33"/>
      <c r="CBK65" s="33"/>
      <c r="CBL65" s="33"/>
      <c r="CBM65" s="137"/>
      <c r="CBN65" s="33"/>
      <c r="CBO65" s="33"/>
      <c r="CBP65" s="33"/>
      <c r="CBQ65" s="33"/>
      <c r="CBR65" s="33"/>
      <c r="CBS65" s="74"/>
      <c r="CBT65" s="33"/>
      <c r="CBU65" s="33"/>
      <c r="CBV65" s="33"/>
      <c r="CBW65" s="33"/>
      <c r="CBX65" s="33"/>
      <c r="CBY65" s="34"/>
      <c r="CBZ65" s="90"/>
    </row>
    <row r="66" spans="1:2106" ht="20.100000000000001" customHeight="1" x14ac:dyDescent="0.3">
      <c r="A66" s="100" t="s">
        <v>23</v>
      </c>
      <c r="B66" s="63"/>
      <c r="C66" s="171"/>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36"/>
      <c r="BLW66" s="65"/>
      <c r="BLX66" s="65"/>
      <c r="BLY66" s="65"/>
      <c r="BLZ66" s="37"/>
      <c r="BMA66" s="133"/>
      <c r="BMB66" s="37"/>
      <c r="BMC66" s="37"/>
      <c r="BMD66" s="37"/>
      <c r="BME66" s="37"/>
      <c r="BMF66" s="37"/>
      <c r="BMG66" s="138"/>
      <c r="BMH66" s="37"/>
      <c r="BMI66" s="37"/>
      <c r="BMJ66" s="37"/>
      <c r="BMK66" s="37"/>
      <c r="BML66" s="37"/>
      <c r="BMM66" s="75"/>
      <c r="BMN66" s="37"/>
      <c r="BMO66" s="37"/>
      <c r="BMP66" s="37"/>
      <c r="BMQ66" s="37"/>
      <c r="BMR66" s="37"/>
      <c r="BMS66" s="138"/>
      <c r="BMT66" s="37"/>
      <c r="BMU66" s="37"/>
      <c r="BMV66" s="37"/>
      <c r="BMW66" s="37"/>
      <c r="BMX66" s="37"/>
      <c r="BMY66" s="75"/>
      <c r="BMZ66" s="65"/>
      <c r="BNA66" s="65"/>
      <c r="BNB66" s="65"/>
      <c r="BNC66" s="65"/>
      <c r="BND66" s="37"/>
      <c r="BNE66" s="138"/>
      <c r="BNF66" s="37"/>
      <c r="BNG66" s="37"/>
      <c r="BNH66" s="37"/>
      <c r="BNI66" s="37"/>
      <c r="BNJ66" s="37"/>
      <c r="BNK66" s="75"/>
      <c r="BNL66" s="37"/>
      <c r="BNM66" s="37"/>
      <c r="BNN66" s="37"/>
      <c r="BNO66" s="37"/>
      <c r="BNP66" s="37"/>
      <c r="BNQ66" s="138"/>
      <c r="BNR66" s="37"/>
      <c r="BNS66" s="37"/>
      <c r="BNT66" s="37"/>
      <c r="BNU66" s="37"/>
      <c r="BNV66" s="37"/>
      <c r="BNW66" s="75"/>
      <c r="BNX66" s="37"/>
      <c r="BNY66" s="37"/>
      <c r="BNZ66" s="37"/>
      <c r="BOA66" s="37"/>
      <c r="BOB66" s="37"/>
      <c r="BOC66" s="38"/>
      <c r="BOD66" s="36"/>
      <c r="BOE66" s="65"/>
      <c r="BOF66" s="65"/>
      <c r="BOG66" s="65"/>
      <c r="BOH66" s="37"/>
      <c r="BOI66" s="133"/>
      <c r="BOJ66" s="37"/>
      <c r="BOK66" s="37"/>
      <c r="BOL66" s="37"/>
      <c r="BOM66" s="37"/>
      <c r="BON66" s="37"/>
      <c r="BOO66" s="138"/>
      <c r="BOP66" s="37"/>
      <c r="BOQ66" s="37"/>
      <c r="BOR66" s="37"/>
      <c r="BOS66" s="37"/>
      <c r="BOT66" s="37"/>
      <c r="BOU66" s="75"/>
      <c r="BOV66" s="37"/>
      <c r="BOW66" s="37"/>
      <c r="BOX66" s="37"/>
      <c r="BOY66" s="37"/>
      <c r="BOZ66" s="37"/>
      <c r="BPA66" s="138"/>
      <c r="BPB66" s="37"/>
      <c r="BPC66" s="37"/>
      <c r="BPD66" s="37"/>
      <c r="BPE66" s="37"/>
      <c r="BPF66" s="37"/>
      <c r="BPG66" s="75"/>
      <c r="BPH66" s="65"/>
      <c r="BPI66" s="65"/>
      <c r="BPJ66" s="65"/>
      <c r="BPK66" s="65"/>
      <c r="BPL66" s="37"/>
      <c r="BPM66" s="138"/>
      <c r="BPN66" s="37"/>
      <c r="BPO66" s="37"/>
      <c r="BPP66" s="37"/>
      <c r="BPQ66" s="37"/>
      <c r="BPR66" s="37"/>
      <c r="BPS66" s="75"/>
      <c r="BPT66" s="37"/>
      <c r="BPU66" s="37"/>
      <c r="BPV66" s="37"/>
      <c r="BPW66" s="37"/>
      <c r="BPX66" s="37"/>
      <c r="BPY66" s="138"/>
      <c r="BPZ66" s="37"/>
      <c r="BQA66" s="37"/>
      <c r="BQB66" s="37"/>
      <c r="BQC66" s="37"/>
      <c r="BQD66" s="37"/>
      <c r="BQE66" s="75"/>
      <c r="BQF66" s="37"/>
      <c r="BQG66" s="37"/>
      <c r="BQH66" s="37"/>
      <c r="BQI66" s="37"/>
      <c r="BQJ66" s="37"/>
      <c r="BQK66" s="38"/>
      <c r="BQL66" s="36"/>
      <c r="BQM66" s="65"/>
      <c r="BQN66" s="65"/>
      <c r="BQO66" s="65"/>
      <c r="BQP66" s="37"/>
      <c r="BQQ66" s="133"/>
      <c r="BQR66" s="37"/>
      <c r="BQS66" s="37"/>
      <c r="BQT66" s="37"/>
      <c r="BQU66" s="37"/>
      <c r="BQV66" s="37"/>
      <c r="BQW66" s="138"/>
      <c r="BQX66" s="37"/>
      <c r="BQY66" s="37"/>
      <c r="BQZ66" s="37"/>
      <c r="BRA66" s="37"/>
      <c r="BRB66" s="37"/>
      <c r="BRC66" s="75"/>
      <c r="BRD66" s="37"/>
      <c r="BRE66" s="37"/>
      <c r="BRF66" s="37"/>
      <c r="BRG66" s="37"/>
      <c r="BRH66" s="37"/>
      <c r="BRI66" s="138"/>
      <c r="BRJ66" s="37"/>
      <c r="BRK66" s="37"/>
      <c r="BRL66" s="37"/>
      <c r="BRM66" s="37"/>
      <c r="BRN66" s="37"/>
      <c r="BRO66" s="75"/>
      <c r="BRP66" s="65"/>
      <c r="BRQ66" s="65"/>
      <c r="BRR66" s="65"/>
      <c r="BRS66" s="65"/>
      <c r="BRT66" s="37"/>
      <c r="BRU66" s="138"/>
      <c r="BRV66" s="37"/>
      <c r="BRW66" s="37"/>
      <c r="BRX66" s="37"/>
      <c r="BRY66" s="37"/>
      <c r="BRZ66" s="37"/>
      <c r="BSA66" s="75"/>
      <c r="BSB66" s="37"/>
      <c r="BSC66" s="37"/>
      <c r="BSD66" s="37"/>
      <c r="BSE66" s="37"/>
      <c r="BSF66" s="37"/>
      <c r="BSG66" s="138"/>
      <c r="BSH66" s="37"/>
      <c r="BSI66" s="37"/>
      <c r="BSJ66" s="37"/>
      <c r="BSK66" s="37"/>
      <c r="BSL66" s="37"/>
      <c r="BSM66" s="75"/>
      <c r="BSN66" s="37"/>
      <c r="BSO66" s="37"/>
      <c r="BSP66" s="37"/>
      <c r="BSQ66" s="37"/>
      <c r="BSR66" s="37"/>
      <c r="BSS66" s="38"/>
      <c r="BST66" s="36"/>
      <c r="BSU66" s="65"/>
      <c r="BSV66" s="65"/>
      <c r="BSW66" s="65"/>
      <c r="BSX66" s="37"/>
      <c r="BSY66" s="133"/>
      <c r="BSZ66" s="37"/>
      <c r="BTA66" s="37"/>
      <c r="BTB66" s="37"/>
      <c r="BTC66" s="37"/>
      <c r="BTD66" s="37"/>
      <c r="BTE66" s="138"/>
      <c r="BTF66" s="37"/>
      <c r="BTG66" s="37"/>
      <c r="BTH66" s="37"/>
      <c r="BTI66" s="37"/>
      <c r="BTJ66" s="37"/>
      <c r="BTK66" s="75"/>
      <c r="BTL66" s="37"/>
      <c r="BTM66" s="37"/>
      <c r="BTN66" s="37"/>
      <c r="BTO66" s="37"/>
      <c r="BTP66" s="37"/>
      <c r="BTQ66" s="138"/>
      <c r="BTR66" s="37"/>
      <c r="BTS66" s="37"/>
      <c r="BTT66" s="37"/>
      <c r="BTU66" s="37"/>
      <c r="BTV66" s="37"/>
      <c r="BTW66" s="75"/>
      <c r="BTX66" s="65"/>
      <c r="BTY66" s="65"/>
      <c r="BTZ66" s="65"/>
      <c r="BUA66" s="65"/>
      <c r="BUB66" s="37"/>
      <c r="BUC66" s="138"/>
      <c r="BUD66" s="37"/>
      <c r="BUE66" s="37"/>
      <c r="BUF66" s="37"/>
      <c r="BUG66" s="37"/>
      <c r="BUH66" s="37"/>
      <c r="BUI66" s="75"/>
      <c r="BUJ66" s="37"/>
      <c r="BUK66" s="37"/>
      <c r="BUL66" s="37"/>
      <c r="BUM66" s="37"/>
      <c r="BUN66" s="37"/>
      <c r="BUO66" s="138"/>
      <c r="BUP66" s="37"/>
      <c r="BUQ66" s="37"/>
      <c r="BUR66" s="37"/>
      <c r="BUS66" s="37"/>
      <c r="BUT66" s="37"/>
      <c r="BUU66" s="75"/>
      <c r="BUV66" s="37"/>
      <c r="BUW66" s="37"/>
      <c r="BUX66" s="37"/>
      <c r="BUY66" s="37"/>
      <c r="BUZ66" s="37"/>
      <c r="BVA66" s="38"/>
      <c r="BVB66" s="36"/>
      <c r="BVC66" s="65"/>
      <c r="BVD66" s="65"/>
      <c r="BVE66" s="65"/>
      <c r="BVF66" s="37"/>
      <c r="BVG66" s="133"/>
      <c r="BVH66" s="37"/>
      <c r="BVI66" s="37"/>
      <c r="BVJ66" s="37"/>
      <c r="BVK66" s="37"/>
      <c r="BVL66" s="37"/>
      <c r="BVM66" s="138"/>
      <c r="BVN66" s="37"/>
      <c r="BVO66" s="37"/>
      <c r="BVP66" s="37"/>
      <c r="BVQ66" s="37"/>
      <c r="BVR66" s="37"/>
      <c r="BVS66" s="75"/>
      <c r="BVT66" s="37"/>
      <c r="BVU66" s="37"/>
      <c r="BVV66" s="37"/>
      <c r="BVW66" s="37"/>
      <c r="BVX66" s="37"/>
      <c r="BVY66" s="138"/>
      <c r="BVZ66" s="37"/>
      <c r="BWA66" s="37"/>
      <c r="BWB66" s="37"/>
      <c r="BWC66" s="37"/>
      <c r="BWD66" s="37"/>
      <c r="BWE66" s="75"/>
      <c r="BWF66" s="65"/>
      <c r="BWG66" s="65"/>
      <c r="BWH66" s="65"/>
      <c r="BWI66" s="65"/>
      <c r="BWJ66" s="37"/>
      <c r="BWK66" s="138"/>
      <c r="BWL66" s="37"/>
      <c r="BWM66" s="37"/>
      <c r="BWN66" s="37"/>
      <c r="BWO66" s="37"/>
      <c r="BWP66" s="37"/>
      <c r="BWQ66" s="75"/>
      <c r="BWR66" s="37"/>
      <c r="BWS66" s="37"/>
      <c r="BWT66" s="37"/>
      <c r="BWU66" s="37"/>
      <c r="BWV66" s="37"/>
      <c r="BWW66" s="138"/>
      <c r="BWX66" s="37"/>
      <c r="BWY66" s="37"/>
      <c r="BWZ66" s="37"/>
      <c r="BXA66" s="37"/>
      <c r="BXB66" s="37"/>
      <c r="BXC66" s="75"/>
      <c r="BXD66" s="37"/>
      <c r="BXE66" s="37"/>
      <c r="BXF66" s="37"/>
      <c r="BXG66" s="37"/>
      <c r="BXH66" s="37"/>
      <c r="BXI66" s="38"/>
      <c r="BXJ66" s="36"/>
      <c r="BXK66" s="65"/>
      <c r="BXL66" s="65"/>
      <c r="BXM66" s="65"/>
      <c r="BXN66" s="37"/>
      <c r="BXO66" s="133"/>
      <c r="BXP66" s="37"/>
      <c r="BXQ66" s="37"/>
      <c r="BXR66" s="37"/>
      <c r="BXS66" s="37"/>
      <c r="BXT66" s="37"/>
      <c r="BXU66" s="138"/>
      <c r="BXV66" s="37"/>
      <c r="BXW66" s="37"/>
      <c r="BXX66" s="37"/>
      <c r="BXY66" s="37"/>
      <c r="BXZ66" s="37"/>
      <c r="BYA66" s="75"/>
      <c r="BYB66" s="37"/>
      <c r="BYC66" s="37"/>
      <c r="BYD66" s="37"/>
      <c r="BYE66" s="37"/>
      <c r="BYF66" s="37"/>
      <c r="BYG66" s="138"/>
      <c r="BYH66" s="37"/>
      <c r="BYI66" s="37"/>
      <c r="BYJ66" s="37"/>
      <c r="BYK66" s="37"/>
      <c r="BYL66" s="37"/>
      <c r="BYM66" s="75"/>
      <c r="BYN66" s="65"/>
      <c r="BYO66" s="65"/>
      <c r="BYP66" s="65"/>
      <c r="BYQ66" s="65"/>
      <c r="BYR66" s="37"/>
      <c r="BYS66" s="138"/>
      <c r="BYT66" s="37"/>
      <c r="BYU66" s="37"/>
      <c r="BYV66" s="37"/>
      <c r="BYW66" s="37"/>
      <c r="BYX66" s="37"/>
      <c r="BYY66" s="75"/>
      <c r="BYZ66" s="37"/>
      <c r="BZA66" s="37"/>
      <c r="BZB66" s="37"/>
      <c r="BZC66" s="37"/>
      <c r="BZD66" s="37"/>
      <c r="BZE66" s="138"/>
      <c r="BZF66" s="37"/>
      <c r="BZG66" s="37"/>
      <c r="BZH66" s="37"/>
      <c r="BZI66" s="37"/>
      <c r="BZJ66" s="37"/>
      <c r="BZK66" s="75"/>
      <c r="BZL66" s="37"/>
      <c r="BZM66" s="37"/>
      <c r="BZN66" s="37"/>
      <c r="BZO66" s="37"/>
      <c r="BZP66" s="37"/>
      <c r="BZQ66" s="38"/>
      <c r="BZR66" s="36"/>
      <c r="BZS66" s="65"/>
      <c r="BZT66" s="65"/>
      <c r="BZU66" s="65"/>
      <c r="BZV66" s="37"/>
      <c r="BZW66" s="133"/>
      <c r="BZX66" s="37"/>
      <c r="BZY66" s="37"/>
      <c r="BZZ66" s="37"/>
      <c r="CAA66" s="37"/>
      <c r="CAB66" s="37"/>
      <c r="CAC66" s="138"/>
      <c r="CAD66" s="37"/>
      <c r="CAE66" s="37"/>
      <c r="CAF66" s="37"/>
      <c r="CAG66" s="37"/>
      <c r="CAH66" s="37"/>
      <c r="CAI66" s="75"/>
      <c r="CAJ66" s="37"/>
      <c r="CAK66" s="37"/>
      <c r="CAL66" s="37"/>
      <c r="CAM66" s="37"/>
      <c r="CAN66" s="37"/>
      <c r="CAO66" s="138"/>
      <c r="CAP66" s="37"/>
      <c r="CAQ66" s="37"/>
      <c r="CAR66" s="37"/>
      <c r="CAS66" s="37"/>
      <c r="CAT66" s="37"/>
      <c r="CAU66" s="75"/>
      <c r="CAV66" s="65"/>
      <c r="CAW66" s="65"/>
      <c r="CAX66" s="65"/>
      <c r="CAY66" s="65"/>
      <c r="CAZ66" s="37"/>
      <c r="CBA66" s="138"/>
      <c r="CBB66" s="37"/>
      <c r="CBC66" s="37"/>
      <c r="CBD66" s="37"/>
      <c r="CBE66" s="37"/>
      <c r="CBF66" s="37"/>
      <c r="CBG66" s="75"/>
      <c r="CBH66" s="37"/>
      <c r="CBI66" s="37"/>
      <c r="CBJ66" s="37"/>
      <c r="CBK66" s="37"/>
      <c r="CBL66" s="37"/>
      <c r="CBM66" s="138"/>
      <c r="CBN66" s="37"/>
      <c r="CBO66" s="37"/>
      <c r="CBP66" s="37"/>
      <c r="CBQ66" s="37"/>
      <c r="CBR66" s="37"/>
      <c r="CBS66" s="75"/>
      <c r="CBT66" s="37"/>
      <c r="CBU66" s="37"/>
      <c r="CBV66" s="37"/>
      <c r="CBW66" s="37"/>
      <c r="CBX66" s="37"/>
      <c r="CBY66" s="38"/>
      <c r="CBZ66" s="90"/>
    </row>
    <row r="67" spans="1:2106" ht="20.100000000000001" customHeight="1" x14ac:dyDescent="0.25">
      <c r="A67" s="100" t="s">
        <v>22</v>
      </c>
      <c r="B67" s="63"/>
      <c r="C67" s="170"/>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40"/>
      <c r="BLW67" s="66"/>
      <c r="BLX67" s="66"/>
      <c r="BLY67" s="66"/>
      <c r="BLZ67" s="41"/>
      <c r="BMA67" s="134"/>
      <c r="BMB67" s="41"/>
      <c r="BMC67" s="41"/>
      <c r="BMD67" s="41"/>
      <c r="BME67" s="41"/>
      <c r="BMF67" s="41"/>
      <c r="BMG67" s="139"/>
      <c r="BMH67" s="41"/>
      <c r="BMI67" s="41"/>
      <c r="BMJ67" s="41"/>
      <c r="BMK67" s="41"/>
      <c r="BML67" s="41"/>
      <c r="BMM67" s="76"/>
      <c r="BMN67" s="41"/>
      <c r="BMO67" s="41"/>
      <c r="BMP67" s="41"/>
      <c r="BMQ67" s="41"/>
      <c r="BMR67" s="41"/>
      <c r="BMS67" s="139"/>
      <c r="BMT67" s="41"/>
      <c r="BMU67" s="41"/>
      <c r="BMV67" s="41"/>
      <c r="BMW67" s="41"/>
      <c r="BMX67" s="41"/>
      <c r="BMY67" s="76"/>
      <c r="BMZ67" s="66"/>
      <c r="BNA67" s="66"/>
      <c r="BNB67" s="66"/>
      <c r="BNC67" s="66"/>
      <c r="BND67" s="41"/>
      <c r="BNE67" s="139"/>
      <c r="BNF67" s="41"/>
      <c r="BNG67" s="41"/>
      <c r="BNH67" s="41"/>
      <c r="BNI67" s="41"/>
      <c r="BNJ67" s="41"/>
      <c r="BNK67" s="76"/>
      <c r="BNL67" s="41"/>
      <c r="BNM67" s="41"/>
      <c r="BNN67" s="41"/>
      <c r="BNO67" s="41"/>
      <c r="BNP67" s="41"/>
      <c r="BNQ67" s="139"/>
      <c r="BNR67" s="41"/>
      <c r="BNS67" s="41"/>
      <c r="BNT67" s="41"/>
      <c r="BNU67" s="41"/>
      <c r="BNV67" s="41"/>
      <c r="BNW67" s="76"/>
      <c r="BNX67" s="41"/>
      <c r="BNY67" s="41"/>
      <c r="BNZ67" s="41"/>
      <c r="BOA67" s="41"/>
      <c r="BOB67" s="41"/>
      <c r="BOC67" s="42"/>
      <c r="BOD67" s="40"/>
      <c r="BOE67" s="66"/>
      <c r="BOF67" s="66"/>
      <c r="BOG67" s="66"/>
      <c r="BOH67" s="41"/>
      <c r="BOI67" s="134"/>
      <c r="BOJ67" s="41"/>
      <c r="BOK67" s="41"/>
      <c r="BOL67" s="41"/>
      <c r="BOM67" s="41"/>
      <c r="BON67" s="41"/>
      <c r="BOO67" s="139"/>
      <c r="BOP67" s="41"/>
      <c r="BOQ67" s="41"/>
      <c r="BOR67" s="41"/>
      <c r="BOS67" s="41"/>
      <c r="BOT67" s="41"/>
      <c r="BOU67" s="76"/>
      <c r="BOV67" s="41"/>
      <c r="BOW67" s="41"/>
      <c r="BOX67" s="41"/>
      <c r="BOY67" s="41"/>
      <c r="BOZ67" s="41"/>
      <c r="BPA67" s="139"/>
      <c r="BPB67" s="41"/>
      <c r="BPC67" s="41"/>
      <c r="BPD67" s="41"/>
      <c r="BPE67" s="41"/>
      <c r="BPF67" s="41"/>
      <c r="BPG67" s="76"/>
      <c r="BPH67" s="66"/>
      <c r="BPI67" s="66"/>
      <c r="BPJ67" s="66"/>
      <c r="BPK67" s="66"/>
      <c r="BPL67" s="41"/>
      <c r="BPM67" s="139"/>
      <c r="BPN67" s="41"/>
      <c r="BPO67" s="41"/>
      <c r="BPP67" s="41"/>
      <c r="BPQ67" s="41"/>
      <c r="BPR67" s="41"/>
      <c r="BPS67" s="76"/>
      <c r="BPT67" s="41"/>
      <c r="BPU67" s="41"/>
      <c r="BPV67" s="41"/>
      <c r="BPW67" s="41"/>
      <c r="BPX67" s="41"/>
      <c r="BPY67" s="139"/>
      <c r="BPZ67" s="41"/>
      <c r="BQA67" s="41"/>
      <c r="BQB67" s="41"/>
      <c r="BQC67" s="41"/>
      <c r="BQD67" s="41"/>
      <c r="BQE67" s="76"/>
      <c r="BQF67" s="41"/>
      <c r="BQG67" s="41"/>
      <c r="BQH67" s="41"/>
      <c r="BQI67" s="41"/>
      <c r="BQJ67" s="41"/>
      <c r="BQK67" s="42"/>
      <c r="BQL67" s="40"/>
      <c r="BQM67" s="66"/>
      <c r="BQN67" s="66"/>
      <c r="BQO67" s="66"/>
      <c r="BQP67" s="41"/>
      <c r="BQQ67" s="134"/>
      <c r="BQR67" s="41"/>
      <c r="BQS67" s="41"/>
      <c r="BQT67" s="41"/>
      <c r="BQU67" s="41"/>
      <c r="BQV67" s="41"/>
      <c r="BQW67" s="139"/>
      <c r="BQX67" s="41"/>
      <c r="BQY67" s="41"/>
      <c r="BQZ67" s="41"/>
      <c r="BRA67" s="41"/>
      <c r="BRB67" s="41"/>
      <c r="BRC67" s="76"/>
      <c r="BRD67" s="41"/>
      <c r="BRE67" s="41"/>
      <c r="BRF67" s="41"/>
      <c r="BRG67" s="41"/>
      <c r="BRH67" s="41"/>
      <c r="BRI67" s="139"/>
      <c r="BRJ67" s="41"/>
      <c r="BRK67" s="41"/>
      <c r="BRL67" s="41"/>
      <c r="BRM67" s="41"/>
      <c r="BRN67" s="41"/>
      <c r="BRO67" s="76"/>
      <c r="BRP67" s="66"/>
      <c r="BRQ67" s="66"/>
      <c r="BRR67" s="66"/>
      <c r="BRS67" s="66"/>
      <c r="BRT67" s="41"/>
      <c r="BRU67" s="139"/>
      <c r="BRV67" s="41"/>
      <c r="BRW67" s="41"/>
      <c r="BRX67" s="41"/>
      <c r="BRY67" s="41"/>
      <c r="BRZ67" s="41"/>
      <c r="BSA67" s="76"/>
      <c r="BSB67" s="41"/>
      <c r="BSC67" s="41"/>
      <c r="BSD67" s="41"/>
      <c r="BSE67" s="41"/>
      <c r="BSF67" s="41"/>
      <c r="BSG67" s="139"/>
      <c r="BSH67" s="41"/>
      <c r="BSI67" s="41"/>
      <c r="BSJ67" s="41"/>
      <c r="BSK67" s="41"/>
      <c r="BSL67" s="41"/>
      <c r="BSM67" s="76"/>
      <c r="BSN67" s="41"/>
      <c r="BSO67" s="41"/>
      <c r="BSP67" s="41"/>
      <c r="BSQ67" s="41"/>
      <c r="BSR67" s="41"/>
      <c r="BSS67" s="42"/>
      <c r="BST67" s="40"/>
      <c r="BSU67" s="66"/>
      <c r="BSV67" s="66"/>
      <c r="BSW67" s="66"/>
      <c r="BSX67" s="41"/>
      <c r="BSY67" s="134"/>
      <c r="BSZ67" s="41"/>
      <c r="BTA67" s="41"/>
      <c r="BTB67" s="41"/>
      <c r="BTC67" s="41"/>
      <c r="BTD67" s="41"/>
      <c r="BTE67" s="139"/>
      <c r="BTF67" s="41"/>
      <c r="BTG67" s="41"/>
      <c r="BTH67" s="41"/>
      <c r="BTI67" s="41"/>
      <c r="BTJ67" s="41"/>
      <c r="BTK67" s="76"/>
      <c r="BTL67" s="41"/>
      <c r="BTM67" s="41"/>
      <c r="BTN67" s="41"/>
      <c r="BTO67" s="41"/>
      <c r="BTP67" s="41"/>
      <c r="BTQ67" s="139"/>
      <c r="BTR67" s="41"/>
      <c r="BTS67" s="41"/>
      <c r="BTT67" s="41"/>
      <c r="BTU67" s="41"/>
      <c r="BTV67" s="41"/>
      <c r="BTW67" s="76"/>
      <c r="BTX67" s="66"/>
      <c r="BTY67" s="66"/>
      <c r="BTZ67" s="66"/>
      <c r="BUA67" s="66"/>
      <c r="BUB67" s="41"/>
      <c r="BUC67" s="139"/>
      <c r="BUD67" s="41"/>
      <c r="BUE67" s="41"/>
      <c r="BUF67" s="41"/>
      <c r="BUG67" s="41"/>
      <c r="BUH67" s="41"/>
      <c r="BUI67" s="76"/>
      <c r="BUJ67" s="41"/>
      <c r="BUK67" s="41"/>
      <c r="BUL67" s="41"/>
      <c r="BUM67" s="41"/>
      <c r="BUN67" s="41"/>
      <c r="BUO67" s="139"/>
      <c r="BUP67" s="41"/>
      <c r="BUQ67" s="41"/>
      <c r="BUR67" s="41"/>
      <c r="BUS67" s="41"/>
      <c r="BUT67" s="41"/>
      <c r="BUU67" s="76"/>
      <c r="BUV67" s="41"/>
      <c r="BUW67" s="41"/>
      <c r="BUX67" s="41"/>
      <c r="BUY67" s="41"/>
      <c r="BUZ67" s="41"/>
      <c r="BVA67" s="42"/>
      <c r="BVB67" s="40"/>
      <c r="BVC67" s="66"/>
      <c r="BVD67" s="66"/>
      <c r="BVE67" s="66"/>
      <c r="BVF67" s="41"/>
      <c r="BVG67" s="134"/>
      <c r="BVH67" s="41"/>
      <c r="BVI67" s="41"/>
      <c r="BVJ67" s="41"/>
      <c r="BVK67" s="41"/>
      <c r="BVL67" s="41"/>
      <c r="BVM67" s="139"/>
      <c r="BVN67" s="41"/>
      <c r="BVO67" s="41"/>
      <c r="BVP67" s="41"/>
      <c r="BVQ67" s="41"/>
      <c r="BVR67" s="41"/>
      <c r="BVS67" s="76"/>
      <c r="BVT67" s="41"/>
      <c r="BVU67" s="41"/>
      <c r="BVV67" s="41"/>
      <c r="BVW67" s="41"/>
      <c r="BVX67" s="41"/>
      <c r="BVY67" s="139"/>
      <c r="BVZ67" s="41"/>
      <c r="BWA67" s="41"/>
      <c r="BWB67" s="41"/>
      <c r="BWC67" s="41"/>
      <c r="BWD67" s="41"/>
      <c r="BWE67" s="76"/>
      <c r="BWF67" s="66"/>
      <c r="BWG67" s="66"/>
      <c r="BWH67" s="66"/>
      <c r="BWI67" s="66"/>
      <c r="BWJ67" s="41"/>
      <c r="BWK67" s="139"/>
      <c r="BWL67" s="41"/>
      <c r="BWM67" s="41"/>
      <c r="BWN67" s="41"/>
      <c r="BWO67" s="41"/>
      <c r="BWP67" s="41"/>
      <c r="BWQ67" s="76"/>
      <c r="BWR67" s="41"/>
      <c r="BWS67" s="41"/>
      <c r="BWT67" s="41"/>
      <c r="BWU67" s="41"/>
      <c r="BWV67" s="41"/>
      <c r="BWW67" s="139"/>
      <c r="BWX67" s="41"/>
      <c r="BWY67" s="41"/>
      <c r="BWZ67" s="41"/>
      <c r="BXA67" s="41"/>
      <c r="BXB67" s="41"/>
      <c r="BXC67" s="76"/>
      <c r="BXD67" s="41"/>
      <c r="BXE67" s="41"/>
      <c r="BXF67" s="41"/>
      <c r="BXG67" s="41"/>
      <c r="BXH67" s="41"/>
      <c r="BXI67" s="42"/>
      <c r="BXJ67" s="40"/>
      <c r="BXK67" s="66"/>
      <c r="BXL67" s="66"/>
      <c r="BXM67" s="66"/>
      <c r="BXN67" s="41"/>
      <c r="BXO67" s="134"/>
      <c r="BXP67" s="41"/>
      <c r="BXQ67" s="41"/>
      <c r="BXR67" s="41"/>
      <c r="BXS67" s="41"/>
      <c r="BXT67" s="41"/>
      <c r="BXU67" s="139"/>
      <c r="BXV67" s="41"/>
      <c r="BXW67" s="41"/>
      <c r="BXX67" s="41"/>
      <c r="BXY67" s="41"/>
      <c r="BXZ67" s="41"/>
      <c r="BYA67" s="76"/>
      <c r="BYB67" s="41"/>
      <c r="BYC67" s="41"/>
      <c r="BYD67" s="41"/>
      <c r="BYE67" s="41"/>
      <c r="BYF67" s="41"/>
      <c r="BYG67" s="139"/>
      <c r="BYH67" s="41"/>
      <c r="BYI67" s="41"/>
      <c r="BYJ67" s="41"/>
      <c r="BYK67" s="41"/>
      <c r="BYL67" s="41"/>
      <c r="BYM67" s="76"/>
      <c r="BYN67" s="66"/>
      <c r="BYO67" s="66"/>
      <c r="BYP67" s="66"/>
      <c r="BYQ67" s="66"/>
      <c r="BYR67" s="41"/>
      <c r="BYS67" s="139"/>
      <c r="BYT67" s="41"/>
      <c r="BYU67" s="41"/>
      <c r="BYV67" s="41"/>
      <c r="BYW67" s="41"/>
      <c r="BYX67" s="41"/>
      <c r="BYY67" s="76"/>
      <c r="BYZ67" s="41"/>
      <c r="BZA67" s="41"/>
      <c r="BZB67" s="41"/>
      <c r="BZC67" s="41"/>
      <c r="BZD67" s="41"/>
      <c r="BZE67" s="139"/>
      <c r="BZF67" s="41"/>
      <c r="BZG67" s="41"/>
      <c r="BZH67" s="41"/>
      <c r="BZI67" s="41"/>
      <c r="BZJ67" s="41"/>
      <c r="BZK67" s="76"/>
      <c r="BZL67" s="41"/>
      <c r="BZM67" s="41"/>
      <c r="BZN67" s="41"/>
      <c r="BZO67" s="41"/>
      <c r="BZP67" s="41"/>
      <c r="BZQ67" s="42"/>
      <c r="BZR67" s="40"/>
      <c r="BZS67" s="66"/>
      <c r="BZT67" s="66"/>
      <c r="BZU67" s="66"/>
      <c r="BZV67" s="41"/>
      <c r="BZW67" s="134"/>
      <c r="BZX67" s="41"/>
      <c r="BZY67" s="41"/>
      <c r="BZZ67" s="41"/>
      <c r="CAA67" s="41"/>
      <c r="CAB67" s="41"/>
      <c r="CAC67" s="139"/>
      <c r="CAD67" s="41"/>
      <c r="CAE67" s="41"/>
      <c r="CAF67" s="41"/>
      <c r="CAG67" s="41"/>
      <c r="CAH67" s="41"/>
      <c r="CAI67" s="76"/>
      <c r="CAJ67" s="41"/>
      <c r="CAK67" s="41"/>
      <c r="CAL67" s="41"/>
      <c r="CAM67" s="41"/>
      <c r="CAN67" s="41"/>
      <c r="CAO67" s="139"/>
      <c r="CAP67" s="41"/>
      <c r="CAQ67" s="41"/>
      <c r="CAR67" s="41"/>
      <c r="CAS67" s="41"/>
      <c r="CAT67" s="41"/>
      <c r="CAU67" s="76"/>
      <c r="CAV67" s="66"/>
      <c r="CAW67" s="66"/>
      <c r="CAX67" s="66"/>
      <c r="CAY67" s="66"/>
      <c r="CAZ67" s="41"/>
      <c r="CBA67" s="139"/>
      <c r="CBB67" s="41"/>
      <c r="CBC67" s="41"/>
      <c r="CBD67" s="41"/>
      <c r="CBE67" s="41"/>
      <c r="CBF67" s="41"/>
      <c r="CBG67" s="76"/>
      <c r="CBH67" s="41"/>
      <c r="CBI67" s="41"/>
      <c r="CBJ67" s="41"/>
      <c r="CBK67" s="41"/>
      <c r="CBL67" s="41"/>
      <c r="CBM67" s="139"/>
      <c r="CBN67" s="41"/>
      <c r="CBO67" s="41"/>
      <c r="CBP67" s="41"/>
      <c r="CBQ67" s="41"/>
      <c r="CBR67" s="41"/>
      <c r="CBS67" s="76"/>
      <c r="CBT67" s="41"/>
      <c r="CBU67" s="41"/>
      <c r="CBV67" s="41"/>
      <c r="CBW67" s="41"/>
      <c r="CBX67" s="41"/>
      <c r="CBY67" s="42"/>
      <c r="CBZ67" s="90"/>
    </row>
    <row r="68" spans="1:2106" ht="20.100000000000001" customHeight="1" x14ac:dyDescent="0.25">
      <c r="A68" s="100" t="s">
        <v>23</v>
      </c>
      <c r="B68" s="63"/>
      <c r="C68" s="172"/>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28"/>
      <c r="BLW68" s="67"/>
      <c r="BLX68" s="67"/>
      <c r="BLY68" s="67"/>
      <c r="BLZ68" s="29"/>
      <c r="BMA68" s="131"/>
      <c r="BMB68" s="29"/>
      <c r="BMC68" s="29"/>
      <c r="BMD68" s="29"/>
      <c r="BME68" s="29"/>
      <c r="BMF68" s="29"/>
      <c r="BMG68" s="136"/>
      <c r="BMH68" s="29"/>
      <c r="BMI68" s="29"/>
      <c r="BMJ68" s="29"/>
      <c r="BMK68" s="29"/>
      <c r="BML68" s="29"/>
      <c r="BMM68" s="73"/>
      <c r="BMN68" s="29"/>
      <c r="BMO68" s="29"/>
      <c r="BMP68" s="29"/>
      <c r="BMQ68" s="29"/>
      <c r="BMR68" s="29"/>
      <c r="BMS68" s="136"/>
      <c r="BMT68" s="29"/>
      <c r="BMU68" s="29"/>
      <c r="BMV68" s="29"/>
      <c r="BMW68" s="29"/>
      <c r="BMX68" s="29"/>
      <c r="BMY68" s="73"/>
      <c r="BMZ68" s="67"/>
      <c r="BNA68" s="67"/>
      <c r="BNB68" s="67"/>
      <c r="BNC68" s="67"/>
      <c r="BND68" s="29"/>
      <c r="BNE68" s="136"/>
      <c r="BNF68" s="29"/>
      <c r="BNG68" s="29"/>
      <c r="BNH68" s="29"/>
      <c r="BNI68" s="29"/>
      <c r="BNJ68" s="29"/>
      <c r="BNK68" s="73"/>
      <c r="BNL68" s="29"/>
      <c r="BNM68" s="29"/>
      <c r="BNN68" s="29"/>
      <c r="BNO68" s="29"/>
      <c r="BNP68" s="29"/>
      <c r="BNQ68" s="136"/>
      <c r="BNR68" s="29"/>
      <c r="BNS68" s="29"/>
      <c r="BNT68" s="29"/>
      <c r="BNU68" s="29"/>
      <c r="BNV68" s="29"/>
      <c r="BNW68" s="73"/>
      <c r="BNX68" s="29"/>
      <c r="BNY68" s="29"/>
      <c r="BNZ68" s="29"/>
      <c r="BOA68" s="29"/>
      <c r="BOB68" s="29"/>
      <c r="BOC68" s="30"/>
      <c r="BOD68" s="28"/>
      <c r="BOE68" s="67"/>
      <c r="BOF68" s="67"/>
      <c r="BOG68" s="67"/>
      <c r="BOH68" s="29"/>
      <c r="BOI68" s="131"/>
      <c r="BOJ68" s="29"/>
      <c r="BOK68" s="29"/>
      <c r="BOL68" s="29"/>
      <c r="BOM68" s="29"/>
      <c r="BON68" s="29"/>
      <c r="BOO68" s="136"/>
      <c r="BOP68" s="29"/>
      <c r="BOQ68" s="29"/>
      <c r="BOR68" s="29"/>
      <c r="BOS68" s="29"/>
      <c r="BOT68" s="29"/>
      <c r="BOU68" s="73"/>
      <c r="BOV68" s="29"/>
      <c r="BOW68" s="29"/>
      <c r="BOX68" s="29"/>
      <c r="BOY68" s="29"/>
      <c r="BOZ68" s="29"/>
      <c r="BPA68" s="136"/>
      <c r="BPB68" s="29"/>
      <c r="BPC68" s="29"/>
      <c r="BPD68" s="29"/>
      <c r="BPE68" s="29"/>
      <c r="BPF68" s="29"/>
      <c r="BPG68" s="73"/>
      <c r="BPH68" s="67"/>
      <c r="BPI68" s="67"/>
      <c r="BPJ68" s="67"/>
      <c r="BPK68" s="67"/>
      <c r="BPL68" s="29"/>
      <c r="BPM68" s="136"/>
      <c r="BPN68" s="29"/>
      <c r="BPO68" s="29"/>
      <c r="BPP68" s="29"/>
      <c r="BPQ68" s="29"/>
      <c r="BPR68" s="29"/>
      <c r="BPS68" s="73"/>
      <c r="BPT68" s="29"/>
      <c r="BPU68" s="29"/>
      <c r="BPV68" s="29"/>
      <c r="BPW68" s="29"/>
      <c r="BPX68" s="29"/>
      <c r="BPY68" s="136"/>
      <c r="BPZ68" s="29"/>
      <c r="BQA68" s="29"/>
      <c r="BQB68" s="29"/>
      <c r="BQC68" s="29"/>
      <c r="BQD68" s="29"/>
      <c r="BQE68" s="73"/>
      <c r="BQF68" s="29"/>
      <c r="BQG68" s="29"/>
      <c r="BQH68" s="29"/>
      <c r="BQI68" s="29"/>
      <c r="BQJ68" s="29"/>
      <c r="BQK68" s="30"/>
      <c r="BQL68" s="28"/>
      <c r="BQM68" s="67"/>
      <c r="BQN68" s="67"/>
      <c r="BQO68" s="67"/>
      <c r="BQP68" s="29"/>
      <c r="BQQ68" s="131"/>
      <c r="BQR68" s="29"/>
      <c r="BQS68" s="29"/>
      <c r="BQT68" s="29"/>
      <c r="BQU68" s="29"/>
      <c r="BQV68" s="29"/>
      <c r="BQW68" s="136"/>
      <c r="BQX68" s="29"/>
      <c r="BQY68" s="29"/>
      <c r="BQZ68" s="29"/>
      <c r="BRA68" s="29"/>
      <c r="BRB68" s="29"/>
      <c r="BRC68" s="73"/>
      <c r="BRD68" s="29"/>
      <c r="BRE68" s="29"/>
      <c r="BRF68" s="29"/>
      <c r="BRG68" s="29"/>
      <c r="BRH68" s="29"/>
      <c r="BRI68" s="136"/>
      <c r="BRJ68" s="29"/>
      <c r="BRK68" s="29"/>
      <c r="BRL68" s="29"/>
      <c r="BRM68" s="29"/>
      <c r="BRN68" s="29"/>
      <c r="BRO68" s="73"/>
      <c r="BRP68" s="67"/>
      <c r="BRQ68" s="67"/>
      <c r="BRR68" s="67"/>
      <c r="BRS68" s="67"/>
      <c r="BRT68" s="29"/>
      <c r="BRU68" s="136"/>
      <c r="BRV68" s="29"/>
      <c r="BRW68" s="29"/>
      <c r="BRX68" s="29"/>
      <c r="BRY68" s="29"/>
      <c r="BRZ68" s="29"/>
      <c r="BSA68" s="73"/>
      <c r="BSB68" s="29"/>
      <c r="BSC68" s="29"/>
      <c r="BSD68" s="29"/>
      <c r="BSE68" s="29"/>
      <c r="BSF68" s="29"/>
      <c r="BSG68" s="136"/>
      <c r="BSH68" s="29"/>
      <c r="BSI68" s="29"/>
      <c r="BSJ68" s="29"/>
      <c r="BSK68" s="29"/>
      <c r="BSL68" s="29"/>
      <c r="BSM68" s="73"/>
      <c r="BSN68" s="29"/>
      <c r="BSO68" s="29"/>
      <c r="BSP68" s="29"/>
      <c r="BSQ68" s="29"/>
      <c r="BSR68" s="29"/>
      <c r="BSS68" s="30"/>
      <c r="BST68" s="28"/>
      <c r="BSU68" s="67"/>
      <c r="BSV68" s="67"/>
      <c r="BSW68" s="67"/>
      <c r="BSX68" s="29"/>
      <c r="BSY68" s="131"/>
      <c r="BSZ68" s="29"/>
      <c r="BTA68" s="29"/>
      <c r="BTB68" s="29"/>
      <c r="BTC68" s="29"/>
      <c r="BTD68" s="29"/>
      <c r="BTE68" s="136"/>
      <c r="BTF68" s="29"/>
      <c r="BTG68" s="29"/>
      <c r="BTH68" s="29"/>
      <c r="BTI68" s="29"/>
      <c r="BTJ68" s="29"/>
      <c r="BTK68" s="73"/>
      <c r="BTL68" s="29"/>
      <c r="BTM68" s="29"/>
      <c r="BTN68" s="29"/>
      <c r="BTO68" s="29"/>
      <c r="BTP68" s="29"/>
      <c r="BTQ68" s="136"/>
      <c r="BTR68" s="29"/>
      <c r="BTS68" s="29"/>
      <c r="BTT68" s="29"/>
      <c r="BTU68" s="29"/>
      <c r="BTV68" s="29"/>
      <c r="BTW68" s="73"/>
      <c r="BTX68" s="67"/>
      <c r="BTY68" s="67"/>
      <c r="BTZ68" s="67"/>
      <c r="BUA68" s="67"/>
      <c r="BUB68" s="29"/>
      <c r="BUC68" s="136"/>
      <c r="BUD68" s="29"/>
      <c r="BUE68" s="29"/>
      <c r="BUF68" s="29"/>
      <c r="BUG68" s="29"/>
      <c r="BUH68" s="29"/>
      <c r="BUI68" s="73"/>
      <c r="BUJ68" s="29"/>
      <c r="BUK68" s="29"/>
      <c r="BUL68" s="29"/>
      <c r="BUM68" s="29"/>
      <c r="BUN68" s="29"/>
      <c r="BUO68" s="136"/>
      <c r="BUP68" s="29"/>
      <c r="BUQ68" s="29"/>
      <c r="BUR68" s="29"/>
      <c r="BUS68" s="29"/>
      <c r="BUT68" s="29"/>
      <c r="BUU68" s="73"/>
      <c r="BUV68" s="29"/>
      <c r="BUW68" s="29"/>
      <c r="BUX68" s="29"/>
      <c r="BUY68" s="29"/>
      <c r="BUZ68" s="29"/>
      <c r="BVA68" s="30"/>
      <c r="BVB68" s="28"/>
      <c r="BVC68" s="67"/>
      <c r="BVD68" s="67"/>
      <c r="BVE68" s="67"/>
      <c r="BVF68" s="29"/>
      <c r="BVG68" s="131"/>
      <c r="BVH68" s="29"/>
      <c r="BVI68" s="29"/>
      <c r="BVJ68" s="29"/>
      <c r="BVK68" s="29"/>
      <c r="BVL68" s="29"/>
      <c r="BVM68" s="136"/>
      <c r="BVN68" s="29"/>
      <c r="BVO68" s="29"/>
      <c r="BVP68" s="29"/>
      <c r="BVQ68" s="29"/>
      <c r="BVR68" s="29"/>
      <c r="BVS68" s="73"/>
      <c r="BVT68" s="29"/>
      <c r="BVU68" s="29"/>
      <c r="BVV68" s="29"/>
      <c r="BVW68" s="29"/>
      <c r="BVX68" s="29"/>
      <c r="BVY68" s="136"/>
      <c r="BVZ68" s="29"/>
      <c r="BWA68" s="29"/>
      <c r="BWB68" s="29"/>
      <c r="BWC68" s="29"/>
      <c r="BWD68" s="29"/>
      <c r="BWE68" s="73"/>
      <c r="BWF68" s="67"/>
      <c r="BWG68" s="67"/>
      <c r="BWH68" s="67"/>
      <c r="BWI68" s="67"/>
      <c r="BWJ68" s="29"/>
      <c r="BWK68" s="136"/>
      <c r="BWL68" s="29"/>
      <c r="BWM68" s="29"/>
      <c r="BWN68" s="29"/>
      <c r="BWO68" s="29"/>
      <c r="BWP68" s="29"/>
      <c r="BWQ68" s="73"/>
      <c r="BWR68" s="29"/>
      <c r="BWS68" s="29"/>
      <c r="BWT68" s="29"/>
      <c r="BWU68" s="29"/>
      <c r="BWV68" s="29"/>
      <c r="BWW68" s="136"/>
      <c r="BWX68" s="29"/>
      <c r="BWY68" s="29"/>
      <c r="BWZ68" s="29"/>
      <c r="BXA68" s="29"/>
      <c r="BXB68" s="29"/>
      <c r="BXC68" s="73"/>
      <c r="BXD68" s="29"/>
      <c r="BXE68" s="29"/>
      <c r="BXF68" s="29"/>
      <c r="BXG68" s="29"/>
      <c r="BXH68" s="29"/>
      <c r="BXI68" s="30"/>
      <c r="BXJ68" s="28"/>
      <c r="BXK68" s="67"/>
      <c r="BXL68" s="67"/>
      <c r="BXM68" s="67"/>
      <c r="BXN68" s="29"/>
      <c r="BXO68" s="131"/>
      <c r="BXP68" s="29"/>
      <c r="BXQ68" s="29"/>
      <c r="BXR68" s="29"/>
      <c r="BXS68" s="29"/>
      <c r="BXT68" s="29"/>
      <c r="BXU68" s="136"/>
      <c r="BXV68" s="29"/>
      <c r="BXW68" s="29"/>
      <c r="BXX68" s="29"/>
      <c r="BXY68" s="29"/>
      <c r="BXZ68" s="29"/>
      <c r="BYA68" s="73"/>
      <c r="BYB68" s="29"/>
      <c r="BYC68" s="29"/>
      <c r="BYD68" s="29"/>
      <c r="BYE68" s="29"/>
      <c r="BYF68" s="29"/>
      <c r="BYG68" s="136"/>
      <c r="BYH68" s="29"/>
      <c r="BYI68" s="29"/>
      <c r="BYJ68" s="29"/>
      <c r="BYK68" s="29"/>
      <c r="BYL68" s="29"/>
      <c r="BYM68" s="73"/>
      <c r="BYN68" s="67"/>
      <c r="BYO68" s="67"/>
      <c r="BYP68" s="67"/>
      <c r="BYQ68" s="67"/>
      <c r="BYR68" s="29"/>
      <c r="BYS68" s="136"/>
      <c r="BYT68" s="29"/>
      <c r="BYU68" s="29"/>
      <c r="BYV68" s="29"/>
      <c r="BYW68" s="29"/>
      <c r="BYX68" s="29"/>
      <c r="BYY68" s="73"/>
      <c r="BYZ68" s="29"/>
      <c r="BZA68" s="29"/>
      <c r="BZB68" s="29"/>
      <c r="BZC68" s="29"/>
      <c r="BZD68" s="29"/>
      <c r="BZE68" s="136"/>
      <c r="BZF68" s="29"/>
      <c r="BZG68" s="29"/>
      <c r="BZH68" s="29"/>
      <c r="BZI68" s="29"/>
      <c r="BZJ68" s="29"/>
      <c r="BZK68" s="73"/>
      <c r="BZL68" s="29"/>
      <c r="BZM68" s="29"/>
      <c r="BZN68" s="29"/>
      <c r="BZO68" s="29"/>
      <c r="BZP68" s="29"/>
      <c r="BZQ68" s="30"/>
      <c r="BZR68" s="28"/>
      <c r="BZS68" s="67"/>
      <c r="BZT68" s="67"/>
      <c r="BZU68" s="67"/>
      <c r="BZV68" s="29"/>
      <c r="BZW68" s="131"/>
      <c r="BZX68" s="29"/>
      <c r="BZY68" s="29"/>
      <c r="BZZ68" s="29"/>
      <c r="CAA68" s="29"/>
      <c r="CAB68" s="29"/>
      <c r="CAC68" s="136"/>
      <c r="CAD68" s="29"/>
      <c r="CAE68" s="29"/>
      <c r="CAF68" s="29"/>
      <c r="CAG68" s="29"/>
      <c r="CAH68" s="29"/>
      <c r="CAI68" s="73"/>
      <c r="CAJ68" s="29"/>
      <c r="CAK68" s="29"/>
      <c r="CAL68" s="29"/>
      <c r="CAM68" s="29"/>
      <c r="CAN68" s="29"/>
      <c r="CAO68" s="136"/>
      <c r="CAP68" s="29"/>
      <c r="CAQ68" s="29"/>
      <c r="CAR68" s="29"/>
      <c r="CAS68" s="29"/>
      <c r="CAT68" s="29"/>
      <c r="CAU68" s="73"/>
      <c r="CAV68" s="67"/>
      <c r="CAW68" s="67"/>
      <c r="CAX68" s="67"/>
      <c r="CAY68" s="67"/>
      <c r="CAZ68" s="29"/>
      <c r="CBA68" s="136"/>
      <c r="CBB68" s="29"/>
      <c r="CBC68" s="29"/>
      <c r="CBD68" s="29"/>
      <c r="CBE68" s="29"/>
      <c r="CBF68" s="29"/>
      <c r="CBG68" s="73"/>
      <c r="CBH68" s="29"/>
      <c r="CBI68" s="29"/>
      <c r="CBJ68" s="29"/>
      <c r="CBK68" s="29"/>
      <c r="CBL68" s="29"/>
      <c r="CBM68" s="136"/>
      <c r="CBN68" s="29"/>
      <c r="CBO68" s="29"/>
      <c r="CBP68" s="29"/>
      <c r="CBQ68" s="29"/>
      <c r="CBR68" s="29"/>
      <c r="CBS68" s="73"/>
      <c r="CBT68" s="29"/>
      <c r="CBU68" s="29"/>
      <c r="CBV68" s="29"/>
      <c r="CBW68" s="29"/>
      <c r="CBX68" s="29"/>
      <c r="CBY68" s="30"/>
      <c r="CBZ68" s="90"/>
    </row>
    <row r="69" spans="1:2106" ht="20.100000000000001" customHeight="1" x14ac:dyDescent="0.25">
      <c r="A69" s="100" t="s">
        <v>22</v>
      </c>
      <c r="B69" s="63"/>
      <c r="C69" s="170"/>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32"/>
      <c r="BLW69" s="64"/>
      <c r="BLX69" s="64"/>
      <c r="BLY69" s="64"/>
      <c r="BLZ69" s="33"/>
      <c r="BMA69" s="132"/>
      <c r="BMB69" s="33"/>
      <c r="BMC69" s="33"/>
      <c r="BMD69" s="33"/>
      <c r="BME69" s="33"/>
      <c r="BMF69" s="33"/>
      <c r="BMG69" s="137"/>
      <c r="BMH69" s="33"/>
      <c r="BMI69" s="33"/>
      <c r="BMJ69" s="33"/>
      <c r="BMK69" s="33"/>
      <c r="BML69" s="33"/>
      <c r="BMM69" s="74"/>
      <c r="BMN69" s="33"/>
      <c r="BMO69" s="33"/>
      <c r="BMP69" s="33"/>
      <c r="BMQ69" s="33"/>
      <c r="BMR69" s="33"/>
      <c r="BMS69" s="137"/>
      <c r="BMT69" s="33"/>
      <c r="BMU69" s="33"/>
      <c r="BMV69" s="33"/>
      <c r="BMW69" s="33"/>
      <c r="BMX69" s="33"/>
      <c r="BMY69" s="74"/>
      <c r="BMZ69" s="64"/>
      <c r="BNA69" s="64"/>
      <c r="BNB69" s="64"/>
      <c r="BNC69" s="64"/>
      <c r="BND69" s="33"/>
      <c r="BNE69" s="137"/>
      <c r="BNF69" s="33"/>
      <c r="BNG69" s="33"/>
      <c r="BNH69" s="33"/>
      <c r="BNI69" s="33"/>
      <c r="BNJ69" s="33"/>
      <c r="BNK69" s="74"/>
      <c r="BNL69" s="33"/>
      <c r="BNM69" s="33"/>
      <c r="BNN69" s="33"/>
      <c r="BNO69" s="33"/>
      <c r="BNP69" s="33"/>
      <c r="BNQ69" s="137"/>
      <c r="BNR69" s="33"/>
      <c r="BNS69" s="33"/>
      <c r="BNT69" s="33"/>
      <c r="BNU69" s="33"/>
      <c r="BNV69" s="33"/>
      <c r="BNW69" s="74"/>
      <c r="BNX69" s="33"/>
      <c r="BNY69" s="33"/>
      <c r="BNZ69" s="33"/>
      <c r="BOA69" s="33"/>
      <c r="BOB69" s="33"/>
      <c r="BOC69" s="34"/>
      <c r="BOD69" s="32"/>
      <c r="BOE69" s="64"/>
      <c r="BOF69" s="64"/>
      <c r="BOG69" s="64"/>
      <c r="BOH69" s="33"/>
      <c r="BOI69" s="132"/>
      <c r="BOJ69" s="33"/>
      <c r="BOK69" s="33"/>
      <c r="BOL69" s="33"/>
      <c r="BOM69" s="33"/>
      <c r="BON69" s="33"/>
      <c r="BOO69" s="137"/>
      <c r="BOP69" s="33"/>
      <c r="BOQ69" s="33"/>
      <c r="BOR69" s="33"/>
      <c r="BOS69" s="33"/>
      <c r="BOT69" s="33"/>
      <c r="BOU69" s="74"/>
      <c r="BOV69" s="33"/>
      <c r="BOW69" s="33"/>
      <c r="BOX69" s="33"/>
      <c r="BOY69" s="33"/>
      <c r="BOZ69" s="33"/>
      <c r="BPA69" s="137"/>
      <c r="BPB69" s="33"/>
      <c r="BPC69" s="33"/>
      <c r="BPD69" s="33"/>
      <c r="BPE69" s="33"/>
      <c r="BPF69" s="33"/>
      <c r="BPG69" s="74"/>
      <c r="BPH69" s="64"/>
      <c r="BPI69" s="64"/>
      <c r="BPJ69" s="64"/>
      <c r="BPK69" s="64"/>
      <c r="BPL69" s="33"/>
      <c r="BPM69" s="137"/>
      <c r="BPN69" s="33"/>
      <c r="BPO69" s="33"/>
      <c r="BPP69" s="33"/>
      <c r="BPQ69" s="33"/>
      <c r="BPR69" s="33"/>
      <c r="BPS69" s="74"/>
      <c r="BPT69" s="33"/>
      <c r="BPU69" s="33"/>
      <c r="BPV69" s="33"/>
      <c r="BPW69" s="33"/>
      <c r="BPX69" s="33"/>
      <c r="BPY69" s="137"/>
      <c r="BPZ69" s="33"/>
      <c r="BQA69" s="33"/>
      <c r="BQB69" s="33"/>
      <c r="BQC69" s="33"/>
      <c r="BQD69" s="33"/>
      <c r="BQE69" s="74"/>
      <c r="BQF69" s="33"/>
      <c r="BQG69" s="33"/>
      <c r="BQH69" s="33"/>
      <c r="BQI69" s="33"/>
      <c r="BQJ69" s="33"/>
      <c r="BQK69" s="34"/>
      <c r="BQL69" s="32"/>
      <c r="BQM69" s="64"/>
      <c r="BQN69" s="64"/>
      <c r="BQO69" s="64"/>
      <c r="BQP69" s="33"/>
      <c r="BQQ69" s="132"/>
      <c r="BQR69" s="33"/>
      <c r="BQS69" s="33"/>
      <c r="BQT69" s="33"/>
      <c r="BQU69" s="33"/>
      <c r="BQV69" s="33"/>
      <c r="BQW69" s="137"/>
      <c r="BQX69" s="33"/>
      <c r="BQY69" s="33"/>
      <c r="BQZ69" s="33"/>
      <c r="BRA69" s="33"/>
      <c r="BRB69" s="33"/>
      <c r="BRC69" s="74"/>
      <c r="BRD69" s="33"/>
      <c r="BRE69" s="33"/>
      <c r="BRF69" s="33"/>
      <c r="BRG69" s="33"/>
      <c r="BRH69" s="33"/>
      <c r="BRI69" s="137"/>
      <c r="BRJ69" s="33"/>
      <c r="BRK69" s="33"/>
      <c r="BRL69" s="33"/>
      <c r="BRM69" s="33"/>
      <c r="BRN69" s="33"/>
      <c r="BRO69" s="74"/>
      <c r="BRP69" s="64"/>
      <c r="BRQ69" s="64"/>
      <c r="BRR69" s="64"/>
      <c r="BRS69" s="64"/>
      <c r="BRT69" s="33"/>
      <c r="BRU69" s="137"/>
      <c r="BRV69" s="33"/>
      <c r="BRW69" s="33"/>
      <c r="BRX69" s="33"/>
      <c r="BRY69" s="33"/>
      <c r="BRZ69" s="33"/>
      <c r="BSA69" s="74"/>
      <c r="BSB69" s="33"/>
      <c r="BSC69" s="33"/>
      <c r="BSD69" s="33"/>
      <c r="BSE69" s="33"/>
      <c r="BSF69" s="33"/>
      <c r="BSG69" s="137"/>
      <c r="BSH69" s="33"/>
      <c r="BSI69" s="33"/>
      <c r="BSJ69" s="33"/>
      <c r="BSK69" s="33"/>
      <c r="BSL69" s="33"/>
      <c r="BSM69" s="74"/>
      <c r="BSN69" s="33"/>
      <c r="BSO69" s="33"/>
      <c r="BSP69" s="33"/>
      <c r="BSQ69" s="33"/>
      <c r="BSR69" s="33"/>
      <c r="BSS69" s="34"/>
      <c r="BST69" s="32"/>
      <c r="BSU69" s="64"/>
      <c r="BSV69" s="64"/>
      <c r="BSW69" s="64"/>
      <c r="BSX69" s="33"/>
      <c r="BSY69" s="132"/>
      <c r="BSZ69" s="33"/>
      <c r="BTA69" s="33"/>
      <c r="BTB69" s="33"/>
      <c r="BTC69" s="33"/>
      <c r="BTD69" s="33"/>
      <c r="BTE69" s="137"/>
      <c r="BTF69" s="33"/>
      <c r="BTG69" s="33"/>
      <c r="BTH69" s="33"/>
      <c r="BTI69" s="33"/>
      <c r="BTJ69" s="33"/>
      <c r="BTK69" s="74"/>
      <c r="BTL69" s="33"/>
      <c r="BTM69" s="33"/>
      <c r="BTN69" s="33"/>
      <c r="BTO69" s="33"/>
      <c r="BTP69" s="33"/>
      <c r="BTQ69" s="137"/>
      <c r="BTR69" s="33"/>
      <c r="BTS69" s="33"/>
      <c r="BTT69" s="33"/>
      <c r="BTU69" s="33"/>
      <c r="BTV69" s="33"/>
      <c r="BTW69" s="74"/>
      <c r="BTX69" s="64"/>
      <c r="BTY69" s="64"/>
      <c r="BTZ69" s="64"/>
      <c r="BUA69" s="64"/>
      <c r="BUB69" s="33"/>
      <c r="BUC69" s="137"/>
      <c r="BUD69" s="33"/>
      <c r="BUE69" s="33"/>
      <c r="BUF69" s="33"/>
      <c r="BUG69" s="33"/>
      <c r="BUH69" s="33"/>
      <c r="BUI69" s="74"/>
      <c r="BUJ69" s="33"/>
      <c r="BUK69" s="33"/>
      <c r="BUL69" s="33"/>
      <c r="BUM69" s="33"/>
      <c r="BUN69" s="33"/>
      <c r="BUO69" s="137"/>
      <c r="BUP69" s="33"/>
      <c r="BUQ69" s="33"/>
      <c r="BUR69" s="33"/>
      <c r="BUS69" s="33"/>
      <c r="BUT69" s="33"/>
      <c r="BUU69" s="74"/>
      <c r="BUV69" s="33"/>
      <c r="BUW69" s="33"/>
      <c r="BUX69" s="33"/>
      <c r="BUY69" s="33"/>
      <c r="BUZ69" s="33"/>
      <c r="BVA69" s="34"/>
      <c r="BVB69" s="32"/>
      <c r="BVC69" s="64"/>
      <c r="BVD69" s="64"/>
      <c r="BVE69" s="64"/>
      <c r="BVF69" s="33"/>
      <c r="BVG69" s="132"/>
      <c r="BVH69" s="33"/>
      <c r="BVI69" s="33"/>
      <c r="BVJ69" s="33"/>
      <c r="BVK69" s="33"/>
      <c r="BVL69" s="33"/>
      <c r="BVM69" s="137"/>
      <c r="BVN69" s="33"/>
      <c r="BVO69" s="33"/>
      <c r="BVP69" s="33"/>
      <c r="BVQ69" s="33"/>
      <c r="BVR69" s="33"/>
      <c r="BVS69" s="74"/>
      <c r="BVT69" s="33"/>
      <c r="BVU69" s="33"/>
      <c r="BVV69" s="33"/>
      <c r="BVW69" s="33"/>
      <c r="BVX69" s="33"/>
      <c r="BVY69" s="137"/>
      <c r="BVZ69" s="33"/>
      <c r="BWA69" s="33"/>
      <c r="BWB69" s="33"/>
      <c r="BWC69" s="33"/>
      <c r="BWD69" s="33"/>
      <c r="BWE69" s="74"/>
      <c r="BWF69" s="64"/>
      <c r="BWG69" s="64"/>
      <c r="BWH69" s="64"/>
      <c r="BWI69" s="64"/>
      <c r="BWJ69" s="33"/>
      <c r="BWK69" s="137"/>
      <c r="BWL69" s="33"/>
      <c r="BWM69" s="33"/>
      <c r="BWN69" s="33"/>
      <c r="BWO69" s="33"/>
      <c r="BWP69" s="33"/>
      <c r="BWQ69" s="74"/>
      <c r="BWR69" s="33"/>
      <c r="BWS69" s="33"/>
      <c r="BWT69" s="33"/>
      <c r="BWU69" s="33"/>
      <c r="BWV69" s="33"/>
      <c r="BWW69" s="137"/>
      <c r="BWX69" s="33"/>
      <c r="BWY69" s="33"/>
      <c r="BWZ69" s="33"/>
      <c r="BXA69" s="33"/>
      <c r="BXB69" s="33"/>
      <c r="BXC69" s="74"/>
      <c r="BXD69" s="33"/>
      <c r="BXE69" s="33"/>
      <c r="BXF69" s="33"/>
      <c r="BXG69" s="33"/>
      <c r="BXH69" s="33"/>
      <c r="BXI69" s="34"/>
      <c r="BXJ69" s="32"/>
      <c r="BXK69" s="64"/>
      <c r="BXL69" s="64"/>
      <c r="BXM69" s="64"/>
      <c r="BXN69" s="33"/>
      <c r="BXO69" s="132"/>
      <c r="BXP69" s="33"/>
      <c r="BXQ69" s="33"/>
      <c r="BXR69" s="33"/>
      <c r="BXS69" s="33"/>
      <c r="BXT69" s="33"/>
      <c r="BXU69" s="137"/>
      <c r="BXV69" s="33"/>
      <c r="BXW69" s="33"/>
      <c r="BXX69" s="33"/>
      <c r="BXY69" s="33"/>
      <c r="BXZ69" s="33"/>
      <c r="BYA69" s="74"/>
      <c r="BYB69" s="33"/>
      <c r="BYC69" s="33"/>
      <c r="BYD69" s="33"/>
      <c r="BYE69" s="33"/>
      <c r="BYF69" s="33"/>
      <c r="BYG69" s="137"/>
      <c r="BYH69" s="33"/>
      <c r="BYI69" s="33"/>
      <c r="BYJ69" s="33"/>
      <c r="BYK69" s="33"/>
      <c r="BYL69" s="33"/>
      <c r="BYM69" s="74"/>
      <c r="BYN69" s="64"/>
      <c r="BYO69" s="64"/>
      <c r="BYP69" s="64"/>
      <c r="BYQ69" s="64"/>
      <c r="BYR69" s="33"/>
      <c r="BYS69" s="137"/>
      <c r="BYT69" s="33"/>
      <c r="BYU69" s="33"/>
      <c r="BYV69" s="33"/>
      <c r="BYW69" s="33"/>
      <c r="BYX69" s="33"/>
      <c r="BYY69" s="74"/>
      <c r="BYZ69" s="33"/>
      <c r="BZA69" s="33"/>
      <c r="BZB69" s="33"/>
      <c r="BZC69" s="33"/>
      <c r="BZD69" s="33"/>
      <c r="BZE69" s="137"/>
      <c r="BZF69" s="33"/>
      <c r="BZG69" s="33"/>
      <c r="BZH69" s="33"/>
      <c r="BZI69" s="33"/>
      <c r="BZJ69" s="33"/>
      <c r="BZK69" s="74"/>
      <c r="BZL69" s="33"/>
      <c r="BZM69" s="33"/>
      <c r="BZN69" s="33"/>
      <c r="BZO69" s="33"/>
      <c r="BZP69" s="33"/>
      <c r="BZQ69" s="34"/>
      <c r="BZR69" s="32"/>
      <c r="BZS69" s="64"/>
      <c r="BZT69" s="64"/>
      <c r="BZU69" s="64"/>
      <c r="BZV69" s="33"/>
      <c r="BZW69" s="132"/>
      <c r="BZX69" s="33"/>
      <c r="BZY69" s="33"/>
      <c r="BZZ69" s="33"/>
      <c r="CAA69" s="33"/>
      <c r="CAB69" s="33"/>
      <c r="CAC69" s="137"/>
      <c r="CAD69" s="33"/>
      <c r="CAE69" s="33"/>
      <c r="CAF69" s="33"/>
      <c r="CAG69" s="33"/>
      <c r="CAH69" s="33"/>
      <c r="CAI69" s="74"/>
      <c r="CAJ69" s="33"/>
      <c r="CAK69" s="33"/>
      <c r="CAL69" s="33"/>
      <c r="CAM69" s="33"/>
      <c r="CAN69" s="33"/>
      <c r="CAO69" s="137"/>
      <c r="CAP69" s="33"/>
      <c r="CAQ69" s="33"/>
      <c r="CAR69" s="33"/>
      <c r="CAS69" s="33"/>
      <c r="CAT69" s="33"/>
      <c r="CAU69" s="74"/>
      <c r="CAV69" s="64"/>
      <c r="CAW69" s="64"/>
      <c r="CAX69" s="64"/>
      <c r="CAY69" s="64"/>
      <c r="CAZ69" s="33"/>
      <c r="CBA69" s="137"/>
      <c r="CBB69" s="33"/>
      <c r="CBC69" s="33"/>
      <c r="CBD69" s="33"/>
      <c r="CBE69" s="33"/>
      <c r="CBF69" s="33"/>
      <c r="CBG69" s="74"/>
      <c r="CBH69" s="33"/>
      <c r="CBI69" s="33"/>
      <c r="CBJ69" s="33"/>
      <c r="CBK69" s="33"/>
      <c r="CBL69" s="33"/>
      <c r="CBM69" s="137"/>
      <c r="CBN69" s="33"/>
      <c r="CBO69" s="33"/>
      <c r="CBP69" s="33"/>
      <c r="CBQ69" s="33"/>
      <c r="CBR69" s="33"/>
      <c r="CBS69" s="74"/>
      <c r="CBT69" s="33"/>
      <c r="CBU69" s="33"/>
      <c r="CBV69" s="33"/>
      <c r="CBW69" s="33"/>
      <c r="CBX69" s="33"/>
      <c r="CBY69" s="34"/>
      <c r="CBZ69" s="90"/>
    </row>
    <row r="70" spans="1:2106" ht="20.100000000000001" customHeight="1" x14ac:dyDescent="0.3">
      <c r="A70" s="100" t="s">
        <v>23</v>
      </c>
      <c r="B70" s="63"/>
      <c r="C70" s="171"/>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36"/>
      <c r="BLW70" s="65"/>
      <c r="BLX70" s="65"/>
      <c r="BLY70" s="65"/>
      <c r="BLZ70" s="37"/>
      <c r="BMA70" s="133"/>
      <c r="BMB70" s="37"/>
      <c r="BMC70" s="37"/>
      <c r="BMD70" s="37"/>
      <c r="BME70" s="37"/>
      <c r="BMF70" s="37"/>
      <c r="BMG70" s="138"/>
      <c r="BMH70" s="37"/>
      <c r="BMI70" s="37"/>
      <c r="BMJ70" s="37"/>
      <c r="BMK70" s="37"/>
      <c r="BML70" s="37"/>
      <c r="BMM70" s="75"/>
      <c r="BMN70" s="37"/>
      <c r="BMO70" s="37"/>
      <c r="BMP70" s="37"/>
      <c r="BMQ70" s="37"/>
      <c r="BMR70" s="37"/>
      <c r="BMS70" s="138"/>
      <c r="BMT70" s="37"/>
      <c r="BMU70" s="37"/>
      <c r="BMV70" s="37"/>
      <c r="BMW70" s="37"/>
      <c r="BMX70" s="37"/>
      <c r="BMY70" s="75"/>
      <c r="BMZ70" s="65"/>
      <c r="BNA70" s="65"/>
      <c r="BNB70" s="65"/>
      <c r="BNC70" s="65"/>
      <c r="BND70" s="37"/>
      <c r="BNE70" s="138"/>
      <c r="BNF70" s="37"/>
      <c r="BNG70" s="37"/>
      <c r="BNH70" s="37"/>
      <c r="BNI70" s="37"/>
      <c r="BNJ70" s="37"/>
      <c r="BNK70" s="75"/>
      <c r="BNL70" s="37"/>
      <c r="BNM70" s="37"/>
      <c r="BNN70" s="37"/>
      <c r="BNO70" s="37"/>
      <c r="BNP70" s="37"/>
      <c r="BNQ70" s="138"/>
      <c r="BNR70" s="37"/>
      <c r="BNS70" s="37"/>
      <c r="BNT70" s="37"/>
      <c r="BNU70" s="37"/>
      <c r="BNV70" s="37"/>
      <c r="BNW70" s="75"/>
      <c r="BNX70" s="37"/>
      <c r="BNY70" s="37"/>
      <c r="BNZ70" s="37"/>
      <c r="BOA70" s="37"/>
      <c r="BOB70" s="37"/>
      <c r="BOC70" s="38"/>
      <c r="BOD70" s="36"/>
      <c r="BOE70" s="65"/>
      <c r="BOF70" s="65"/>
      <c r="BOG70" s="65"/>
      <c r="BOH70" s="37"/>
      <c r="BOI70" s="133"/>
      <c r="BOJ70" s="37"/>
      <c r="BOK70" s="37"/>
      <c r="BOL70" s="37"/>
      <c r="BOM70" s="37"/>
      <c r="BON70" s="37"/>
      <c r="BOO70" s="138"/>
      <c r="BOP70" s="37"/>
      <c r="BOQ70" s="37"/>
      <c r="BOR70" s="37"/>
      <c r="BOS70" s="37"/>
      <c r="BOT70" s="37"/>
      <c r="BOU70" s="75"/>
      <c r="BOV70" s="37"/>
      <c r="BOW70" s="37"/>
      <c r="BOX70" s="37"/>
      <c r="BOY70" s="37"/>
      <c r="BOZ70" s="37"/>
      <c r="BPA70" s="138"/>
      <c r="BPB70" s="37"/>
      <c r="BPC70" s="37"/>
      <c r="BPD70" s="37"/>
      <c r="BPE70" s="37"/>
      <c r="BPF70" s="37"/>
      <c r="BPG70" s="75"/>
      <c r="BPH70" s="65"/>
      <c r="BPI70" s="65"/>
      <c r="BPJ70" s="65"/>
      <c r="BPK70" s="65"/>
      <c r="BPL70" s="37"/>
      <c r="BPM70" s="138"/>
      <c r="BPN70" s="37"/>
      <c r="BPO70" s="37"/>
      <c r="BPP70" s="37"/>
      <c r="BPQ70" s="37"/>
      <c r="BPR70" s="37"/>
      <c r="BPS70" s="75"/>
      <c r="BPT70" s="37"/>
      <c r="BPU70" s="37"/>
      <c r="BPV70" s="37"/>
      <c r="BPW70" s="37"/>
      <c r="BPX70" s="37"/>
      <c r="BPY70" s="138"/>
      <c r="BPZ70" s="37"/>
      <c r="BQA70" s="37"/>
      <c r="BQB70" s="37"/>
      <c r="BQC70" s="37"/>
      <c r="BQD70" s="37"/>
      <c r="BQE70" s="75"/>
      <c r="BQF70" s="37"/>
      <c r="BQG70" s="37"/>
      <c r="BQH70" s="37"/>
      <c r="BQI70" s="37"/>
      <c r="BQJ70" s="37"/>
      <c r="BQK70" s="38"/>
      <c r="BQL70" s="36"/>
      <c r="BQM70" s="65"/>
      <c r="BQN70" s="65"/>
      <c r="BQO70" s="65"/>
      <c r="BQP70" s="37"/>
      <c r="BQQ70" s="133"/>
      <c r="BQR70" s="37"/>
      <c r="BQS70" s="37"/>
      <c r="BQT70" s="37"/>
      <c r="BQU70" s="37"/>
      <c r="BQV70" s="37"/>
      <c r="BQW70" s="138"/>
      <c r="BQX70" s="37"/>
      <c r="BQY70" s="37"/>
      <c r="BQZ70" s="37"/>
      <c r="BRA70" s="37"/>
      <c r="BRB70" s="37"/>
      <c r="BRC70" s="75"/>
      <c r="BRD70" s="37"/>
      <c r="BRE70" s="37"/>
      <c r="BRF70" s="37"/>
      <c r="BRG70" s="37"/>
      <c r="BRH70" s="37"/>
      <c r="BRI70" s="138"/>
      <c r="BRJ70" s="37"/>
      <c r="BRK70" s="37"/>
      <c r="BRL70" s="37"/>
      <c r="BRM70" s="37"/>
      <c r="BRN70" s="37"/>
      <c r="BRO70" s="75"/>
      <c r="BRP70" s="65"/>
      <c r="BRQ70" s="65"/>
      <c r="BRR70" s="65"/>
      <c r="BRS70" s="65"/>
      <c r="BRT70" s="37"/>
      <c r="BRU70" s="138"/>
      <c r="BRV70" s="37"/>
      <c r="BRW70" s="37"/>
      <c r="BRX70" s="37"/>
      <c r="BRY70" s="37"/>
      <c r="BRZ70" s="37"/>
      <c r="BSA70" s="75"/>
      <c r="BSB70" s="37"/>
      <c r="BSC70" s="37"/>
      <c r="BSD70" s="37"/>
      <c r="BSE70" s="37"/>
      <c r="BSF70" s="37"/>
      <c r="BSG70" s="138"/>
      <c r="BSH70" s="37"/>
      <c r="BSI70" s="37"/>
      <c r="BSJ70" s="37"/>
      <c r="BSK70" s="37"/>
      <c r="BSL70" s="37"/>
      <c r="BSM70" s="75"/>
      <c r="BSN70" s="37"/>
      <c r="BSO70" s="37"/>
      <c r="BSP70" s="37"/>
      <c r="BSQ70" s="37"/>
      <c r="BSR70" s="37"/>
      <c r="BSS70" s="38"/>
      <c r="BST70" s="36"/>
      <c r="BSU70" s="65"/>
      <c r="BSV70" s="65"/>
      <c r="BSW70" s="65"/>
      <c r="BSX70" s="37"/>
      <c r="BSY70" s="133"/>
      <c r="BSZ70" s="37"/>
      <c r="BTA70" s="37"/>
      <c r="BTB70" s="37"/>
      <c r="BTC70" s="37"/>
      <c r="BTD70" s="37"/>
      <c r="BTE70" s="138"/>
      <c r="BTF70" s="37"/>
      <c r="BTG70" s="37"/>
      <c r="BTH70" s="37"/>
      <c r="BTI70" s="37"/>
      <c r="BTJ70" s="37"/>
      <c r="BTK70" s="75"/>
      <c r="BTL70" s="37"/>
      <c r="BTM70" s="37"/>
      <c r="BTN70" s="37"/>
      <c r="BTO70" s="37"/>
      <c r="BTP70" s="37"/>
      <c r="BTQ70" s="138"/>
      <c r="BTR70" s="37"/>
      <c r="BTS70" s="37"/>
      <c r="BTT70" s="37"/>
      <c r="BTU70" s="37"/>
      <c r="BTV70" s="37"/>
      <c r="BTW70" s="75"/>
      <c r="BTX70" s="65"/>
      <c r="BTY70" s="65"/>
      <c r="BTZ70" s="65"/>
      <c r="BUA70" s="65"/>
      <c r="BUB70" s="37"/>
      <c r="BUC70" s="138"/>
      <c r="BUD70" s="37"/>
      <c r="BUE70" s="37"/>
      <c r="BUF70" s="37"/>
      <c r="BUG70" s="37"/>
      <c r="BUH70" s="37"/>
      <c r="BUI70" s="75"/>
      <c r="BUJ70" s="37"/>
      <c r="BUK70" s="37"/>
      <c r="BUL70" s="37"/>
      <c r="BUM70" s="37"/>
      <c r="BUN70" s="37"/>
      <c r="BUO70" s="138"/>
      <c r="BUP70" s="37"/>
      <c r="BUQ70" s="37"/>
      <c r="BUR70" s="37"/>
      <c r="BUS70" s="37"/>
      <c r="BUT70" s="37"/>
      <c r="BUU70" s="75"/>
      <c r="BUV70" s="37"/>
      <c r="BUW70" s="37"/>
      <c r="BUX70" s="37"/>
      <c r="BUY70" s="37"/>
      <c r="BUZ70" s="37"/>
      <c r="BVA70" s="38"/>
      <c r="BVB70" s="36"/>
      <c r="BVC70" s="65"/>
      <c r="BVD70" s="65"/>
      <c r="BVE70" s="65"/>
      <c r="BVF70" s="37"/>
      <c r="BVG70" s="133"/>
      <c r="BVH70" s="37"/>
      <c r="BVI70" s="37"/>
      <c r="BVJ70" s="37"/>
      <c r="BVK70" s="37"/>
      <c r="BVL70" s="37"/>
      <c r="BVM70" s="138"/>
      <c r="BVN70" s="37"/>
      <c r="BVO70" s="37"/>
      <c r="BVP70" s="37"/>
      <c r="BVQ70" s="37"/>
      <c r="BVR70" s="37"/>
      <c r="BVS70" s="75"/>
      <c r="BVT70" s="37"/>
      <c r="BVU70" s="37"/>
      <c r="BVV70" s="37"/>
      <c r="BVW70" s="37"/>
      <c r="BVX70" s="37"/>
      <c r="BVY70" s="138"/>
      <c r="BVZ70" s="37"/>
      <c r="BWA70" s="37"/>
      <c r="BWB70" s="37"/>
      <c r="BWC70" s="37"/>
      <c r="BWD70" s="37"/>
      <c r="BWE70" s="75"/>
      <c r="BWF70" s="65"/>
      <c r="BWG70" s="65"/>
      <c r="BWH70" s="65"/>
      <c r="BWI70" s="65"/>
      <c r="BWJ70" s="37"/>
      <c r="BWK70" s="138"/>
      <c r="BWL70" s="37"/>
      <c r="BWM70" s="37"/>
      <c r="BWN70" s="37"/>
      <c r="BWO70" s="37"/>
      <c r="BWP70" s="37"/>
      <c r="BWQ70" s="75"/>
      <c r="BWR70" s="37"/>
      <c r="BWS70" s="37"/>
      <c r="BWT70" s="37"/>
      <c r="BWU70" s="37"/>
      <c r="BWV70" s="37"/>
      <c r="BWW70" s="138"/>
      <c r="BWX70" s="37"/>
      <c r="BWY70" s="37"/>
      <c r="BWZ70" s="37"/>
      <c r="BXA70" s="37"/>
      <c r="BXB70" s="37"/>
      <c r="BXC70" s="75"/>
      <c r="BXD70" s="37"/>
      <c r="BXE70" s="37"/>
      <c r="BXF70" s="37"/>
      <c r="BXG70" s="37"/>
      <c r="BXH70" s="37"/>
      <c r="BXI70" s="38"/>
      <c r="BXJ70" s="36"/>
      <c r="BXK70" s="65"/>
      <c r="BXL70" s="65"/>
      <c r="BXM70" s="65"/>
      <c r="BXN70" s="37"/>
      <c r="BXO70" s="133"/>
      <c r="BXP70" s="37"/>
      <c r="BXQ70" s="37"/>
      <c r="BXR70" s="37"/>
      <c r="BXS70" s="37"/>
      <c r="BXT70" s="37"/>
      <c r="BXU70" s="138"/>
      <c r="BXV70" s="37"/>
      <c r="BXW70" s="37"/>
      <c r="BXX70" s="37"/>
      <c r="BXY70" s="37"/>
      <c r="BXZ70" s="37"/>
      <c r="BYA70" s="75"/>
      <c r="BYB70" s="37"/>
      <c r="BYC70" s="37"/>
      <c r="BYD70" s="37"/>
      <c r="BYE70" s="37"/>
      <c r="BYF70" s="37"/>
      <c r="BYG70" s="138"/>
      <c r="BYH70" s="37"/>
      <c r="BYI70" s="37"/>
      <c r="BYJ70" s="37"/>
      <c r="BYK70" s="37"/>
      <c r="BYL70" s="37"/>
      <c r="BYM70" s="75"/>
      <c r="BYN70" s="65"/>
      <c r="BYO70" s="65"/>
      <c r="BYP70" s="65"/>
      <c r="BYQ70" s="65"/>
      <c r="BYR70" s="37"/>
      <c r="BYS70" s="138"/>
      <c r="BYT70" s="37"/>
      <c r="BYU70" s="37"/>
      <c r="BYV70" s="37"/>
      <c r="BYW70" s="37"/>
      <c r="BYX70" s="37"/>
      <c r="BYY70" s="75"/>
      <c r="BYZ70" s="37"/>
      <c r="BZA70" s="37"/>
      <c r="BZB70" s="37"/>
      <c r="BZC70" s="37"/>
      <c r="BZD70" s="37"/>
      <c r="BZE70" s="138"/>
      <c r="BZF70" s="37"/>
      <c r="BZG70" s="37"/>
      <c r="BZH70" s="37"/>
      <c r="BZI70" s="37"/>
      <c r="BZJ70" s="37"/>
      <c r="BZK70" s="75"/>
      <c r="BZL70" s="37"/>
      <c r="BZM70" s="37"/>
      <c r="BZN70" s="37"/>
      <c r="BZO70" s="37"/>
      <c r="BZP70" s="37"/>
      <c r="BZQ70" s="38"/>
      <c r="BZR70" s="36"/>
      <c r="BZS70" s="65"/>
      <c r="BZT70" s="65"/>
      <c r="BZU70" s="65"/>
      <c r="BZV70" s="37"/>
      <c r="BZW70" s="133"/>
      <c r="BZX70" s="37"/>
      <c r="BZY70" s="37"/>
      <c r="BZZ70" s="37"/>
      <c r="CAA70" s="37"/>
      <c r="CAB70" s="37"/>
      <c r="CAC70" s="138"/>
      <c r="CAD70" s="37"/>
      <c r="CAE70" s="37"/>
      <c r="CAF70" s="37"/>
      <c r="CAG70" s="37"/>
      <c r="CAH70" s="37"/>
      <c r="CAI70" s="75"/>
      <c r="CAJ70" s="37"/>
      <c r="CAK70" s="37"/>
      <c r="CAL70" s="37"/>
      <c r="CAM70" s="37"/>
      <c r="CAN70" s="37"/>
      <c r="CAO70" s="138"/>
      <c r="CAP70" s="37"/>
      <c r="CAQ70" s="37"/>
      <c r="CAR70" s="37"/>
      <c r="CAS70" s="37"/>
      <c r="CAT70" s="37"/>
      <c r="CAU70" s="75"/>
      <c r="CAV70" s="65"/>
      <c r="CAW70" s="65"/>
      <c r="CAX70" s="65"/>
      <c r="CAY70" s="65"/>
      <c r="CAZ70" s="37"/>
      <c r="CBA70" s="138"/>
      <c r="CBB70" s="37"/>
      <c r="CBC70" s="37"/>
      <c r="CBD70" s="37"/>
      <c r="CBE70" s="37"/>
      <c r="CBF70" s="37"/>
      <c r="CBG70" s="75"/>
      <c r="CBH70" s="37"/>
      <c r="CBI70" s="37"/>
      <c r="CBJ70" s="37"/>
      <c r="CBK70" s="37"/>
      <c r="CBL70" s="37"/>
      <c r="CBM70" s="138"/>
      <c r="CBN70" s="37"/>
      <c r="CBO70" s="37"/>
      <c r="CBP70" s="37"/>
      <c r="CBQ70" s="37"/>
      <c r="CBR70" s="37"/>
      <c r="CBS70" s="75"/>
      <c r="CBT70" s="37"/>
      <c r="CBU70" s="37"/>
      <c r="CBV70" s="37"/>
      <c r="CBW70" s="37"/>
      <c r="CBX70" s="37"/>
      <c r="CBY70" s="38"/>
      <c r="CBZ70" s="90"/>
    </row>
    <row r="71" spans="1:2106" ht="20.100000000000001" customHeight="1" x14ac:dyDescent="0.25">
      <c r="A71" s="100" t="s">
        <v>22</v>
      </c>
      <c r="B71" s="63"/>
      <c r="C71" s="170"/>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40"/>
      <c r="BLW71" s="66"/>
      <c r="BLX71" s="66"/>
      <c r="BLY71" s="66"/>
      <c r="BLZ71" s="41"/>
      <c r="BMA71" s="134"/>
      <c r="BMB71" s="41"/>
      <c r="BMC71" s="41"/>
      <c r="BMD71" s="41"/>
      <c r="BME71" s="41"/>
      <c r="BMF71" s="41"/>
      <c r="BMG71" s="139"/>
      <c r="BMH71" s="41"/>
      <c r="BMI71" s="41"/>
      <c r="BMJ71" s="41"/>
      <c r="BMK71" s="41"/>
      <c r="BML71" s="41"/>
      <c r="BMM71" s="76"/>
      <c r="BMN71" s="41"/>
      <c r="BMO71" s="41"/>
      <c r="BMP71" s="41"/>
      <c r="BMQ71" s="41"/>
      <c r="BMR71" s="41"/>
      <c r="BMS71" s="139"/>
      <c r="BMT71" s="41"/>
      <c r="BMU71" s="41"/>
      <c r="BMV71" s="41"/>
      <c r="BMW71" s="41"/>
      <c r="BMX71" s="41"/>
      <c r="BMY71" s="76"/>
      <c r="BMZ71" s="66"/>
      <c r="BNA71" s="66"/>
      <c r="BNB71" s="66"/>
      <c r="BNC71" s="66"/>
      <c r="BND71" s="41"/>
      <c r="BNE71" s="139"/>
      <c r="BNF71" s="41"/>
      <c r="BNG71" s="41"/>
      <c r="BNH71" s="41"/>
      <c r="BNI71" s="41"/>
      <c r="BNJ71" s="41"/>
      <c r="BNK71" s="76"/>
      <c r="BNL71" s="41"/>
      <c r="BNM71" s="41"/>
      <c r="BNN71" s="41"/>
      <c r="BNO71" s="41"/>
      <c r="BNP71" s="41"/>
      <c r="BNQ71" s="139"/>
      <c r="BNR71" s="41"/>
      <c r="BNS71" s="41"/>
      <c r="BNT71" s="41"/>
      <c r="BNU71" s="41"/>
      <c r="BNV71" s="41"/>
      <c r="BNW71" s="76"/>
      <c r="BNX71" s="41"/>
      <c r="BNY71" s="41"/>
      <c r="BNZ71" s="41"/>
      <c r="BOA71" s="41"/>
      <c r="BOB71" s="41"/>
      <c r="BOC71" s="42"/>
      <c r="BOD71" s="40"/>
      <c r="BOE71" s="66"/>
      <c r="BOF71" s="66"/>
      <c r="BOG71" s="66"/>
      <c r="BOH71" s="41"/>
      <c r="BOI71" s="134"/>
      <c r="BOJ71" s="41"/>
      <c r="BOK71" s="41"/>
      <c r="BOL71" s="41"/>
      <c r="BOM71" s="41"/>
      <c r="BON71" s="41"/>
      <c r="BOO71" s="139"/>
      <c r="BOP71" s="41"/>
      <c r="BOQ71" s="41"/>
      <c r="BOR71" s="41"/>
      <c r="BOS71" s="41"/>
      <c r="BOT71" s="41"/>
      <c r="BOU71" s="76"/>
      <c r="BOV71" s="41"/>
      <c r="BOW71" s="41"/>
      <c r="BOX71" s="41"/>
      <c r="BOY71" s="41"/>
      <c r="BOZ71" s="41"/>
      <c r="BPA71" s="139"/>
      <c r="BPB71" s="41"/>
      <c r="BPC71" s="41"/>
      <c r="BPD71" s="41"/>
      <c r="BPE71" s="41"/>
      <c r="BPF71" s="41"/>
      <c r="BPG71" s="76"/>
      <c r="BPH71" s="66"/>
      <c r="BPI71" s="66"/>
      <c r="BPJ71" s="66"/>
      <c r="BPK71" s="66"/>
      <c r="BPL71" s="41"/>
      <c r="BPM71" s="139"/>
      <c r="BPN71" s="41"/>
      <c r="BPO71" s="41"/>
      <c r="BPP71" s="41"/>
      <c r="BPQ71" s="41"/>
      <c r="BPR71" s="41"/>
      <c r="BPS71" s="76"/>
      <c r="BPT71" s="41"/>
      <c r="BPU71" s="41"/>
      <c r="BPV71" s="41"/>
      <c r="BPW71" s="41"/>
      <c r="BPX71" s="41"/>
      <c r="BPY71" s="139"/>
      <c r="BPZ71" s="41"/>
      <c r="BQA71" s="41"/>
      <c r="BQB71" s="41"/>
      <c r="BQC71" s="41"/>
      <c r="BQD71" s="41"/>
      <c r="BQE71" s="76"/>
      <c r="BQF71" s="41"/>
      <c r="BQG71" s="41"/>
      <c r="BQH71" s="41"/>
      <c r="BQI71" s="41"/>
      <c r="BQJ71" s="41"/>
      <c r="BQK71" s="42"/>
      <c r="BQL71" s="40"/>
      <c r="BQM71" s="66"/>
      <c r="BQN71" s="66"/>
      <c r="BQO71" s="66"/>
      <c r="BQP71" s="41"/>
      <c r="BQQ71" s="134"/>
      <c r="BQR71" s="41"/>
      <c r="BQS71" s="41"/>
      <c r="BQT71" s="41"/>
      <c r="BQU71" s="41"/>
      <c r="BQV71" s="41"/>
      <c r="BQW71" s="139"/>
      <c r="BQX71" s="41"/>
      <c r="BQY71" s="41"/>
      <c r="BQZ71" s="41"/>
      <c r="BRA71" s="41"/>
      <c r="BRB71" s="41"/>
      <c r="BRC71" s="76"/>
      <c r="BRD71" s="41"/>
      <c r="BRE71" s="41"/>
      <c r="BRF71" s="41"/>
      <c r="BRG71" s="41"/>
      <c r="BRH71" s="41"/>
      <c r="BRI71" s="139"/>
      <c r="BRJ71" s="41"/>
      <c r="BRK71" s="41"/>
      <c r="BRL71" s="41"/>
      <c r="BRM71" s="41"/>
      <c r="BRN71" s="41"/>
      <c r="BRO71" s="76"/>
      <c r="BRP71" s="66"/>
      <c r="BRQ71" s="66"/>
      <c r="BRR71" s="66"/>
      <c r="BRS71" s="66"/>
      <c r="BRT71" s="41"/>
      <c r="BRU71" s="139"/>
      <c r="BRV71" s="41"/>
      <c r="BRW71" s="41"/>
      <c r="BRX71" s="41"/>
      <c r="BRY71" s="41"/>
      <c r="BRZ71" s="41"/>
      <c r="BSA71" s="76"/>
      <c r="BSB71" s="41"/>
      <c r="BSC71" s="41"/>
      <c r="BSD71" s="41"/>
      <c r="BSE71" s="41"/>
      <c r="BSF71" s="41"/>
      <c r="BSG71" s="139"/>
      <c r="BSH71" s="41"/>
      <c r="BSI71" s="41"/>
      <c r="BSJ71" s="41"/>
      <c r="BSK71" s="41"/>
      <c r="BSL71" s="41"/>
      <c r="BSM71" s="76"/>
      <c r="BSN71" s="41"/>
      <c r="BSO71" s="41"/>
      <c r="BSP71" s="41"/>
      <c r="BSQ71" s="41"/>
      <c r="BSR71" s="41"/>
      <c r="BSS71" s="42"/>
      <c r="BST71" s="40"/>
      <c r="BSU71" s="66"/>
      <c r="BSV71" s="66"/>
      <c r="BSW71" s="66"/>
      <c r="BSX71" s="41"/>
      <c r="BSY71" s="134"/>
      <c r="BSZ71" s="41"/>
      <c r="BTA71" s="41"/>
      <c r="BTB71" s="41"/>
      <c r="BTC71" s="41"/>
      <c r="BTD71" s="41"/>
      <c r="BTE71" s="139"/>
      <c r="BTF71" s="41"/>
      <c r="BTG71" s="41"/>
      <c r="BTH71" s="41"/>
      <c r="BTI71" s="41"/>
      <c r="BTJ71" s="41"/>
      <c r="BTK71" s="76"/>
      <c r="BTL71" s="41"/>
      <c r="BTM71" s="41"/>
      <c r="BTN71" s="41"/>
      <c r="BTO71" s="41"/>
      <c r="BTP71" s="41"/>
      <c r="BTQ71" s="139"/>
      <c r="BTR71" s="41"/>
      <c r="BTS71" s="41"/>
      <c r="BTT71" s="41"/>
      <c r="BTU71" s="41"/>
      <c r="BTV71" s="41"/>
      <c r="BTW71" s="76"/>
      <c r="BTX71" s="66"/>
      <c r="BTY71" s="66"/>
      <c r="BTZ71" s="66"/>
      <c r="BUA71" s="66"/>
      <c r="BUB71" s="41"/>
      <c r="BUC71" s="139"/>
      <c r="BUD71" s="41"/>
      <c r="BUE71" s="41"/>
      <c r="BUF71" s="41"/>
      <c r="BUG71" s="41"/>
      <c r="BUH71" s="41"/>
      <c r="BUI71" s="76"/>
      <c r="BUJ71" s="41"/>
      <c r="BUK71" s="41"/>
      <c r="BUL71" s="41"/>
      <c r="BUM71" s="41"/>
      <c r="BUN71" s="41"/>
      <c r="BUO71" s="139"/>
      <c r="BUP71" s="41"/>
      <c r="BUQ71" s="41"/>
      <c r="BUR71" s="41"/>
      <c r="BUS71" s="41"/>
      <c r="BUT71" s="41"/>
      <c r="BUU71" s="76"/>
      <c r="BUV71" s="41"/>
      <c r="BUW71" s="41"/>
      <c r="BUX71" s="41"/>
      <c r="BUY71" s="41"/>
      <c r="BUZ71" s="41"/>
      <c r="BVA71" s="42"/>
      <c r="BVB71" s="40"/>
      <c r="BVC71" s="66"/>
      <c r="BVD71" s="66"/>
      <c r="BVE71" s="66"/>
      <c r="BVF71" s="41"/>
      <c r="BVG71" s="134"/>
      <c r="BVH71" s="41"/>
      <c r="BVI71" s="41"/>
      <c r="BVJ71" s="41"/>
      <c r="BVK71" s="41"/>
      <c r="BVL71" s="41"/>
      <c r="BVM71" s="139"/>
      <c r="BVN71" s="41"/>
      <c r="BVO71" s="41"/>
      <c r="BVP71" s="41"/>
      <c r="BVQ71" s="41"/>
      <c r="BVR71" s="41"/>
      <c r="BVS71" s="76"/>
      <c r="BVT71" s="41"/>
      <c r="BVU71" s="41"/>
      <c r="BVV71" s="41"/>
      <c r="BVW71" s="41"/>
      <c r="BVX71" s="41"/>
      <c r="BVY71" s="139"/>
      <c r="BVZ71" s="41"/>
      <c r="BWA71" s="41"/>
      <c r="BWB71" s="41"/>
      <c r="BWC71" s="41"/>
      <c r="BWD71" s="41"/>
      <c r="BWE71" s="76"/>
      <c r="BWF71" s="66"/>
      <c r="BWG71" s="66"/>
      <c r="BWH71" s="66"/>
      <c r="BWI71" s="66"/>
      <c r="BWJ71" s="41"/>
      <c r="BWK71" s="139"/>
      <c r="BWL71" s="41"/>
      <c r="BWM71" s="41"/>
      <c r="BWN71" s="41"/>
      <c r="BWO71" s="41"/>
      <c r="BWP71" s="41"/>
      <c r="BWQ71" s="76"/>
      <c r="BWR71" s="41"/>
      <c r="BWS71" s="41"/>
      <c r="BWT71" s="41"/>
      <c r="BWU71" s="41"/>
      <c r="BWV71" s="41"/>
      <c r="BWW71" s="139"/>
      <c r="BWX71" s="41"/>
      <c r="BWY71" s="41"/>
      <c r="BWZ71" s="41"/>
      <c r="BXA71" s="41"/>
      <c r="BXB71" s="41"/>
      <c r="BXC71" s="76"/>
      <c r="BXD71" s="41"/>
      <c r="BXE71" s="41"/>
      <c r="BXF71" s="41"/>
      <c r="BXG71" s="41"/>
      <c r="BXH71" s="41"/>
      <c r="BXI71" s="42"/>
      <c r="BXJ71" s="40"/>
      <c r="BXK71" s="66"/>
      <c r="BXL71" s="66"/>
      <c r="BXM71" s="66"/>
      <c r="BXN71" s="41"/>
      <c r="BXO71" s="134"/>
      <c r="BXP71" s="41"/>
      <c r="BXQ71" s="41"/>
      <c r="BXR71" s="41"/>
      <c r="BXS71" s="41"/>
      <c r="BXT71" s="41"/>
      <c r="BXU71" s="139"/>
      <c r="BXV71" s="41"/>
      <c r="BXW71" s="41"/>
      <c r="BXX71" s="41"/>
      <c r="BXY71" s="41"/>
      <c r="BXZ71" s="41"/>
      <c r="BYA71" s="76"/>
      <c r="BYB71" s="41"/>
      <c r="BYC71" s="41"/>
      <c r="BYD71" s="41"/>
      <c r="BYE71" s="41"/>
      <c r="BYF71" s="41"/>
      <c r="BYG71" s="139"/>
      <c r="BYH71" s="41"/>
      <c r="BYI71" s="41"/>
      <c r="BYJ71" s="41"/>
      <c r="BYK71" s="41"/>
      <c r="BYL71" s="41"/>
      <c r="BYM71" s="76"/>
      <c r="BYN71" s="66"/>
      <c r="BYO71" s="66"/>
      <c r="BYP71" s="66"/>
      <c r="BYQ71" s="66"/>
      <c r="BYR71" s="41"/>
      <c r="BYS71" s="139"/>
      <c r="BYT71" s="41"/>
      <c r="BYU71" s="41"/>
      <c r="BYV71" s="41"/>
      <c r="BYW71" s="41"/>
      <c r="BYX71" s="41"/>
      <c r="BYY71" s="76"/>
      <c r="BYZ71" s="41"/>
      <c r="BZA71" s="41"/>
      <c r="BZB71" s="41"/>
      <c r="BZC71" s="41"/>
      <c r="BZD71" s="41"/>
      <c r="BZE71" s="139"/>
      <c r="BZF71" s="41"/>
      <c r="BZG71" s="41"/>
      <c r="BZH71" s="41"/>
      <c r="BZI71" s="41"/>
      <c r="BZJ71" s="41"/>
      <c r="BZK71" s="76"/>
      <c r="BZL71" s="41"/>
      <c r="BZM71" s="41"/>
      <c r="BZN71" s="41"/>
      <c r="BZO71" s="41"/>
      <c r="BZP71" s="41"/>
      <c r="BZQ71" s="42"/>
      <c r="BZR71" s="40"/>
      <c r="BZS71" s="66"/>
      <c r="BZT71" s="66"/>
      <c r="BZU71" s="66"/>
      <c r="BZV71" s="41"/>
      <c r="BZW71" s="134"/>
      <c r="BZX71" s="41"/>
      <c r="BZY71" s="41"/>
      <c r="BZZ71" s="41"/>
      <c r="CAA71" s="41"/>
      <c r="CAB71" s="41"/>
      <c r="CAC71" s="139"/>
      <c r="CAD71" s="41"/>
      <c r="CAE71" s="41"/>
      <c r="CAF71" s="41"/>
      <c r="CAG71" s="41"/>
      <c r="CAH71" s="41"/>
      <c r="CAI71" s="76"/>
      <c r="CAJ71" s="41"/>
      <c r="CAK71" s="41"/>
      <c r="CAL71" s="41"/>
      <c r="CAM71" s="41"/>
      <c r="CAN71" s="41"/>
      <c r="CAO71" s="139"/>
      <c r="CAP71" s="41"/>
      <c r="CAQ71" s="41"/>
      <c r="CAR71" s="41"/>
      <c r="CAS71" s="41"/>
      <c r="CAT71" s="41"/>
      <c r="CAU71" s="76"/>
      <c r="CAV71" s="66"/>
      <c r="CAW71" s="66"/>
      <c r="CAX71" s="66"/>
      <c r="CAY71" s="66"/>
      <c r="CAZ71" s="41"/>
      <c r="CBA71" s="139"/>
      <c r="CBB71" s="41"/>
      <c r="CBC71" s="41"/>
      <c r="CBD71" s="41"/>
      <c r="CBE71" s="41"/>
      <c r="CBF71" s="41"/>
      <c r="CBG71" s="76"/>
      <c r="CBH71" s="41"/>
      <c r="CBI71" s="41"/>
      <c r="CBJ71" s="41"/>
      <c r="CBK71" s="41"/>
      <c r="CBL71" s="41"/>
      <c r="CBM71" s="139"/>
      <c r="CBN71" s="41"/>
      <c r="CBO71" s="41"/>
      <c r="CBP71" s="41"/>
      <c r="CBQ71" s="41"/>
      <c r="CBR71" s="41"/>
      <c r="CBS71" s="76"/>
      <c r="CBT71" s="41"/>
      <c r="CBU71" s="41"/>
      <c r="CBV71" s="41"/>
      <c r="CBW71" s="41"/>
      <c r="CBX71" s="41"/>
      <c r="CBY71" s="42"/>
      <c r="CBZ71" s="90"/>
    </row>
    <row r="72" spans="1:2106" ht="20.100000000000001" customHeight="1" x14ac:dyDescent="0.25">
      <c r="A72" s="100" t="s">
        <v>23</v>
      </c>
      <c r="B72" s="63"/>
      <c r="C72" s="172"/>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28"/>
      <c r="BLW72" s="67"/>
      <c r="BLX72" s="67"/>
      <c r="BLY72" s="67"/>
      <c r="BLZ72" s="29"/>
      <c r="BMA72" s="131"/>
      <c r="BMB72" s="29"/>
      <c r="BMC72" s="29"/>
      <c r="BMD72" s="29"/>
      <c r="BME72" s="29"/>
      <c r="BMF72" s="29"/>
      <c r="BMG72" s="136"/>
      <c r="BMH72" s="29"/>
      <c r="BMI72" s="29"/>
      <c r="BMJ72" s="29"/>
      <c r="BMK72" s="29"/>
      <c r="BML72" s="29"/>
      <c r="BMM72" s="73"/>
      <c r="BMN72" s="29"/>
      <c r="BMO72" s="29"/>
      <c r="BMP72" s="29"/>
      <c r="BMQ72" s="29"/>
      <c r="BMR72" s="29"/>
      <c r="BMS72" s="136"/>
      <c r="BMT72" s="29"/>
      <c r="BMU72" s="29"/>
      <c r="BMV72" s="29"/>
      <c r="BMW72" s="29"/>
      <c r="BMX72" s="29"/>
      <c r="BMY72" s="73"/>
      <c r="BMZ72" s="67"/>
      <c r="BNA72" s="67"/>
      <c r="BNB72" s="67"/>
      <c r="BNC72" s="67"/>
      <c r="BND72" s="29"/>
      <c r="BNE72" s="136"/>
      <c r="BNF72" s="29"/>
      <c r="BNG72" s="29"/>
      <c r="BNH72" s="29"/>
      <c r="BNI72" s="29"/>
      <c r="BNJ72" s="29"/>
      <c r="BNK72" s="73"/>
      <c r="BNL72" s="29"/>
      <c r="BNM72" s="29"/>
      <c r="BNN72" s="29"/>
      <c r="BNO72" s="29"/>
      <c r="BNP72" s="29"/>
      <c r="BNQ72" s="136"/>
      <c r="BNR72" s="29"/>
      <c r="BNS72" s="29"/>
      <c r="BNT72" s="29"/>
      <c r="BNU72" s="29"/>
      <c r="BNV72" s="29"/>
      <c r="BNW72" s="73"/>
      <c r="BNX72" s="29"/>
      <c r="BNY72" s="29"/>
      <c r="BNZ72" s="29"/>
      <c r="BOA72" s="29"/>
      <c r="BOB72" s="29"/>
      <c r="BOC72" s="30"/>
      <c r="BOD72" s="28"/>
      <c r="BOE72" s="67"/>
      <c r="BOF72" s="67"/>
      <c r="BOG72" s="67"/>
      <c r="BOH72" s="29"/>
      <c r="BOI72" s="131"/>
      <c r="BOJ72" s="29"/>
      <c r="BOK72" s="29"/>
      <c r="BOL72" s="29"/>
      <c r="BOM72" s="29"/>
      <c r="BON72" s="29"/>
      <c r="BOO72" s="136"/>
      <c r="BOP72" s="29"/>
      <c r="BOQ72" s="29"/>
      <c r="BOR72" s="29"/>
      <c r="BOS72" s="29"/>
      <c r="BOT72" s="29"/>
      <c r="BOU72" s="73"/>
      <c r="BOV72" s="29"/>
      <c r="BOW72" s="29"/>
      <c r="BOX72" s="29"/>
      <c r="BOY72" s="29"/>
      <c r="BOZ72" s="29"/>
      <c r="BPA72" s="136"/>
      <c r="BPB72" s="29"/>
      <c r="BPC72" s="29"/>
      <c r="BPD72" s="29"/>
      <c r="BPE72" s="29"/>
      <c r="BPF72" s="29"/>
      <c r="BPG72" s="73"/>
      <c r="BPH72" s="67"/>
      <c r="BPI72" s="67"/>
      <c r="BPJ72" s="67"/>
      <c r="BPK72" s="67"/>
      <c r="BPL72" s="29"/>
      <c r="BPM72" s="136"/>
      <c r="BPN72" s="29"/>
      <c r="BPO72" s="29"/>
      <c r="BPP72" s="29"/>
      <c r="BPQ72" s="29"/>
      <c r="BPR72" s="29"/>
      <c r="BPS72" s="73"/>
      <c r="BPT72" s="29"/>
      <c r="BPU72" s="29"/>
      <c r="BPV72" s="29"/>
      <c r="BPW72" s="29"/>
      <c r="BPX72" s="29"/>
      <c r="BPY72" s="136"/>
      <c r="BPZ72" s="29"/>
      <c r="BQA72" s="29"/>
      <c r="BQB72" s="29"/>
      <c r="BQC72" s="29"/>
      <c r="BQD72" s="29"/>
      <c r="BQE72" s="73"/>
      <c r="BQF72" s="29"/>
      <c r="BQG72" s="29"/>
      <c r="BQH72" s="29"/>
      <c r="BQI72" s="29"/>
      <c r="BQJ72" s="29"/>
      <c r="BQK72" s="30"/>
      <c r="BQL72" s="28"/>
      <c r="BQM72" s="67"/>
      <c r="BQN72" s="67"/>
      <c r="BQO72" s="67"/>
      <c r="BQP72" s="29"/>
      <c r="BQQ72" s="131"/>
      <c r="BQR72" s="29"/>
      <c r="BQS72" s="29"/>
      <c r="BQT72" s="29"/>
      <c r="BQU72" s="29"/>
      <c r="BQV72" s="29"/>
      <c r="BQW72" s="136"/>
      <c r="BQX72" s="29"/>
      <c r="BQY72" s="29"/>
      <c r="BQZ72" s="29"/>
      <c r="BRA72" s="29"/>
      <c r="BRB72" s="29"/>
      <c r="BRC72" s="73"/>
      <c r="BRD72" s="29"/>
      <c r="BRE72" s="29"/>
      <c r="BRF72" s="29"/>
      <c r="BRG72" s="29"/>
      <c r="BRH72" s="29"/>
      <c r="BRI72" s="136"/>
      <c r="BRJ72" s="29"/>
      <c r="BRK72" s="29"/>
      <c r="BRL72" s="29"/>
      <c r="BRM72" s="29"/>
      <c r="BRN72" s="29"/>
      <c r="BRO72" s="73"/>
      <c r="BRP72" s="67"/>
      <c r="BRQ72" s="67"/>
      <c r="BRR72" s="67"/>
      <c r="BRS72" s="67"/>
      <c r="BRT72" s="29"/>
      <c r="BRU72" s="136"/>
      <c r="BRV72" s="29"/>
      <c r="BRW72" s="29"/>
      <c r="BRX72" s="29"/>
      <c r="BRY72" s="29"/>
      <c r="BRZ72" s="29"/>
      <c r="BSA72" s="73"/>
      <c r="BSB72" s="29"/>
      <c r="BSC72" s="29"/>
      <c r="BSD72" s="29"/>
      <c r="BSE72" s="29"/>
      <c r="BSF72" s="29"/>
      <c r="BSG72" s="136"/>
      <c r="BSH72" s="29"/>
      <c r="BSI72" s="29"/>
      <c r="BSJ72" s="29"/>
      <c r="BSK72" s="29"/>
      <c r="BSL72" s="29"/>
      <c r="BSM72" s="73"/>
      <c r="BSN72" s="29"/>
      <c r="BSO72" s="29"/>
      <c r="BSP72" s="29"/>
      <c r="BSQ72" s="29"/>
      <c r="BSR72" s="29"/>
      <c r="BSS72" s="30"/>
      <c r="BST72" s="28"/>
      <c r="BSU72" s="67"/>
      <c r="BSV72" s="67"/>
      <c r="BSW72" s="67"/>
      <c r="BSX72" s="29"/>
      <c r="BSY72" s="131"/>
      <c r="BSZ72" s="29"/>
      <c r="BTA72" s="29"/>
      <c r="BTB72" s="29"/>
      <c r="BTC72" s="29"/>
      <c r="BTD72" s="29"/>
      <c r="BTE72" s="136"/>
      <c r="BTF72" s="29"/>
      <c r="BTG72" s="29"/>
      <c r="BTH72" s="29"/>
      <c r="BTI72" s="29"/>
      <c r="BTJ72" s="29"/>
      <c r="BTK72" s="73"/>
      <c r="BTL72" s="29"/>
      <c r="BTM72" s="29"/>
      <c r="BTN72" s="29"/>
      <c r="BTO72" s="29"/>
      <c r="BTP72" s="29"/>
      <c r="BTQ72" s="136"/>
      <c r="BTR72" s="29"/>
      <c r="BTS72" s="29"/>
      <c r="BTT72" s="29"/>
      <c r="BTU72" s="29"/>
      <c r="BTV72" s="29"/>
      <c r="BTW72" s="73"/>
      <c r="BTX72" s="67"/>
      <c r="BTY72" s="67"/>
      <c r="BTZ72" s="67"/>
      <c r="BUA72" s="67"/>
      <c r="BUB72" s="29"/>
      <c r="BUC72" s="136"/>
      <c r="BUD72" s="29"/>
      <c r="BUE72" s="29"/>
      <c r="BUF72" s="29"/>
      <c r="BUG72" s="29"/>
      <c r="BUH72" s="29"/>
      <c r="BUI72" s="73"/>
      <c r="BUJ72" s="29"/>
      <c r="BUK72" s="29"/>
      <c r="BUL72" s="29"/>
      <c r="BUM72" s="29"/>
      <c r="BUN72" s="29"/>
      <c r="BUO72" s="136"/>
      <c r="BUP72" s="29"/>
      <c r="BUQ72" s="29"/>
      <c r="BUR72" s="29"/>
      <c r="BUS72" s="29"/>
      <c r="BUT72" s="29"/>
      <c r="BUU72" s="73"/>
      <c r="BUV72" s="29"/>
      <c r="BUW72" s="29"/>
      <c r="BUX72" s="29"/>
      <c r="BUY72" s="29"/>
      <c r="BUZ72" s="29"/>
      <c r="BVA72" s="30"/>
      <c r="BVB72" s="28"/>
      <c r="BVC72" s="67"/>
      <c r="BVD72" s="67"/>
      <c r="BVE72" s="67"/>
      <c r="BVF72" s="29"/>
      <c r="BVG72" s="131"/>
      <c r="BVH72" s="29"/>
      <c r="BVI72" s="29"/>
      <c r="BVJ72" s="29"/>
      <c r="BVK72" s="29"/>
      <c r="BVL72" s="29"/>
      <c r="BVM72" s="136"/>
      <c r="BVN72" s="29"/>
      <c r="BVO72" s="29"/>
      <c r="BVP72" s="29"/>
      <c r="BVQ72" s="29"/>
      <c r="BVR72" s="29"/>
      <c r="BVS72" s="73"/>
      <c r="BVT72" s="29"/>
      <c r="BVU72" s="29"/>
      <c r="BVV72" s="29"/>
      <c r="BVW72" s="29"/>
      <c r="BVX72" s="29"/>
      <c r="BVY72" s="136"/>
      <c r="BVZ72" s="29"/>
      <c r="BWA72" s="29"/>
      <c r="BWB72" s="29"/>
      <c r="BWC72" s="29"/>
      <c r="BWD72" s="29"/>
      <c r="BWE72" s="73"/>
      <c r="BWF72" s="67"/>
      <c r="BWG72" s="67"/>
      <c r="BWH72" s="67"/>
      <c r="BWI72" s="67"/>
      <c r="BWJ72" s="29"/>
      <c r="BWK72" s="136"/>
      <c r="BWL72" s="29"/>
      <c r="BWM72" s="29"/>
      <c r="BWN72" s="29"/>
      <c r="BWO72" s="29"/>
      <c r="BWP72" s="29"/>
      <c r="BWQ72" s="73"/>
      <c r="BWR72" s="29"/>
      <c r="BWS72" s="29"/>
      <c r="BWT72" s="29"/>
      <c r="BWU72" s="29"/>
      <c r="BWV72" s="29"/>
      <c r="BWW72" s="136"/>
      <c r="BWX72" s="29"/>
      <c r="BWY72" s="29"/>
      <c r="BWZ72" s="29"/>
      <c r="BXA72" s="29"/>
      <c r="BXB72" s="29"/>
      <c r="BXC72" s="73"/>
      <c r="BXD72" s="29"/>
      <c r="BXE72" s="29"/>
      <c r="BXF72" s="29"/>
      <c r="BXG72" s="29"/>
      <c r="BXH72" s="29"/>
      <c r="BXI72" s="30"/>
      <c r="BXJ72" s="28"/>
      <c r="BXK72" s="67"/>
      <c r="BXL72" s="67"/>
      <c r="BXM72" s="67"/>
      <c r="BXN72" s="29"/>
      <c r="BXO72" s="131"/>
      <c r="BXP72" s="29"/>
      <c r="BXQ72" s="29"/>
      <c r="BXR72" s="29"/>
      <c r="BXS72" s="29"/>
      <c r="BXT72" s="29"/>
      <c r="BXU72" s="136"/>
      <c r="BXV72" s="29"/>
      <c r="BXW72" s="29"/>
      <c r="BXX72" s="29"/>
      <c r="BXY72" s="29"/>
      <c r="BXZ72" s="29"/>
      <c r="BYA72" s="73"/>
      <c r="BYB72" s="29"/>
      <c r="BYC72" s="29"/>
      <c r="BYD72" s="29"/>
      <c r="BYE72" s="29"/>
      <c r="BYF72" s="29"/>
      <c r="BYG72" s="136"/>
      <c r="BYH72" s="29"/>
      <c r="BYI72" s="29"/>
      <c r="BYJ72" s="29"/>
      <c r="BYK72" s="29"/>
      <c r="BYL72" s="29"/>
      <c r="BYM72" s="73"/>
      <c r="BYN72" s="67"/>
      <c r="BYO72" s="67"/>
      <c r="BYP72" s="67"/>
      <c r="BYQ72" s="67"/>
      <c r="BYR72" s="29"/>
      <c r="BYS72" s="136"/>
      <c r="BYT72" s="29"/>
      <c r="BYU72" s="29"/>
      <c r="BYV72" s="29"/>
      <c r="BYW72" s="29"/>
      <c r="BYX72" s="29"/>
      <c r="BYY72" s="73"/>
      <c r="BYZ72" s="29"/>
      <c r="BZA72" s="29"/>
      <c r="BZB72" s="29"/>
      <c r="BZC72" s="29"/>
      <c r="BZD72" s="29"/>
      <c r="BZE72" s="136"/>
      <c r="BZF72" s="29"/>
      <c r="BZG72" s="29"/>
      <c r="BZH72" s="29"/>
      <c r="BZI72" s="29"/>
      <c r="BZJ72" s="29"/>
      <c r="BZK72" s="73"/>
      <c r="BZL72" s="29"/>
      <c r="BZM72" s="29"/>
      <c r="BZN72" s="29"/>
      <c r="BZO72" s="29"/>
      <c r="BZP72" s="29"/>
      <c r="BZQ72" s="30"/>
      <c r="BZR72" s="28"/>
      <c r="BZS72" s="67"/>
      <c r="BZT72" s="67"/>
      <c r="BZU72" s="67"/>
      <c r="BZV72" s="29"/>
      <c r="BZW72" s="131"/>
      <c r="BZX72" s="29"/>
      <c r="BZY72" s="29"/>
      <c r="BZZ72" s="29"/>
      <c r="CAA72" s="29"/>
      <c r="CAB72" s="29"/>
      <c r="CAC72" s="136"/>
      <c r="CAD72" s="29"/>
      <c r="CAE72" s="29"/>
      <c r="CAF72" s="29"/>
      <c r="CAG72" s="29"/>
      <c r="CAH72" s="29"/>
      <c r="CAI72" s="73"/>
      <c r="CAJ72" s="29"/>
      <c r="CAK72" s="29"/>
      <c r="CAL72" s="29"/>
      <c r="CAM72" s="29"/>
      <c r="CAN72" s="29"/>
      <c r="CAO72" s="136"/>
      <c r="CAP72" s="29"/>
      <c r="CAQ72" s="29"/>
      <c r="CAR72" s="29"/>
      <c r="CAS72" s="29"/>
      <c r="CAT72" s="29"/>
      <c r="CAU72" s="73"/>
      <c r="CAV72" s="67"/>
      <c r="CAW72" s="67"/>
      <c r="CAX72" s="67"/>
      <c r="CAY72" s="67"/>
      <c r="CAZ72" s="29"/>
      <c r="CBA72" s="136"/>
      <c r="CBB72" s="29"/>
      <c r="CBC72" s="29"/>
      <c r="CBD72" s="29"/>
      <c r="CBE72" s="29"/>
      <c r="CBF72" s="29"/>
      <c r="CBG72" s="73"/>
      <c r="CBH72" s="29"/>
      <c r="CBI72" s="29"/>
      <c r="CBJ72" s="29"/>
      <c r="CBK72" s="29"/>
      <c r="CBL72" s="29"/>
      <c r="CBM72" s="136"/>
      <c r="CBN72" s="29"/>
      <c r="CBO72" s="29"/>
      <c r="CBP72" s="29"/>
      <c r="CBQ72" s="29"/>
      <c r="CBR72" s="29"/>
      <c r="CBS72" s="73"/>
      <c r="CBT72" s="29"/>
      <c r="CBU72" s="29"/>
      <c r="CBV72" s="29"/>
      <c r="CBW72" s="29"/>
      <c r="CBX72" s="29"/>
      <c r="CBY72" s="30"/>
      <c r="CBZ72" s="90"/>
    </row>
    <row r="73" spans="1:2106" ht="20.100000000000001" customHeight="1" x14ac:dyDescent="0.25">
      <c r="A73" s="100" t="s">
        <v>22</v>
      </c>
      <c r="B73" s="63"/>
      <c r="C73" s="170"/>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32"/>
      <c r="BLW73" s="64"/>
      <c r="BLX73" s="64"/>
      <c r="BLY73" s="64"/>
      <c r="BLZ73" s="33"/>
      <c r="BMA73" s="132"/>
      <c r="BMB73" s="33"/>
      <c r="BMC73" s="33"/>
      <c r="BMD73" s="33"/>
      <c r="BME73" s="33"/>
      <c r="BMF73" s="33"/>
      <c r="BMG73" s="137"/>
      <c r="BMH73" s="33"/>
      <c r="BMI73" s="33"/>
      <c r="BMJ73" s="33"/>
      <c r="BMK73" s="33"/>
      <c r="BML73" s="33"/>
      <c r="BMM73" s="74"/>
      <c r="BMN73" s="33"/>
      <c r="BMO73" s="33"/>
      <c r="BMP73" s="33"/>
      <c r="BMQ73" s="33"/>
      <c r="BMR73" s="33"/>
      <c r="BMS73" s="137"/>
      <c r="BMT73" s="33"/>
      <c r="BMU73" s="33"/>
      <c r="BMV73" s="33"/>
      <c r="BMW73" s="33"/>
      <c r="BMX73" s="33"/>
      <c r="BMY73" s="74"/>
      <c r="BMZ73" s="64"/>
      <c r="BNA73" s="64"/>
      <c r="BNB73" s="64"/>
      <c r="BNC73" s="64"/>
      <c r="BND73" s="33"/>
      <c r="BNE73" s="137"/>
      <c r="BNF73" s="33"/>
      <c r="BNG73" s="33"/>
      <c r="BNH73" s="33"/>
      <c r="BNI73" s="33"/>
      <c r="BNJ73" s="33"/>
      <c r="BNK73" s="74"/>
      <c r="BNL73" s="33"/>
      <c r="BNM73" s="33"/>
      <c r="BNN73" s="33"/>
      <c r="BNO73" s="33"/>
      <c r="BNP73" s="33"/>
      <c r="BNQ73" s="137"/>
      <c r="BNR73" s="33"/>
      <c r="BNS73" s="33"/>
      <c r="BNT73" s="33"/>
      <c r="BNU73" s="33"/>
      <c r="BNV73" s="33"/>
      <c r="BNW73" s="74"/>
      <c r="BNX73" s="33"/>
      <c r="BNY73" s="33"/>
      <c r="BNZ73" s="33"/>
      <c r="BOA73" s="33"/>
      <c r="BOB73" s="33"/>
      <c r="BOC73" s="34"/>
      <c r="BOD73" s="32"/>
      <c r="BOE73" s="64"/>
      <c r="BOF73" s="64"/>
      <c r="BOG73" s="64"/>
      <c r="BOH73" s="33"/>
      <c r="BOI73" s="132"/>
      <c r="BOJ73" s="33"/>
      <c r="BOK73" s="33"/>
      <c r="BOL73" s="33"/>
      <c r="BOM73" s="33"/>
      <c r="BON73" s="33"/>
      <c r="BOO73" s="137"/>
      <c r="BOP73" s="33"/>
      <c r="BOQ73" s="33"/>
      <c r="BOR73" s="33"/>
      <c r="BOS73" s="33"/>
      <c r="BOT73" s="33"/>
      <c r="BOU73" s="74"/>
      <c r="BOV73" s="33"/>
      <c r="BOW73" s="33"/>
      <c r="BOX73" s="33"/>
      <c r="BOY73" s="33"/>
      <c r="BOZ73" s="33"/>
      <c r="BPA73" s="137"/>
      <c r="BPB73" s="33"/>
      <c r="BPC73" s="33"/>
      <c r="BPD73" s="33"/>
      <c r="BPE73" s="33"/>
      <c r="BPF73" s="33"/>
      <c r="BPG73" s="74"/>
      <c r="BPH73" s="64"/>
      <c r="BPI73" s="64"/>
      <c r="BPJ73" s="64"/>
      <c r="BPK73" s="64"/>
      <c r="BPL73" s="33"/>
      <c r="BPM73" s="137"/>
      <c r="BPN73" s="33"/>
      <c r="BPO73" s="33"/>
      <c r="BPP73" s="33"/>
      <c r="BPQ73" s="33"/>
      <c r="BPR73" s="33"/>
      <c r="BPS73" s="74"/>
      <c r="BPT73" s="33"/>
      <c r="BPU73" s="33"/>
      <c r="BPV73" s="33"/>
      <c r="BPW73" s="33"/>
      <c r="BPX73" s="33"/>
      <c r="BPY73" s="137"/>
      <c r="BPZ73" s="33"/>
      <c r="BQA73" s="33"/>
      <c r="BQB73" s="33"/>
      <c r="BQC73" s="33"/>
      <c r="BQD73" s="33"/>
      <c r="BQE73" s="74"/>
      <c r="BQF73" s="33"/>
      <c r="BQG73" s="33"/>
      <c r="BQH73" s="33"/>
      <c r="BQI73" s="33"/>
      <c r="BQJ73" s="33"/>
      <c r="BQK73" s="34"/>
      <c r="BQL73" s="32"/>
      <c r="BQM73" s="64"/>
      <c r="BQN73" s="64"/>
      <c r="BQO73" s="64"/>
      <c r="BQP73" s="33"/>
      <c r="BQQ73" s="132"/>
      <c r="BQR73" s="33"/>
      <c r="BQS73" s="33"/>
      <c r="BQT73" s="33"/>
      <c r="BQU73" s="33"/>
      <c r="BQV73" s="33"/>
      <c r="BQW73" s="137"/>
      <c r="BQX73" s="33"/>
      <c r="BQY73" s="33"/>
      <c r="BQZ73" s="33"/>
      <c r="BRA73" s="33"/>
      <c r="BRB73" s="33"/>
      <c r="BRC73" s="74"/>
      <c r="BRD73" s="33"/>
      <c r="BRE73" s="33"/>
      <c r="BRF73" s="33"/>
      <c r="BRG73" s="33"/>
      <c r="BRH73" s="33"/>
      <c r="BRI73" s="137"/>
      <c r="BRJ73" s="33"/>
      <c r="BRK73" s="33"/>
      <c r="BRL73" s="33"/>
      <c r="BRM73" s="33"/>
      <c r="BRN73" s="33"/>
      <c r="BRO73" s="74"/>
      <c r="BRP73" s="64"/>
      <c r="BRQ73" s="64"/>
      <c r="BRR73" s="64"/>
      <c r="BRS73" s="64"/>
      <c r="BRT73" s="33"/>
      <c r="BRU73" s="137"/>
      <c r="BRV73" s="33"/>
      <c r="BRW73" s="33"/>
      <c r="BRX73" s="33"/>
      <c r="BRY73" s="33"/>
      <c r="BRZ73" s="33"/>
      <c r="BSA73" s="74"/>
      <c r="BSB73" s="33"/>
      <c r="BSC73" s="33"/>
      <c r="BSD73" s="33"/>
      <c r="BSE73" s="33"/>
      <c r="BSF73" s="33"/>
      <c r="BSG73" s="137"/>
      <c r="BSH73" s="33"/>
      <c r="BSI73" s="33"/>
      <c r="BSJ73" s="33"/>
      <c r="BSK73" s="33"/>
      <c r="BSL73" s="33"/>
      <c r="BSM73" s="74"/>
      <c r="BSN73" s="33"/>
      <c r="BSO73" s="33"/>
      <c r="BSP73" s="33"/>
      <c r="BSQ73" s="33"/>
      <c r="BSR73" s="33"/>
      <c r="BSS73" s="34"/>
      <c r="BST73" s="32"/>
      <c r="BSU73" s="64"/>
      <c r="BSV73" s="64"/>
      <c r="BSW73" s="64"/>
      <c r="BSX73" s="33"/>
      <c r="BSY73" s="132"/>
      <c r="BSZ73" s="33"/>
      <c r="BTA73" s="33"/>
      <c r="BTB73" s="33"/>
      <c r="BTC73" s="33"/>
      <c r="BTD73" s="33"/>
      <c r="BTE73" s="137"/>
      <c r="BTF73" s="33"/>
      <c r="BTG73" s="33"/>
      <c r="BTH73" s="33"/>
      <c r="BTI73" s="33"/>
      <c r="BTJ73" s="33"/>
      <c r="BTK73" s="74"/>
      <c r="BTL73" s="33"/>
      <c r="BTM73" s="33"/>
      <c r="BTN73" s="33"/>
      <c r="BTO73" s="33"/>
      <c r="BTP73" s="33"/>
      <c r="BTQ73" s="137"/>
      <c r="BTR73" s="33"/>
      <c r="BTS73" s="33"/>
      <c r="BTT73" s="33"/>
      <c r="BTU73" s="33"/>
      <c r="BTV73" s="33"/>
      <c r="BTW73" s="74"/>
      <c r="BTX73" s="64"/>
      <c r="BTY73" s="64"/>
      <c r="BTZ73" s="64"/>
      <c r="BUA73" s="64"/>
      <c r="BUB73" s="33"/>
      <c r="BUC73" s="137"/>
      <c r="BUD73" s="33"/>
      <c r="BUE73" s="33"/>
      <c r="BUF73" s="33"/>
      <c r="BUG73" s="33"/>
      <c r="BUH73" s="33"/>
      <c r="BUI73" s="74"/>
      <c r="BUJ73" s="33"/>
      <c r="BUK73" s="33"/>
      <c r="BUL73" s="33"/>
      <c r="BUM73" s="33"/>
      <c r="BUN73" s="33"/>
      <c r="BUO73" s="137"/>
      <c r="BUP73" s="33"/>
      <c r="BUQ73" s="33"/>
      <c r="BUR73" s="33"/>
      <c r="BUS73" s="33"/>
      <c r="BUT73" s="33"/>
      <c r="BUU73" s="74"/>
      <c r="BUV73" s="33"/>
      <c r="BUW73" s="33"/>
      <c r="BUX73" s="33"/>
      <c r="BUY73" s="33"/>
      <c r="BUZ73" s="33"/>
      <c r="BVA73" s="34"/>
      <c r="BVB73" s="32"/>
      <c r="BVC73" s="64"/>
      <c r="BVD73" s="64"/>
      <c r="BVE73" s="64"/>
      <c r="BVF73" s="33"/>
      <c r="BVG73" s="132"/>
      <c r="BVH73" s="33"/>
      <c r="BVI73" s="33"/>
      <c r="BVJ73" s="33"/>
      <c r="BVK73" s="33"/>
      <c r="BVL73" s="33"/>
      <c r="BVM73" s="137"/>
      <c r="BVN73" s="33"/>
      <c r="BVO73" s="33"/>
      <c r="BVP73" s="33"/>
      <c r="BVQ73" s="33"/>
      <c r="BVR73" s="33"/>
      <c r="BVS73" s="74"/>
      <c r="BVT73" s="33"/>
      <c r="BVU73" s="33"/>
      <c r="BVV73" s="33"/>
      <c r="BVW73" s="33"/>
      <c r="BVX73" s="33"/>
      <c r="BVY73" s="137"/>
      <c r="BVZ73" s="33"/>
      <c r="BWA73" s="33"/>
      <c r="BWB73" s="33"/>
      <c r="BWC73" s="33"/>
      <c r="BWD73" s="33"/>
      <c r="BWE73" s="74"/>
      <c r="BWF73" s="64"/>
      <c r="BWG73" s="64"/>
      <c r="BWH73" s="64"/>
      <c r="BWI73" s="64"/>
      <c r="BWJ73" s="33"/>
      <c r="BWK73" s="137"/>
      <c r="BWL73" s="33"/>
      <c r="BWM73" s="33"/>
      <c r="BWN73" s="33"/>
      <c r="BWO73" s="33"/>
      <c r="BWP73" s="33"/>
      <c r="BWQ73" s="74"/>
      <c r="BWR73" s="33"/>
      <c r="BWS73" s="33"/>
      <c r="BWT73" s="33"/>
      <c r="BWU73" s="33"/>
      <c r="BWV73" s="33"/>
      <c r="BWW73" s="137"/>
      <c r="BWX73" s="33"/>
      <c r="BWY73" s="33"/>
      <c r="BWZ73" s="33"/>
      <c r="BXA73" s="33"/>
      <c r="BXB73" s="33"/>
      <c r="BXC73" s="74"/>
      <c r="BXD73" s="33"/>
      <c r="BXE73" s="33"/>
      <c r="BXF73" s="33"/>
      <c r="BXG73" s="33"/>
      <c r="BXH73" s="33"/>
      <c r="BXI73" s="34"/>
      <c r="BXJ73" s="32"/>
      <c r="BXK73" s="64"/>
      <c r="BXL73" s="64"/>
      <c r="BXM73" s="64"/>
      <c r="BXN73" s="33"/>
      <c r="BXO73" s="132"/>
      <c r="BXP73" s="33"/>
      <c r="BXQ73" s="33"/>
      <c r="BXR73" s="33"/>
      <c r="BXS73" s="33"/>
      <c r="BXT73" s="33"/>
      <c r="BXU73" s="137"/>
      <c r="BXV73" s="33"/>
      <c r="BXW73" s="33"/>
      <c r="BXX73" s="33"/>
      <c r="BXY73" s="33"/>
      <c r="BXZ73" s="33"/>
      <c r="BYA73" s="74"/>
      <c r="BYB73" s="33"/>
      <c r="BYC73" s="33"/>
      <c r="BYD73" s="33"/>
      <c r="BYE73" s="33"/>
      <c r="BYF73" s="33"/>
      <c r="BYG73" s="137"/>
      <c r="BYH73" s="33"/>
      <c r="BYI73" s="33"/>
      <c r="BYJ73" s="33"/>
      <c r="BYK73" s="33"/>
      <c r="BYL73" s="33"/>
      <c r="BYM73" s="74"/>
      <c r="BYN73" s="64"/>
      <c r="BYO73" s="64"/>
      <c r="BYP73" s="64"/>
      <c r="BYQ73" s="64"/>
      <c r="BYR73" s="33"/>
      <c r="BYS73" s="137"/>
      <c r="BYT73" s="33"/>
      <c r="BYU73" s="33"/>
      <c r="BYV73" s="33"/>
      <c r="BYW73" s="33"/>
      <c r="BYX73" s="33"/>
      <c r="BYY73" s="74"/>
      <c r="BYZ73" s="33"/>
      <c r="BZA73" s="33"/>
      <c r="BZB73" s="33"/>
      <c r="BZC73" s="33"/>
      <c r="BZD73" s="33"/>
      <c r="BZE73" s="137"/>
      <c r="BZF73" s="33"/>
      <c r="BZG73" s="33"/>
      <c r="BZH73" s="33"/>
      <c r="BZI73" s="33"/>
      <c r="BZJ73" s="33"/>
      <c r="BZK73" s="74"/>
      <c r="BZL73" s="33"/>
      <c r="BZM73" s="33"/>
      <c r="BZN73" s="33"/>
      <c r="BZO73" s="33"/>
      <c r="BZP73" s="33"/>
      <c r="BZQ73" s="34"/>
      <c r="BZR73" s="32"/>
      <c r="BZS73" s="64"/>
      <c r="BZT73" s="64"/>
      <c r="BZU73" s="64"/>
      <c r="BZV73" s="33"/>
      <c r="BZW73" s="132"/>
      <c r="BZX73" s="33"/>
      <c r="BZY73" s="33"/>
      <c r="BZZ73" s="33"/>
      <c r="CAA73" s="33"/>
      <c r="CAB73" s="33"/>
      <c r="CAC73" s="137"/>
      <c r="CAD73" s="33"/>
      <c r="CAE73" s="33"/>
      <c r="CAF73" s="33"/>
      <c r="CAG73" s="33"/>
      <c r="CAH73" s="33"/>
      <c r="CAI73" s="74"/>
      <c r="CAJ73" s="33"/>
      <c r="CAK73" s="33"/>
      <c r="CAL73" s="33"/>
      <c r="CAM73" s="33"/>
      <c r="CAN73" s="33"/>
      <c r="CAO73" s="137"/>
      <c r="CAP73" s="33"/>
      <c r="CAQ73" s="33"/>
      <c r="CAR73" s="33"/>
      <c r="CAS73" s="33"/>
      <c r="CAT73" s="33"/>
      <c r="CAU73" s="74"/>
      <c r="CAV73" s="64"/>
      <c r="CAW73" s="64"/>
      <c r="CAX73" s="64"/>
      <c r="CAY73" s="64"/>
      <c r="CAZ73" s="33"/>
      <c r="CBA73" s="137"/>
      <c r="CBB73" s="33"/>
      <c r="CBC73" s="33"/>
      <c r="CBD73" s="33"/>
      <c r="CBE73" s="33"/>
      <c r="CBF73" s="33"/>
      <c r="CBG73" s="74"/>
      <c r="CBH73" s="33"/>
      <c r="CBI73" s="33"/>
      <c r="CBJ73" s="33"/>
      <c r="CBK73" s="33"/>
      <c r="CBL73" s="33"/>
      <c r="CBM73" s="137"/>
      <c r="CBN73" s="33"/>
      <c r="CBO73" s="33"/>
      <c r="CBP73" s="33"/>
      <c r="CBQ73" s="33"/>
      <c r="CBR73" s="33"/>
      <c r="CBS73" s="74"/>
      <c r="CBT73" s="33"/>
      <c r="CBU73" s="33"/>
      <c r="CBV73" s="33"/>
      <c r="CBW73" s="33"/>
      <c r="CBX73" s="33"/>
      <c r="CBY73" s="34"/>
      <c r="CBZ73" s="90"/>
    </row>
    <row r="74" spans="1:2106" ht="20.100000000000001" customHeight="1" x14ac:dyDescent="0.3">
      <c r="A74" s="100" t="s">
        <v>23</v>
      </c>
      <c r="B74" s="63"/>
      <c r="C74" s="171"/>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36"/>
      <c r="BLW74" s="65"/>
      <c r="BLX74" s="65"/>
      <c r="BLY74" s="65"/>
      <c r="BLZ74" s="37"/>
      <c r="BMA74" s="133"/>
      <c r="BMB74" s="37"/>
      <c r="BMC74" s="37"/>
      <c r="BMD74" s="37"/>
      <c r="BME74" s="37"/>
      <c r="BMF74" s="37"/>
      <c r="BMG74" s="138"/>
      <c r="BMH74" s="37"/>
      <c r="BMI74" s="37"/>
      <c r="BMJ74" s="37"/>
      <c r="BMK74" s="37"/>
      <c r="BML74" s="37"/>
      <c r="BMM74" s="75"/>
      <c r="BMN74" s="37"/>
      <c r="BMO74" s="37"/>
      <c r="BMP74" s="37"/>
      <c r="BMQ74" s="37"/>
      <c r="BMR74" s="37"/>
      <c r="BMS74" s="138"/>
      <c r="BMT74" s="37"/>
      <c r="BMU74" s="37"/>
      <c r="BMV74" s="37"/>
      <c r="BMW74" s="37"/>
      <c r="BMX74" s="37"/>
      <c r="BMY74" s="75"/>
      <c r="BMZ74" s="65"/>
      <c r="BNA74" s="65"/>
      <c r="BNB74" s="65"/>
      <c r="BNC74" s="65"/>
      <c r="BND74" s="37"/>
      <c r="BNE74" s="138"/>
      <c r="BNF74" s="37"/>
      <c r="BNG74" s="37"/>
      <c r="BNH74" s="37"/>
      <c r="BNI74" s="37"/>
      <c r="BNJ74" s="37"/>
      <c r="BNK74" s="75"/>
      <c r="BNL74" s="37"/>
      <c r="BNM74" s="37"/>
      <c r="BNN74" s="37"/>
      <c r="BNO74" s="37"/>
      <c r="BNP74" s="37"/>
      <c r="BNQ74" s="138"/>
      <c r="BNR74" s="37"/>
      <c r="BNS74" s="37"/>
      <c r="BNT74" s="37"/>
      <c r="BNU74" s="37"/>
      <c r="BNV74" s="37"/>
      <c r="BNW74" s="75"/>
      <c r="BNX74" s="37"/>
      <c r="BNY74" s="37"/>
      <c r="BNZ74" s="37"/>
      <c r="BOA74" s="37"/>
      <c r="BOB74" s="37"/>
      <c r="BOC74" s="38"/>
      <c r="BOD74" s="36"/>
      <c r="BOE74" s="65"/>
      <c r="BOF74" s="65"/>
      <c r="BOG74" s="65"/>
      <c r="BOH74" s="37"/>
      <c r="BOI74" s="133"/>
      <c r="BOJ74" s="37"/>
      <c r="BOK74" s="37"/>
      <c r="BOL74" s="37"/>
      <c r="BOM74" s="37"/>
      <c r="BON74" s="37"/>
      <c r="BOO74" s="138"/>
      <c r="BOP74" s="37"/>
      <c r="BOQ74" s="37"/>
      <c r="BOR74" s="37"/>
      <c r="BOS74" s="37"/>
      <c r="BOT74" s="37"/>
      <c r="BOU74" s="75"/>
      <c r="BOV74" s="37"/>
      <c r="BOW74" s="37"/>
      <c r="BOX74" s="37"/>
      <c r="BOY74" s="37"/>
      <c r="BOZ74" s="37"/>
      <c r="BPA74" s="138"/>
      <c r="BPB74" s="37"/>
      <c r="BPC74" s="37"/>
      <c r="BPD74" s="37"/>
      <c r="BPE74" s="37"/>
      <c r="BPF74" s="37"/>
      <c r="BPG74" s="75"/>
      <c r="BPH74" s="65"/>
      <c r="BPI74" s="65"/>
      <c r="BPJ74" s="65"/>
      <c r="BPK74" s="65"/>
      <c r="BPL74" s="37"/>
      <c r="BPM74" s="138"/>
      <c r="BPN74" s="37"/>
      <c r="BPO74" s="37"/>
      <c r="BPP74" s="37"/>
      <c r="BPQ74" s="37"/>
      <c r="BPR74" s="37"/>
      <c r="BPS74" s="75"/>
      <c r="BPT74" s="37"/>
      <c r="BPU74" s="37"/>
      <c r="BPV74" s="37"/>
      <c r="BPW74" s="37"/>
      <c r="BPX74" s="37"/>
      <c r="BPY74" s="138"/>
      <c r="BPZ74" s="37"/>
      <c r="BQA74" s="37"/>
      <c r="BQB74" s="37"/>
      <c r="BQC74" s="37"/>
      <c r="BQD74" s="37"/>
      <c r="BQE74" s="75"/>
      <c r="BQF74" s="37"/>
      <c r="BQG74" s="37"/>
      <c r="BQH74" s="37"/>
      <c r="BQI74" s="37"/>
      <c r="BQJ74" s="37"/>
      <c r="BQK74" s="38"/>
      <c r="BQL74" s="36"/>
      <c r="BQM74" s="65"/>
      <c r="BQN74" s="65"/>
      <c r="BQO74" s="65"/>
      <c r="BQP74" s="37"/>
      <c r="BQQ74" s="133"/>
      <c r="BQR74" s="37"/>
      <c r="BQS74" s="37"/>
      <c r="BQT74" s="37"/>
      <c r="BQU74" s="37"/>
      <c r="BQV74" s="37"/>
      <c r="BQW74" s="138"/>
      <c r="BQX74" s="37"/>
      <c r="BQY74" s="37"/>
      <c r="BQZ74" s="37"/>
      <c r="BRA74" s="37"/>
      <c r="BRB74" s="37"/>
      <c r="BRC74" s="75"/>
      <c r="BRD74" s="37"/>
      <c r="BRE74" s="37"/>
      <c r="BRF74" s="37"/>
      <c r="BRG74" s="37"/>
      <c r="BRH74" s="37"/>
      <c r="BRI74" s="138"/>
      <c r="BRJ74" s="37"/>
      <c r="BRK74" s="37"/>
      <c r="BRL74" s="37"/>
      <c r="BRM74" s="37"/>
      <c r="BRN74" s="37"/>
      <c r="BRO74" s="75"/>
      <c r="BRP74" s="65"/>
      <c r="BRQ74" s="65"/>
      <c r="BRR74" s="65"/>
      <c r="BRS74" s="65"/>
      <c r="BRT74" s="37"/>
      <c r="BRU74" s="138"/>
      <c r="BRV74" s="37"/>
      <c r="BRW74" s="37"/>
      <c r="BRX74" s="37"/>
      <c r="BRY74" s="37"/>
      <c r="BRZ74" s="37"/>
      <c r="BSA74" s="75"/>
      <c r="BSB74" s="37"/>
      <c r="BSC74" s="37"/>
      <c r="BSD74" s="37"/>
      <c r="BSE74" s="37"/>
      <c r="BSF74" s="37"/>
      <c r="BSG74" s="138"/>
      <c r="BSH74" s="37"/>
      <c r="BSI74" s="37"/>
      <c r="BSJ74" s="37"/>
      <c r="BSK74" s="37"/>
      <c r="BSL74" s="37"/>
      <c r="BSM74" s="75"/>
      <c r="BSN74" s="37"/>
      <c r="BSO74" s="37"/>
      <c r="BSP74" s="37"/>
      <c r="BSQ74" s="37"/>
      <c r="BSR74" s="37"/>
      <c r="BSS74" s="38"/>
      <c r="BST74" s="36"/>
      <c r="BSU74" s="65"/>
      <c r="BSV74" s="65"/>
      <c r="BSW74" s="65"/>
      <c r="BSX74" s="37"/>
      <c r="BSY74" s="133"/>
      <c r="BSZ74" s="37"/>
      <c r="BTA74" s="37"/>
      <c r="BTB74" s="37"/>
      <c r="BTC74" s="37"/>
      <c r="BTD74" s="37"/>
      <c r="BTE74" s="138"/>
      <c r="BTF74" s="37"/>
      <c r="BTG74" s="37"/>
      <c r="BTH74" s="37"/>
      <c r="BTI74" s="37"/>
      <c r="BTJ74" s="37"/>
      <c r="BTK74" s="75"/>
      <c r="BTL74" s="37"/>
      <c r="BTM74" s="37"/>
      <c r="BTN74" s="37"/>
      <c r="BTO74" s="37"/>
      <c r="BTP74" s="37"/>
      <c r="BTQ74" s="138"/>
      <c r="BTR74" s="37"/>
      <c r="BTS74" s="37"/>
      <c r="BTT74" s="37"/>
      <c r="BTU74" s="37"/>
      <c r="BTV74" s="37"/>
      <c r="BTW74" s="75"/>
      <c r="BTX74" s="65"/>
      <c r="BTY74" s="65"/>
      <c r="BTZ74" s="65"/>
      <c r="BUA74" s="65"/>
      <c r="BUB74" s="37"/>
      <c r="BUC74" s="138"/>
      <c r="BUD74" s="37"/>
      <c r="BUE74" s="37"/>
      <c r="BUF74" s="37"/>
      <c r="BUG74" s="37"/>
      <c r="BUH74" s="37"/>
      <c r="BUI74" s="75"/>
      <c r="BUJ74" s="37"/>
      <c r="BUK74" s="37"/>
      <c r="BUL74" s="37"/>
      <c r="BUM74" s="37"/>
      <c r="BUN74" s="37"/>
      <c r="BUO74" s="138"/>
      <c r="BUP74" s="37"/>
      <c r="BUQ74" s="37"/>
      <c r="BUR74" s="37"/>
      <c r="BUS74" s="37"/>
      <c r="BUT74" s="37"/>
      <c r="BUU74" s="75"/>
      <c r="BUV74" s="37"/>
      <c r="BUW74" s="37"/>
      <c r="BUX74" s="37"/>
      <c r="BUY74" s="37"/>
      <c r="BUZ74" s="37"/>
      <c r="BVA74" s="38"/>
      <c r="BVB74" s="36"/>
      <c r="BVC74" s="65"/>
      <c r="BVD74" s="65"/>
      <c r="BVE74" s="65"/>
      <c r="BVF74" s="37"/>
      <c r="BVG74" s="133"/>
      <c r="BVH74" s="37"/>
      <c r="BVI74" s="37"/>
      <c r="BVJ74" s="37"/>
      <c r="BVK74" s="37"/>
      <c r="BVL74" s="37"/>
      <c r="BVM74" s="138"/>
      <c r="BVN74" s="37"/>
      <c r="BVO74" s="37"/>
      <c r="BVP74" s="37"/>
      <c r="BVQ74" s="37"/>
      <c r="BVR74" s="37"/>
      <c r="BVS74" s="75"/>
      <c r="BVT74" s="37"/>
      <c r="BVU74" s="37"/>
      <c r="BVV74" s="37"/>
      <c r="BVW74" s="37"/>
      <c r="BVX74" s="37"/>
      <c r="BVY74" s="138"/>
      <c r="BVZ74" s="37"/>
      <c r="BWA74" s="37"/>
      <c r="BWB74" s="37"/>
      <c r="BWC74" s="37"/>
      <c r="BWD74" s="37"/>
      <c r="BWE74" s="75"/>
      <c r="BWF74" s="65"/>
      <c r="BWG74" s="65"/>
      <c r="BWH74" s="65"/>
      <c r="BWI74" s="65"/>
      <c r="BWJ74" s="37"/>
      <c r="BWK74" s="138"/>
      <c r="BWL74" s="37"/>
      <c r="BWM74" s="37"/>
      <c r="BWN74" s="37"/>
      <c r="BWO74" s="37"/>
      <c r="BWP74" s="37"/>
      <c r="BWQ74" s="75"/>
      <c r="BWR74" s="37"/>
      <c r="BWS74" s="37"/>
      <c r="BWT74" s="37"/>
      <c r="BWU74" s="37"/>
      <c r="BWV74" s="37"/>
      <c r="BWW74" s="138"/>
      <c r="BWX74" s="37"/>
      <c r="BWY74" s="37"/>
      <c r="BWZ74" s="37"/>
      <c r="BXA74" s="37"/>
      <c r="BXB74" s="37"/>
      <c r="BXC74" s="75"/>
      <c r="BXD74" s="37"/>
      <c r="BXE74" s="37"/>
      <c r="BXF74" s="37"/>
      <c r="BXG74" s="37"/>
      <c r="BXH74" s="37"/>
      <c r="BXI74" s="38"/>
      <c r="BXJ74" s="36"/>
      <c r="BXK74" s="65"/>
      <c r="BXL74" s="65"/>
      <c r="BXM74" s="65"/>
      <c r="BXN74" s="37"/>
      <c r="BXO74" s="133"/>
      <c r="BXP74" s="37"/>
      <c r="BXQ74" s="37"/>
      <c r="BXR74" s="37"/>
      <c r="BXS74" s="37"/>
      <c r="BXT74" s="37"/>
      <c r="BXU74" s="138"/>
      <c r="BXV74" s="37"/>
      <c r="BXW74" s="37"/>
      <c r="BXX74" s="37"/>
      <c r="BXY74" s="37"/>
      <c r="BXZ74" s="37"/>
      <c r="BYA74" s="75"/>
      <c r="BYB74" s="37"/>
      <c r="BYC74" s="37"/>
      <c r="BYD74" s="37"/>
      <c r="BYE74" s="37"/>
      <c r="BYF74" s="37"/>
      <c r="BYG74" s="138"/>
      <c r="BYH74" s="37"/>
      <c r="BYI74" s="37"/>
      <c r="BYJ74" s="37"/>
      <c r="BYK74" s="37"/>
      <c r="BYL74" s="37"/>
      <c r="BYM74" s="75"/>
      <c r="BYN74" s="65"/>
      <c r="BYO74" s="65"/>
      <c r="BYP74" s="65"/>
      <c r="BYQ74" s="65"/>
      <c r="BYR74" s="37"/>
      <c r="BYS74" s="138"/>
      <c r="BYT74" s="37"/>
      <c r="BYU74" s="37"/>
      <c r="BYV74" s="37"/>
      <c r="BYW74" s="37"/>
      <c r="BYX74" s="37"/>
      <c r="BYY74" s="75"/>
      <c r="BYZ74" s="37"/>
      <c r="BZA74" s="37"/>
      <c r="BZB74" s="37"/>
      <c r="BZC74" s="37"/>
      <c r="BZD74" s="37"/>
      <c r="BZE74" s="138"/>
      <c r="BZF74" s="37"/>
      <c r="BZG74" s="37"/>
      <c r="BZH74" s="37"/>
      <c r="BZI74" s="37"/>
      <c r="BZJ74" s="37"/>
      <c r="BZK74" s="75"/>
      <c r="BZL74" s="37"/>
      <c r="BZM74" s="37"/>
      <c r="BZN74" s="37"/>
      <c r="BZO74" s="37"/>
      <c r="BZP74" s="37"/>
      <c r="BZQ74" s="38"/>
      <c r="BZR74" s="36"/>
      <c r="BZS74" s="65"/>
      <c r="BZT74" s="65"/>
      <c r="BZU74" s="65"/>
      <c r="BZV74" s="37"/>
      <c r="BZW74" s="133"/>
      <c r="BZX74" s="37"/>
      <c r="BZY74" s="37"/>
      <c r="BZZ74" s="37"/>
      <c r="CAA74" s="37"/>
      <c r="CAB74" s="37"/>
      <c r="CAC74" s="138"/>
      <c r="CAD74" s="37"/>
      <c r="CAE74" s="37"/>
      <c r="CAF74" s="37"/>
      <c r="CAG74" s="37"/>
      <c r="CAH74" s="37"/>
      <c r="CAI74" s="75"/>
      <c r="CAJ74" s="37"/>
      <c r="CAK74" s="37"/>
      <c r="CAL74" s="37"/>
      <c r="CAM74" s="37"/>
      <c r="CAN74" s="37"/>
      <c r="CAO74" s="138"/>
      <c r="CAP74" s="37"/>
      <c r="CAQ74" s="37"/>
      <c r="CAR74" s="37"/>
      <c r="CAS74" s="37"/>
      <c r="CAT74" s="37"/>
      <c r="CAU74" s="75"/>
      <c r="CAV74" s="65"/>
      <c r="CAW74" s="65"/>
      <c r="CAX74" s="65"/>
      <c r="CAY74" s="65"/>
      <c r="CAZ74" s="37"/>
      <c r="CBA74" s="138"/>
      <c r="CBB74" s="37"/>
      <c r="CBC74" s="37"/>
      <c r="CBD74" s="37"/>
      <c r="CBE74" s="37"/>
      <c r="CBF74" s="37"/>
      <c r="CBG74" s="75"/>
      <c r="CBH74" s="37"/>
      <c r="CBI74" s="37"/>
      <c r="CBJ74" s="37"/>
      <c r="CBK74" s="37"/>
      <c r="CBL74" s="37"/>
      <c r="CBM74" s="138"/>
      <c r="CBN74" s="37"/>
      <c r="CBO74" s="37"/>
      <c r="CBP74" s="37"/>
      <c r="CBQ74" s="37"/>
      <c r="CBR74" s="37"/>
      <c r="CBS74" s="75"/>
      <c r="CBT74" s="37"/>
      <c r="CBU74" s="37"/>
      <c r="CBV74" s="37"/>
      <c r="CBW74" s="37"/>
      <c r="CBX74" s="37"/>
      <c r="CBY74" s="38"/>
      <c r="CBZ74" s="90"/>
    </row>
    <row r="75" spans="1:2106" ht="20.100000000000001" customHeight="1" x14ac:dyDescent="0.25">
      <c r="A75" s="100" t="s">
        <v>22</v>
      </c>
      <c r="B75" s="63"/>
      <c r="C75" s="170"/>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32"/>
      <c r="BLW75" s="64"/>
      <c r="BLX75" s="64"/>
      <c r="BLY75" s="64"/>
      <c r="BLZ75" s="33"/>
      <c r="BMA75" s="132"/>
      <c r="BMB75" s="33"/>
      <c r="BMC75" s="33"/>
      <c r="BMD75" s="33"/>
      <c r="BME75" s="33"/>
      <c r="BMF75" s="33"/>
      <c r="BMG75" s="137"/>
      <c r="BMH75" s="33"/>
      <c r="BMI75" s="33"/>
      <c r="BMJ75" s="33"/>
      <c r="BMK75" s="33"/>
      <c r="BML75" s="33"/>
      <c r="BMM75" s="74"/>
      <c r="BMN75" s="33"/>
      <c r="BMO75" s="33"/>
      <c r="BMP75" s="33"/>
      <c r="BMQ75" s="33"/>
      <c r="BMR75" s="33"/>
      <c r="BMS75" s="137"/>
      <c r="BMT75" s="33"/>
      <c r="BMU75" s="33"/>
      <c r="BMV75" s="33"/>
      <c r="BMW75" s="33"/>
      <c r="BMX75" s="33"/>
      <c r="BMY75" s="74"/>
      <c r="BMZ75" s="64"/>
      <c r="BNA75" s="64"/>
      <c r="BNB75" s="64"/>
      <c r="BNC75" s="64"/>
      <c r="BND75" s="33"/>
      <c r="BNE75" s="137"/>
      <c r="BNF75" s="33"/>
      <c r="BNG75" s="33"/>
      <c r="BNH75" s="33"/>
      <c r="BNI75" s="33"/>
      <c r="BNJ75" s="33"/>
      <c r="BNK75" s="74"/>
      <c r="BNL75" s="33"/>
      <c r="BNM75" s="33"/>
      <c r="BNN75" s="33"/>
      <c r="BNO75" s="33"/>
      <c r="BNP75" s="33"/>
      <c r="BNQ75" s="137"/>
      <c r="BNR75" s="33"/>
      <c r="BNS75" s="33"/>
      <c r="BNT75" s="33"/>
      <c r="BNU75" s="33"/>
      <c r="BNV75" s="33"/>
      <c r="BNW75" s="74"/>
      <c r="BNX75" s="33"/>
      <c r="BNY75" s="33"/>
      <c r="BNZ75" s="33"/>
      <c r="BOA75" s="33"/>
      <c r="BOB75" s="33"/>
      <c r="BOC75" s="34"/>
      <c r="BOD75" s="32"/>
      <c r="BOE75" s="64"/>
      <c r="BOF75" s="64"/>
      <c r="BOG75" s="64"/>
      <c r="BOH75" s="33"/>
      <c r="BOI75" s="132"/>
      <c r="BOJ75" s="33"/>
      <c r="BOK75" s="33"/>
      <c r="BOL75" s="33"/>
      <c r="BOM75" s="33"/>
      <c r="BON75" s="33"/>
      <c r="BOO75" s="137"/>
      <c r="BOP75" s="33"/>
      <c r="BOQ75" s="33"/>
      <c r="BOR75" s="33"/>
      <c r="BOS75" s="33"/>
      <c r="BOT75" s="33"/>
      <c r="BOU75" s="74"/>
      <c r="BOV75" s="33"/>
      <c r="BOW75" s="33"/>
      <c r="BOX75" s="33"/>
      <c r="BOY75" s="33"/>
      <c r="BOZ75" s="33"/>
      <c r="BPA75" s="137"/>
      <c r="BPB75" s="33"/>
      <c r="BPC75" s="33"/>
      <c r="BPD75" s="33"/>
      <c r="BPE75" s="33"/>
      <c r="BPF75" s="33"/>
      <c r="BPG75" s="74"/>
      <c r="BPH75" s="64"/>
      <c r="BPI75" s="64"/>
      <c r="BPJ75" s="64"/>
      <c r="BPK75" s="64"/>
      <c r="BPL75" s="33"/>
      <c r="BPM75" s="137"/>
      <c r="BPN75" s="33"/>
      <c r="BPO75" s="33"/>
      <c r="BPP75" s="33"/>
      <c r="BPQ75" s="33"/>
      <c r="BPR75" s="33"/>
      <c r="BPS75" s="74"/>
      <c r="BPT75" s="33"/>
      <c r="BPU75" s="33"/>
      <c r="BPV75" s="33"/>
      <c r="BPW75" s="33"/>
      <c r="BPX75" s="33"/>
      <c r="BPY75" s="137"/>
      <c r="BPZ75" s="33"/>
      <c r="BQA75" s="33"/>
      <c r="BQB75" s="33"/>
      <c r="BQC75" s="33"/>
      <c r="BQD75" s="33"/>
      <c r="BQE75" s="74"/>
      <c r="BQF75" s="33"/>
      <c r="BQG75" s="33"/>
      <c r="BQH75" s="33"/>
      <c r="BQI75" s="33"/>
      <c r="BQJ75" s="33"/>
      <c r="BQK75" s="34"/>
      <c r="BQL75" s="32"/>
      <c r="BQM75" s="64"/>
      <c r="BQN75" s="64"/>
      <c r="BQO75" s="64"/>
      <c r="BQP75" s="33"/>
      <c r="BQQ75" s="132"/>
      <c r="BQR75" s="33"/>
      <c r="BQS75" s="33"/>
      <c r="BQT75" s="33"/>
      <c r="BQU75" s="33"/>
      <c r="BQV75" s="33"/>
      <c r="BQW75" s="137"/>
      <c r="BQX75" s="33"/>
      <c r="BQY75" s="33"/>
      <c r="BQZ75" s="33"/>
      <c r="BRA75" s="33"/>
      <c r="BRB75" s="33"/>
      <c r="BRC75" s="74"/>
      <c r="BRD75" s="33"/>
      <c r="BRE75" s="33"/>
      <c r="BRF75" s="33"/>
      <c r="BRG75" s="33"/>
      <c r="BRH75" s="33"/>
      <c r="BRI75" s="137"/>
      <c r="BRJ75" s="33"/>
      <c r="BRK75" s="33"/>
      <c r="BRL75" s="33"/>
      <c r="BRM75" s="33"/>
      <c r="BRN75" s="33"/>
      <c r="BRO75" s="74"/>
      <c r="BRP75" s="64"/>
      <c r="BRQ75" s="64"/>
      <c r="BRR75" s="64"/>
      <c r="BRS75" s="64"/>
      <c r="BRT75" s="33"/>
      <c r="BRU75" s="137"/>
      <c r="BRV75" s="33"/>
      <c r="BRW75" s="33"/>
      <c r="BRX75" s="33"/>
      <c r="BRY75" s="33"/>
      <c r="BRZ75" s="33"/>
      <c r="BSA75" s="74"/>
      <c r="BSB75" s="33"/>
      <c r="BSC75" s="33"/>
      <c r="BSD75" s="33"/>
      <c r="BSE75" s="33"/>
      <c r="BSF75" s="33"/>
      <c r="BSG75" s="137"/>
      <c r="BSH75" s="33"/>
      <c r="BSI75" s="33"/>
      <c r="BSJ75" s="33"/>
      <c r="BSK75" s="33"/>
      <c r="BSL75" s="33"/>
      <c r="BSM75" s="74"/>
      <c r="BSN75" s="33"/>
      <c r="BSO75" s="33"/>
      <c r="BSP75" s="33"/>
      <c r="BSQ75" s="33"/>
      <c r="BSR75" s="33"/>
      <c r="BSS75" s="34"/>
      <c r="BST75" s="32"/>
      <c r="BSU75" s="64"/>
      <c r="BSV75" s="64"/>
      <c r="BSW75" s="64"/>
      <c r="BSX75" s="33"/>
      <c r="BSY75" s="132"/>
      <c r="BSZ75" s="33"/>
      <c r="BTA75" s="33"/>
      <c r="BTB75" s="33"/>
      <c r="BTC75" s="33"/>
      <c r="BTD75" s="33"/>
      <c r="BTE75" s="137"/>
      <c r="BTF75" s="33"/>
      <c r="BTG75" s="33"/>
      <c r="BTH75" s="33"/>
      <c r="BTI75" s="33"/>
      <c r="BTJ75" s="33"/>
      <c r="BTK75" s="74"/>
      <c r="BTL75" s="33"/>
      <c r="BTM75" s="33"/>
      <c r="BTN75" s="33"/>
      <c r="BTO75" s="33"/>
      <c r="BTP75" s="33"/>
      <c r="BTQ75" s="137"/>
      <c r="BTR75" s="33"/>
      <c r="BTS75" s="33"/>
      <c r="BTT75" s="33"/>
      <c r="BTU75" s="33"/>
      <c r="BTV75" s="33"/>
      <c r="BTW75" s="74"/>
      <c r="BTX75" s="64"/>
      <c r="BTY75" s="64"/>
      <c r="BTZ75" s="64"/>
      <c r="BUA75" s="64"/>
      <c r="BUB75" s="33"/>
      <c r="BUC75" s="137"/>
      <c r="BUD75" s="33"/>
      <c r="BUE75" s="33"/>
      <c r="BUF75" s="33"/>
      <c r="BUG75" s="33"/>
      <c r="BUH75" s="33"/>
      <c r="BUI75" s="74"/>
      <c r="BUJ75" s="33"/>
      <c r="BUK75" s="33"/>
      <c r="BUL75" s="33"/>
      <c r="BUM75" s="33"/>
      <c r="BUN75" s="33"/>
      <c r="BUO75" s="137"/>
      <c r="BUP75" s="33"/>
      <c r="BUQ75" s="33"/>
      <c r="BUR75" s="33"/>
      <c r="BUS75" s="33"/>
      <c r="BUT75" s="33"/>
      <c r="BUU75" s="74"/>
      <c r="BUV75" s="33"/>
      <c r="BUW75" s="33"/>
      <c r="BUX75" s="33"/>
      <c r="BUY75" s="33"/>
      <c r="BUZ75" s="33"/>
      <c r="BVA75" s="34"/>
      <c r="BVB75" s="32"/>
      <c r="BVC75" s="64"/>
      <c r="BVD75" s="64"/>
      <c r="BVE75" s="64"/>
      <c r="BVF75" s="33"/>
      <c r="BVG75" s="132"/>
      <c r="BVH75" s="33"/>
      <c r="BVI75" s="33"/>
      <c r="BVJ75" s="33"/>
      <c r="BVK75" s="33"/>
      <c r="BVL75" s="33"/>
      <c r="BVM75" s="137"/>
      <c r="BVN75" s="33"/>
      <c r="BVO75" s="33"/>
      <c r="BVP75" s="33"/>
      <c r="BVQ75" s="33"/>
      <c r="BVR75" s="33"/>
      <c r="BVS75" s="74"/>
      <c r="BVT75" s="33"/>
      <c r="BVU75" s="33"/>
      <c r="BVV75" s="33"/>
      <c r="BVW75" s="33"/>
      <c r="BVX75" s="33"/>
      <c r="BVY75" s="137"/>
      <c r="BVZ75" s="33"/>
      <c r="BWA75" s="33"/>
      <c r="BWB75" s="33"/>
      <c r="BWC75" s="33"/>
      <c r="BWD75" s="33"/>
      <c r="BWE75" s="74"/>
      <c r="BWF75" s="64"/>
      <c r="BWG75" s="64"/>
      <c r="BWH75" s="64"/>
      <c r="BWI75" s="64"/>
      <c r="BWJ75" s="33"/>
      <c r="BWK75" s="137"/>
      <c r="BWL75" s="33"/>
      <c r="BWM75" s="33"/>
      <c r="BWN75" s="33"/>
      <c r="BWO75" s="33"/>
      <c r="BWP75" s="33"/>
      <c r="BWQ75" s="74"/>
      <c r="BWR75" s="33"/>
      <c r="BWS75" s="33"/>
      <c r="BWT75" s="33"/>
      <c r="BWU75" s="33"/>
      <c r="BWV75" s="33"/>
      <c r="BWW75" s="137"/>
      <c r="BWX75" s="33"/>
      <c r="BWY75" s="33"/>
      <c r="BWZ75" s="33"/>
      <c r="BXA75" s="33"/>
      <c r="BXB75" s="33"/>
      <c r="BXC75" s="74"/>
      <c r="BXD75" s="33"/>
      <c r="BXE75" s="33"/>
      <c r="BXF75" s="33"/>
      <c r="BXG75" s="33"/>
      <c r="BXH75" s="33"/>
      <c r="BXI75" s="34"/>
      <c r="BXJ75" s="32"/>
      <c r="BXK75" s="64"/>
      <c r="BXL75" s="64"/>
      <c r="BXM75" s="64"/>
      <c r="BXN75" s="33"/>
      <c r="BXO75" s="132"/>
      <c r="BXP75" s="33"/>
      <c r="BXQ75" s="33"/>
      <c r="BXR75" s="33"/>
      <c r="BXS75" s="33"/>
      <c r="BXT75" s="33"/>
      <c r="BXU75" s="137"/>
      <c r="BXV75" s="33"/>
      <c r="BXW75" s="33"/>
      <c r="BXX75" s="33"/>
      <c r="BXY75" s="33"/>
      <c r="BXZ75" s="33"/>
      <c r="BYA75" s="74"/>
      <c r="BYB75" s="33"/>
      <c r="BYC75" s="33"/>
      <c r="BYD75" s="33"/>
      <c r="BYE75" s="33"/>
      <c r="BYF75" s="33"/>
      <c r="BYG75" s="137"/>
      <c r="BYH75" s="33"/>
      <c r="BYI75" s="33"/>
      <c r="BYJ75" s="33"/>
      <c r="BYK75" s="33"/>
      <c r="BYL75" s="33"/>
      <c r="BYM75" s="74"/>
      <c r="BYN75" s="64"/>
      <c r="BYO75" s="64"/>
      <c r="BYP75" s="64"/>
      <c r="BYQ75" s="64"/>
      <c r="BYR75" s="33"/>
      <c r="BYS75" s="137"/>
      <c r="BYT75" s="33"/>
      <c r="BYU75" s="33"/>
      <c r="BYV75" s="33"/>
      <c r="BYW75" s="33"/>
      <c r="BYX75" s="33"/>
      <c r="BYY75" s="74"/>
      <c r="BYZ75" s="33"/>
      <c r="BZA75" s="33"/>
      <c r="BZB75" s="33"/>
      <c r="BZC75" s="33"/>
      <c r="BZD75" s="33"/>
      <c r="BZE75" s="137"/>
      <c r="BZF75" s="33"/>
      <c r="BZG75" s="33"/>
      <c r="BZH75" s="33"/>
      <c r="BZI75" s="33"/>
      <c r="BZJ75" s="33"/>
      <c r="BZK75" s="74"/>
      <c r="BZL75" s="33"/>
      <c r="BZM75" s="33"/>
      <c r="BZN75" s="33"/>
      <c r="BZO75" s="33"/>
      <c r="BZP75" s="33"/>
      <c r="BZQ75" s="34"/>
      <c r="BZR75" s="32"/>
      <c r="BZS75" s="64"/>
      <c r="BZT75" s="64"/>
      <c r="BZU75" s="64"/>
      <c r="BZV75" s="33"/>
      <c r="BZW75" s="132"/>
      <c r="BZX75" s="33"/>
      <c r="BZY75" s="33"/>
      <c r="BZZ75" s="33"/>
      <c r="CAA75" s="33"/>
      <c r="CAB75" s="33"/>
      <c r="CAC75" s="137"/>
      <c r="CAD75" s="33"/>
      <c r="CAE75" s="33"/>
      <c r="CAF75" s="33"/>
      <c r="CAG75" s="33"/>
      <c r="CAH75" s="33"/>
      <c r="CAI75" s="74"/>
      <c r="CAJ75" s="33"/>
      <c r="CAK75" s="33"/>
      <c r="CAL75" s="33"/>
      <c r="CAM75" s="33"/>
      <c r="CAN75" s="33"/>
      <c r="CAO75" s="137"/>
      <c r="CAP75" s="33"/>
      <c r="CAQ75" s="33"/>
      <c r="CAR75" s="33"/>
      <c r="CAS75" s="33"/>
      <c r="CAT75" s="33"/>
      <c r="CAU75" s="74"/>
      <c r="CAV75" s="64"/>
      <c r="CAW75" s="64"/>
      <c r="CAX75" s="64"/>
      <c r="CAY75" s="64"/>
      <c r="CAZ75" s="33"/>
      <c r="CBA75" s="137"/>
      <c r="CBB75" s="33"/>
      <c r="CBC75" s="33"/>
      <c r="CBD75" s="33"/>
      <c r="CBE75" s="33"/>
      <c r="CBF75" s="33"/>
      <c r="CBG75" s="74"/>
      <c r="CBH75" s="33"/>
      <c r="CBI75" s="33"/>
      <c r="CBJ75" s="33"/>
      <c r="CBK75" s="33"/>
      <c r="CBL75" s="33"/>
      <c r="CBM75" s="137"/>
      <c r="CBN75" s="33"/>
      <c r="CBO75" s="33"/>
      <c r="CBP75" s="33"/>
      <c r="CBQ75" s="33"/>
      <c r="CBR75" s="33"/>
      <c r="CBS75" s="74"/>
      <c r="CBT75" s="33"/>
      <c r="CBU75" s="33"/>
      <c r="CBV75" s="33"/>
      <c r="CBW75" s="33"/>
      <c r="CBX75" s="33"/>
      <c r="CBY75" s="34"/>
      <c r="CBZ75" s="90"/>
    </row>
    <row r="76" spans="1:2106" ht="20.100000000000001" customHeight="1" x14ac:dyDescent="0.3">
      <c r="A76" s="100" t="s">
        <v>23</v>
      </c>
      <c r="B76" s="63"/>
      <c r="C76" s="171"/>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36"/>
      <c r="BLW76" s="65"/>
      <c r="BLX76" s="65"/>
      <c r="BLY76" s="65"/>
      <c r="BLZ76" s="37"/>
      <c r="BMA76" s="133"/>
      <c r="BMB76" s="37"/>
      <c r="BMC76" s="37"/>
      <c r="BMD76" s="37"/>
      <c r="BME76" s="37"/>
      <c r="BMF76" s="37"/>
      <c r="BMG76" s="138"/>
      <c r="BMH76" s="37"/>
      <c r="BMI76" s="37"/>
      <c r="BMJ76" s="37"/>
      <c r="BMK76" s="37"/>
      <c r="BML76" s="37"/>
      <c r="BMM76" s="75"/>
      <c r="BMN76" s="37"/>
      <c r="BMO76" s="37"/>
      <c r="BMP76" s="37"/>
      <c r="BMQ76" s="37"/>
      <c r="BMR76" s="37"/>
      <c r="BMS76" s="138"/>
      <c r="BMT76" s="37"/>
      <c r="BMU76" s="37"/>
      <c r="BMV76" s="37"/>
      <c r="BMW76" s="37"/>
      <c r="BMX76" s="37"/>
      <c r="BMY76" s="75"/>
      <c r="BMZ76" s="65"/>
      <c r="BNA76" s="65"/>
      <c r="BNB76" s="65"/>
      <c r="BNC76" s="65"/>
      <c r="BND76" s="37"/>
      <c r="BNE76" s="138"/>
      <c r="BNF76" s="37"/>
      <c r="BNG76" s="37"/>
      <c r="BNH76" s="37"/>
      <c r="BNI76" s="37"/>
      <c r="BNJ76" s="37"/>
      <c r="BNK76" s="75"/>
      <c r="BNL76" s="37"/>
      <c r="BNM76" s="37"/>
      <c r="BNN76" s="37"/>
      <c r="BNO76" s="37"/>
      <c r="BNP76" s="37"/>
      <c r="BNQ76" s="138"/>
      <c r="BNR76" s="37"/>
      <c r="BNS76" s="37"/>
      <c r="BNT76" s="37"/>
      <c r="BNU76" s="37"/>
      <c r="BNV76" s="37"/>
      <c r="BNW76" s="75"/>
      <c r="BNX76" s="37"/>
      <c r="BNY76" s="37"/>
      <c r="BNZ76" s="37"/>
      <c r="BOA76" s="37"/>
      <c r="BOB76" s="37"/>
      <c r="BOC76" s="38"/>
      <c r="BOD76" s="36"/>
      <c r="BOE76" s="65"/>
      <c r="BOF76" s="65"/>
      <c r="BOG76" s="65"/>
      <c r="BOH76" s="37"/>
      <c r="BOI76" s="133"/>
      <c r="BOJ76" s="37"/>
      <c r="BOK76" s="37"/>
      <c r="BOL76" s="37"/>
      <c r="BOM76" s="37"/>
      <c r="BON76" s="37"/>
      <c r="BOO76" s="138"/>
      <c r="BOP76" s="37"/>
      <c r="BOQ76" s="37"/>
      <c r="BOR76" s="37"/>
      <c r="BOS76" s="37"/>
      <c r="BOT76" s="37"/>
      <c r="BOU76" s="75"/>
      <c r="BOV76" s="37"/>
      <c r="BOW76" s="37"/>
      <c r="BOX76" s="37"/>
      <c r="BOY76" s="37"/>
      <c r="BOZ76" s="37"/>
      <c r="BPA76" s="138"/>
      <c r="BPB76" s="37"/>
      <c r="BPC76" s="37"/>
      <c r="BPD76" s="37"/>
      <c r="BPE76" s="37"/>
      <c r="BPF76" s="37"/>
      <c r="BPG76" s="75"/>
      <c r="BPH76" s="65"/>
      <c r="BPI76" s="65"/>
      <c r="BPJ76" s="65"/>
      <c r="BPK76" s="65"/>
      <c r="BPL76" s="37"/>
      <c r="BPM76" s="138"/>
      <c r="BPN76" s="37"/>
      <c r="BPO76" s="37"/>
      <c r="BPP76" s="37"/>
      <c r="BPQ76" s="37"/>
      <c r="BPR76" s="37"/>
      <c r="BPS76" s="75"/>
      <c r="BPT76" s="37"/>
      <c r="BPU76" s="37"/>
      <c r="BPV76" s="37"/>
      <c r="BPW76" s="37"/>
      <c r="BPX76" s="37"/>
      <c r="BPY76" s="138"/>
      <c r="BPZ76" s="37"/>
      <c r="BQA76" s="37"/>
      <c r="BQB76" s="37"/>
      <c r="BQC76" s="37"/>
      <c r="BQD76" s="37"/>
      <c r="BQE76" s="75"/>
      <c r="BQF76" s="37"/>
      <c r="BQG76" s="37"/>
      <c r="BQH76" s="37"/>
      <c r="BQI76" s="37"/>
      <c r="BQJ76" s="37"/>
      <c r="BQK76" s="38"/>
      <c r="BQL76" s="36"/>
      <c r="BQM76" s="65"/>
      <c r="BQN76" s="65"/>
      <c r="BQO76" s="65"/>
      <c r="BQP76" s="37"/>
      <c r="BQQ76" s="133"/>
      <c r="BQR76" s="37"/>
      <c r="BQS76" s="37"/>
      <c r="BQT76" s="37"/>
      <c r="BQU76" s="37"/>
      <c r="BQV76" s="37"/>
      <c r="BQW76" s="138"/>
      <c r="BQX76" s="37"/>
      <c r="BQY76" s="37"/>
      <c r="BQZ76" s="37"/>
      <c r="BRA76" s="37"/>
      <c r="BRB76" s="37"/>
      <c r="BRC76" s="75"/>
      <c r="BRD76" s="37"/>
      <c r="BRE76" s="37"/>
      <c r="BRF76" s="37"/>
      <c r="BRG76" s="37"/>
      <c r="BRH76" s="37"/>
      <c r="BRI76" s="138"/>
      <c r="BRJ76" s="37"/>
      <c r="BRK76" s="37"/>
      <c r="BRL76" s="37"/>
      <c r="BRM76" s="37"/>
      <c r="BRN76" s="37"/>
      <c r="BRO76" s="75"/>
      <c r="BRP76" s="65"/>
      <c r="BRQ76" s="65"/>
      <c r="BRR76" s="65"/>
      <c r="BRS76" s="65"/>
      <c r="BRT76" s="37"/>
      <c r="BRU76" s="138"/>
      <c r="BRV76" s="37"/>
      <c r="BRW76" s="37"/>
      <c r="BRX76" s="37"/>
      <c r="BRY76" s="37"/>
      <c r="BRZ76" s="37"/>
      <c r="BSA76" s="75"/>
      <c r="BSB76" s="37"/>
      <c r="BSC76" s="37"/>
      <c r="BSD76" s="37"/>
      <c r="BSE76" s="37"/>
      <c r="BSF76" s="37"/>
      <c r="BSG76" s="138"/>
      <c r="BSH76" s="37"/>
      <c r="BSI76" s="37"/>
      <c r="BSJ76" s="37"/>
      <c r="BSK76" s="37"/>
      <c r="BSL76" s="37"/>
      <c r="BSM76" s="75"/>
      <c r="BSN76" s="37"/>
      <c r="BSO76" s="37"/>
      <c r="BSP76" s="37"/>
      <c r="BSQ76" s="37"/>
      <c r="BSR76" s="37"/>
      <c r="BSS76" s="38"/>
      <c r="BST76" s="36"/>
      <c r="BSU76" s="65"/>
      <c r="BSV76" s="65"/>
      <c r="BSW76" s="65"/>
      <c r="BSX76" s="37"/>
      <c r="BSY76" s="133"/>
      <c r="BSZ76" s="37"/>
      <c r="BTA76" s="37"/>
      <c r="BTB76" s="37"/>
      <c r="BTC76" s="37"/>
      <c r="BTD76" s="37"/>
      <c r="BTE76" s="138"/>
      <c r="BTF76" s="37"/>
      <c r="BTG76" s="37"/>
      <c r="BTH76" s="37"/>
      <c r="BTI76" s="37"/>
      <c r="BTJ76" s="37"/>
      <c r="BTK76" s="75"/>
      <c r="BTL76" s="37"/>
      <c r="BTM76" s="37"/>
      <c r="BTN76" s="37"/>
      <c r="BTO76" s="37"/>
      <c r="BTP76" s="37"/>
      <c r="BTQ76" s="138"/>
      <c r="BTR76" s="37"/>
      <c r="BTS76" s="37"/>
      <c r="BTT76" s="37"/>
      <c r="BTU76" s="37"/>
      <c r="BTV76" s="37"/>
      <c r="BTW76" s="75"/>
      <c r="BTX76" s="65"/>
      <c r="BTY76" s="65"/>
      <c r="BTZ76" s="65"/>
      <c r="BUA76" s="65"/>
      <c r="BUB76" s="37"/>
      <c r="BUC76" s="138"/>
      <c r="BUD76" s="37"/>
      <c r="BUE76" s="37"/>
      <c r="BUF76" s="37"/>
      <c r="BUG76" s="37"/>
      <c r="BUH76" s="37"/>
      <c r="BUI76" s="75"/>
      <c r="BUJ76" s="37"/>
      <c r="BUK76" s="37"/>
      <c r="BUL76" s="37"/>
      <c r="BUM76" s="37"/>
      <c r="BUN76" s="37"/>
      <c r="BUO76" s="138"/>
      <c r="BUP76" s="37"/>
      <c r="BUQ76" s="37"/>
      <c r="BUR76" s="37"/>
      <c r="BUS76" s="37"/>
      <c r="BUT76" s="37"/>
      <c r="BUU76" s="75"/>
      <c r="BUV76" s="37"/>
      <c r="BUW76" s="37"/>
      <c r="BUX76" s="37"/>
      <c r="BUY76" s="37"/>
      <c r="BUZ76" s="37"/>
      <c r="BVA76" s="38"/>
      <c r="BVB76" s="36"/>
      <c r="BVC76" s="65"/>
      <c r="BVD76" s="65"/>
      <c r="BVE76" s="65"/>
      <c r="BVF76" s="37"/>
      <c r="BVG76" s="133"/>
      <c r="BVH76" s="37"/>
      <c r="BVI76" s="37"/>
      <c r="BVJ76" s="37"/>
      <c r="BVK76" s="37"/>
      <c r="BVL76" s="37"/>
      <c r="BVM76" s="138"/>
      <c r="BVN76" s="37"/>
      <c r="BVO76" s="37"/>
      <c r="BVP76" s="37"/>
      <c r="BVQ76" s="37"/>
      <c r="BVR76" s="37"/>
      <c r="BVS76" s="75"/>
      <c r="BVT76" s="37"/>
      <c r="BVU76" s="37"/>
      <c r="BVV76" s="37"/>
      <c r="BVW76" s="37"/>
      <c r="BVX76" s="37"/>
      <c r="BVY76" s="138"/>
      <c r="BVZ76" s="37"/>
      <c r="BWA76" s="37"/>
      <c r="BWB76" s="37"/>
      <c r="BWC76" s="37"/>
      <c r="BWD76" s="37"/>
      <c r="BWE76" s="75"/>
      <c r="BWF76" s="65"/>
      <c r="BWG76" s="65"/>
      <c r="BWH76" s="65"/>
      <c r="BWI76" s="65"/>
      <c r="BWJ76" s="37"/>
      <c r="BWK76" s="138"/>
      <c r="BWL76" s="37"/>
      <c r="BWM76" s="37"/>
      <c r="BWN76" s="37"/>
      <c r="BWO76" s="37"/>
      <c r="BWP76" s="37"/>
      <c r="BWQ76" s="75"/>
      <c r="BWR76" s="37"/>
      <c r="BWS76" s="37"/>
      <c r="BWT76" s="37"/>
      <c r="BWU76" s="37"/>
      <c r="BWV76" s="37"/>
      <c r="BWW76" s="138"/>
      <c r="BWX76" s="37"/>
      <c r="BWY76" s="37"/>
      <c r="BWZ76" s="37"/>
      <c r="BXA76" s="37"/>
      <c r="BXB76" s="37"/>
      <c r="BXC76" s="75"/>
      <c r="BXD76" s="37"/>
      <c r="BXE76" s="37"/>
      <c r="BXF76" s="37"/>
      <c r="BXG76" s="37"/>
      <c r="BXH76" s="37"/>
      <c r="BXI76" s="38"/>
      <c r="BXJ76" s="36"/>
      <c r="BXK76" s="65"/>
      <c r="BXL76" s="65"/>
      <c r="BXM76" s="65"/>
      <c r="BXN76" s="37"/>
      <c r="BXO76" s="133"/>
      <c r="BXP76" s="37"/>
      <c r="BXQ76" s="37"/>
      <c r="BXR76" s="37"/>
      <c r="BXS76" s="37"/>
      <c r="BXT76" s="37"/>
      <c r="BXU76" s="138"/>
      <c r="BXV76" s="37"/>
      <c r="BXW76" s="37"/>
      <c r="BXX76" s="37"/>
      <c r="BXY76" s="37"/>
      <c r="BXZ76" s="37"/>
      <c r="BYA76" s="75"/>
      <c r="BYB76" s="37"/>
      <c r="BYC76" s="37"/>
      <c r="BYD76" s="37"/>
      <c r="BYE76" s="37"/>
      <c r="BYF76" s="37"/>
      <c r="BYG76" s="138"/>
      <c r="BYH76" s="37"/>
      <c r="BYI76" s="37"/>
      <c r="BYJ76" s="37"/>
      <c r="BYK76" s="37"/>
      <c r="BYL76" s="37"/>
      <c r="BYM76" s="75"/>
      <c r="BYN76" s="65"/>
      <c r="BYO76" s="65"/>
      <c r="BYP76" s="65"/>
      <c r="BYQ76" s="65"/>
      <c r="BYR76" s="37"/>
      <c r="BYS76" s="138"/>
      <c r="BYT76" s="37"/>
      <c r="BYU76" s="37"/>
      <c r="BYV76" s="37"/>
      <c r="BYW76" s="37"/>
      <c r="BYX76" s="37"/>
      <c r="BYY76" s="75"/>
      <c r="BYZ76" s="37"/>
      <c r="BZA76" s="37"/>
      <c r="BZB76" s="37"/>
      <c r="BZC76" s="37"/>
      <c r="BZD76" s="37"/>
      <c r="BZE76" s="138"/>
      <c r="BZF76" s="37"/>
      <c r="BZG76" s="37"/>
      <c r="BZH76" s="37"/>
      <c r="BZI76" s="37"/>
      <c r="BZJ76" s="37"/>
      <c r="BZK76" s="75"/>
      <c r="BZL76" s="37"/>
      <c r="BZM76" s="37"/>
      <c r="BZN76" s="37"/>
      <c r="BZO76" s="37"/>
      <c r="BZP76" s="37"/>
      <c r="BZQ76" s="38"/>
      <c r="BZR76" s="36"/>
      <c r="BZS76" s="65"/>
      <c r="BZT76" s="65"/>
      <c r="BZU76" s="65"/>
      <c r="BZV76" s="37"/>
      <c r="BZW76" s="133"/>
      <c r="BZX76" s="37"/>
      <c r="BZY76" s="37"/>
      <c r="BZZ76" s="37"/>
      <c r="CAA76" s="37"/>
      <c r="CAB76" s="37"/>
      <c r="CAC76" s="138"/>
      <c r="CAD76" s="37"/>
      <c r="CAE76" s="37"/>
      <c r="CAF76" s="37"/>
      <c r="CAG76" s="37"/>
      <c r="CAH76" s="37"/>
      <c r="CAI76" s="75"/>
      <c r="CAJ76" s="37"/>
      <c r="CAK76" s="37"/>
      <c r="CAL76" s="37"/>
      <c r="CAM76" s="37"/>
      <c r="CAN76" s="37"/>
      <c r="CAO76" s="138"/>
      <c r="CAP76" s="37"/>
      <c r="CAQ76" s="37"/>
      <c r="CAR76" s="37"/>
      <c r="CAS76" s="37"/>
      <c r="CAT76" s="37"/>
      <c r="CAU76" s="75"/>
      <c r="CAV76" s="65"/>
      <c r="CAW76" s="65"/>
      <c r="CAX76" s="65"/>
      <c r="CAY76" s="65"/>
      <c r="CAZ76" s="37"/>
      <c r="CBA76" s="138"/>
      <c r="CBB76" s="37"/>
      <c r="CBC76" s="37"/>
      <c r="CBD76" s="37"/>
      <c r="CBE76" s="37"/>
      <c r="CBF76" s="37"/>
      <c r="CBG76" s="75"/>
      <c r="CBH76" s="37"/>
      <c r="CBI76" s="37"/>
      <c r="CBJ76" s="37"/>
      <c r="CBK76" s="37"/>
      <c r="CBL76" s="37"/>
      <c r="CBM76" s="138"/>
      <c r="CBN76" s="37"/>
      <c r="CBO76" s="37"/>
      <c r="CBP76" s="37"/>
      <c r="CBQ76" s="37"/>
      <c r="CBR76" s="37"/>
      <c r="CBS76" s="75"/>
      <c r="CBT76" s="37"/>
      <c r="CBU76" s="37"/>
      <c r="CBV76" s="37"/>
      <c r="CBW76" s="37"/>
      <c r="CBX76" s="37"/>
      <c r="CBY76" s="38"/>
      <c r="CBZ76" s="90"/>
    </row>
    <row r="77" spans="1:2106" ht="20.100000000000001" customHeight="1" x14ac:dyDescent="0.25">
      <c r="A77" s="100" t="s">
        <v>22</v>
      </c>
      <c r="B77" s="63"/>
      <c r="C77" s="170"/>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40"/>
      <c r="BLW77" s="66"/>
      <c r="BLX77" s="66"/>
      <c r="BLY77" s="66"/>
      <c r="BLZ77" s="41"/>
      <c r="BMA77" s="134"/>
      <c r="BMB77" s="41"/>
      <c r="BMC77" s="41"/>
      <c r="BMD77" s="41"/>
      <c r="BME77" s="41"/>
      <c r="BMF77" s="41"/>
      <c r="BMG77" s="139"/>
      <c r="BMH77" s="41"/>
      <c r="BMI77" s="41"/>
      <c r="BMJ77" s="41"/>
      <c r="BMK77" s="41"/>
      <c r="BML77" s="41"/>
      <c r="BMM77" s="76"/>
      <c r="BMN77" s="41"/>
      <c r="BMO77" s="41"/>
      <c r="BMP77" s="41"/>
      <c r="BMQ77" s="41"/>
      <c r="BMR77" s="41"/>
      <c r="BMS77" s="139"/>
      <c r="BMT77" s="41"/>
      <c r="BMU77" s="41"/>
      <c r="BMV77" s="41"/>
      <c r="BMW77" s="41"/>
      <c r="BMX77" s="41"/>
      <c r="BMY77" s="76"/>
      <c r="BMZ77" s="66"/>
      <c r="BNA77" s="66"/>
      <c r="BNB77" s="66"/>
      <c r="BNC77" s="66"/>
      <c r="BND77" s="41"/>
      <c r="BNE77" s="139"/>
      <c r="BNF77" s="41"/>
      <c r="BNG77" s="41"/>
      <c r="BNH77" s="41"/>
      <c r="BNI77" s="41"/>
      <c r="BNJ77" s="41"/>
      <c r="BNK77" s="76"/>
      <c r="BNL77" s="41"/>
      <c r="BNM77" s="41"/>
      <c r="BNN77" s="41"/>
      <c r="BNO77" s="41"/>
      <c r="BNP77" s="41"/>
      <c r="BNQ77" s="139"/>
      <c r="BNR77" s="41"/>
      <c r="BNS77" s="41"/>
      <c r="BNT77" s="41"/>
      <c r="BNU77" s="41"/>
      <c r="BNV77" s="41"/>
      <c r="BNW77" s="76"/>
      <c r="BNX77" s="41"/>
      <c r="BNY77" s="41"/>
      <c r="BNZ77" s="41"/>
      <c r="BOA77" s="41"/>
      <c r="BOB77" s="41"/>
      <c r="BOC77" s="42"/>
      <c r="BOD77" s="40"/>
      <c r="BOE77" s="66"/>
      <c r="BOF77" s="66"/>
      <c r="BOG77" s="66"/>
      <c r="BOH77" s="41"/>
      <c r="BOI77" s="134"/>
      <c r="BOJ77" s="41"/>
      <c r="BOK77" s="41"/>
      <c r="BOL77" s="41"/>
      <c r="BOM77" s="41"/>
      <c r="BON77" s="41"/>
      <c r="BOO77" s="139"/>
      <c r="BOP77" s="41"/>
      <c r="BOQ77" s="41"/>
      <c r="BOR77" s="41"/>
      <c r="BOS77" s="41"/>
      <c r="BOT77" s="41"/>
      <c r="BOU77" s="76"/>
      <c r="BOV77" s="41"/>
      <c r="BOW77" s="41"/>
      <c r="BOX77" s="41"/>
      <c r="BOY77" s="41"/>
      <c r="BOZ77" s="41"/>
      <c r="BPA77" s="139"/>
      <c r="BPB77" s="41"/>
      <c r="BPC77" s="41"/>
      <c r="BPD77" s="41"/>
      <c r="BPE77" s="41"/>
      <c r="BPF77" s="41"/>
      <c r="BPG77" s="76"/>
      <c r="BPH77" s="66"/>
      <c r="BPI77" s="66"/>
      <c r="BPJ77" s="66"/>
      <c r="BPK77" s="66"/>
      <c r="BPL77" s="41"/>
      <c r="BPM77" s="139"/>
      <c r="BPN77" s="41"/>
      <c r="BPO77" s="41"/>
      <c r="BPP77" s="41"/>
      <c r="BPQ77" s="41"/>
      <c r="BPR77" s="41"/>
      <c r="BPS77" s="76"/>
      <c r="BPT77" s="41"/>
      <c r="BPU77" s="41"/>
      <c r="BPV77" s="41"/>
      <c r="BPW77" s="41"/>
      <c r="BPX77" s="41"/>
      <c r="BPY77" s="139"/>
      <c r="BPZ77" s="41"/>
      <c r="BQA77" s="41"/>
      <c r="BQB77" s="41"/>
      <c r="BQC77" s="41"/>
      <c r="BQD77" s="41"/>
      <c r="BQE77" s="76"/>
      <c r="BQF77" s="41"/>
      <c r="BQG77" s="41"/>
      <c r="BQH77" s="41"/>
      <c r="BQI77" s="41"/>
      <c r="BQJ77" s="41"/>
      <c r="BQK77" s="42"/>
      <c r="BQL77" s="40"/>
      <c r="BQM77" s="66"/>
      <c r="BQN77" s="66"/>
      <c r="BQO77" s="66"/>
      <c r="BQP77" s="41"/>
      <c r="BQQ77" s="134"/>
      <c r="BQR77" s="41"/>
      <c r="BQS77" s="41"/>
      <c r="BQT77" s="41"/>
      <c r="BQU77" s="41"/>
      <c r="BQV77" s="41"/>
      <c r="BQW77" s="139"/>
      <c r="BQX77" s="41"/>
      <c r="BQY77" s="41"/>
      <c r="BQZ77" s="41"/>
      <c r="BRA77" s="41"/>
      <c r="BRB77" s="41"/>
      <c r="BRC77" s="76"/>
      <c r="BRD77" s="41"/>
      <c r="BRE77" s="41"/>
      <c r="BRF77" s="41"/>
      <c r="BRG77" s="41"/>
      <c r="BRH77" s="41"/>
      <c r="BRI77" s="139"/>
      <c r="BRJ77" s="41"/>
      <c r="BRK77" s="41"/>
      <c r="BRL77" s="41"/>
      <c r="BRM77" s="41"/>
      <c r="BRN77" s="41"/>
      <c r="BRO77" s="76"/>
      <c r="BRP77" s="66"/>
      <c r="BRQ77" s="66"/>
      <c r="BRR77" s="66"/>
      <c r="BRS77" s="66"/>
      <c r="BRT77" s="41"/>
      <c r="BRU77" s="139"/>
      <c r="BRV77" s="41"/>
      <c r="BRW77" s="41"/>
      <c r="BRX77" s="41"/>
      <c r="BRY77" s="41"/>
      <c r="BRZ77" s="41"/>
      <c r="BSA77" s="76"/>
      <c r="BSB77" s="41"/>
      <c r="BSC77" s="41"/>
      <c r="BSD77" s="41"/>
      <c r="BSE77" s="41"/>
      <c r="BSF77" s="41"/>
      <c r="BSG77" s="139"/>
      <c r="BSH77" s="41"/>
      <c r="BSI77" s="41"/>
      <c r="BSJ77" s="41"/>
      <c r="BSK77" s="41"/>
      <c r="BSL77" s="41"/>
      <c r="BSM77" s="76"/>
      <c r="BSN77" s="41"/>
      <c r="BSO77" s="41"/>
      <c r="BSP77" s="41"/>
      <c r="BSQ77" s="41"/>
      <c r="BSR77" s="41"/>
      <c r="BSS77" s="42"/>
      <c r="BST77" s="40"/>
      <c r="BSU77" s="66"/>
      <c r="BSV77" s="66"/>
      <c r="BSW77" s="66"/>
      <c r="BSX77" s="41"/>
      <c r="BSY77" s="134"/>
      <c r="BSZ77" s="41"/>
      <c r="BTA77" s="41"/>
      <c r="BTB77" s="41"/>
      <c r="BTC77" s="41"/>
      <c r="BTD77" s="41"/>
      <c r="BTE77" s="139"/>
      <c r="BTF77" s="41"/>
      <c r="BTG77" s="41"/>
      <c r="BTH77" s="41"/>
      <c r="BTI77" s="41"/>
      <c r="BTJ77" s="41"/>
      <c r="BTK77" s="76"/>
      <c r="BTL77" s="41"/>
      <c r="BTM77" s="41"/>
      <c r="BTN77" s="41"/>
      <c r="BTO77" s="41"/>
      <c r="BTP77" s="41"/>
      <c r="BTQ77" s="139"/>
      <c r="BTR77" s="41"/>
      <c r="BTS77" s="41"/>
      <c r="BTT77" s="41"/>
      <c r="BTU77" s="41"/>
      <c r="BTV77" s="41"/>
      <c r="BTW77" s="76"/>
      <c r="BTX77" s="66"/>
      <c r="BTY77" s="66"/>
      <c r="BTZ77" s="66"/>
      <c r="BUA77" s="66"/>
      <c r="BUB77" s="41"/>
      <c r="BUC77" s="139"/>
      <c r="BUD77" s="41"/>
      <c r="BUE77" s="41"/>
      <c r="BUF77" s="41"/>
      <c r="BUG77" s="41"/>
      <c r="BUH77" s="41"/>
      <c r="BUI77" s="76"/>
      <c r="BUJ77" s="41"/>
      <c r="BUK77" s="41"/>
      <c r="BUL77" s="41"/>
      <c r="BUM77" s="41"/>
      <c r="BUN77" s="41"/>
      <c r="BUO77" s="139"/>
      <c r="BUP77" s="41"/>
      <c r="BUQ77" s="41"/>
      <c r="BUR77" s="41"/>
      <c r="BUS77" s="41"/>
      <c r="BUT77" s="41"/>
      <c r="BUU77" s="76"/>
      <c r="BUV77" s="41"/>
      <c r="BUW77" s="41"/>
      <c r="BUX77" s="41"/>
      <c r="BUY77" s="41"/>
      <c r="BUZ77" s="41"/>
      <c r="BVA77" s="42"/>
      <c r="BVB77" s="40"/>
      <c r="BVC77" s="66"/>
      <c r="BVD77" s="66"/>
      <c r="BVE77" s="66"/>
      <c r="BVF77" s="41"/>
      <c r="BVG77" s="134"/>
      <c r="BVH77" s="41"/>
      <c r="BVI77" s="41"/>
      <c r="BVJ77" s="41"/>
      <c r="BVK77" s="41"/>
      <c r="BVL77" s="41"/>
      <c r="BVM77" s="139"/>
      <c r="BVN77" s="41"/>
      <c r="BVO77" s="41"/>
      <c r="BVP77" s="41"/>
      <c r="BVQ77" s="41"/>
      <c r="BVR77" s="41"/>
      <c r="BVS77" s="76"/>
      <c r="BVT77" s="41"/>
      <c r="BVU77" s="41"/>
      <c r="BVV77" s="41"/>
      <c r="BVW77" s="41"/>
      <c r="BVX77" s="41"/>
      <c r="BVY77" s="139"/>
      <c r="BVZ77" s="41"/>
      <c r="BWA77" s="41"/>
      <c r="BWB77" s="41"/>
      <c r="BWC77" s="41"/>
      <c r="BWD77" s="41"/>
      <c r="BWE77" s="76"/>
      <c r="BWF77" s="66"/>
      <c r="BWG77" s="66"/>
      <c r="BWH77" s="66"/>
      <c r="BWI77" s="66"/>
      <c r="BWJ77" s="41"/>
      <c r="BWK77" s="139"/>
      <c r="BWL77" s="41"/>
      <c r="BWM77" s="41"/>
      <c r="BWN77" s="41"/>
      <c r="BWO77" s="41"/>
      <c r="BWP77" s="41"/>
      <c r="BWQ77" s="76"/>
      <c r="BWR77" s="41"/>
      <c r="BWS77" s="41"/>
      <c r="BWT77" s="41"/>
      <c r="BWU77" s="41"/>
      <c r="BWV77" s="41"/>
      <c r="BWW77" s="139"/>
      <c r="BWX77" s="41"/>
      <c r="BWY77" s="41"/>
      <c r="BWZ77" s="41"/>
      <c r="BXA77" s="41"/>
      <c r="BXB77" s="41"/>
      <c r="BXC77" s="76"/>
      <c r="BXD77" s="41"/>
      <c r="BXE77" s="41"/>
      <c r="BXF77" s="41"/>
      <c r="BXG77" s="41"/>
      <c r="BXH77" s="41"/>
      <c r="BXI77" s="42"/>
      <c r="BXJ77" s="40"/>
      <c r="BXK77" s="66"/>
      <c r="BXL77" s="66"/>
      <c r="BXM77" s="66"/>
      <c r="BXN77" s="41"/>
      <c r="BXO77" s="134"/>
      <c r="BXP77" s="41"/>
      <c r="BXQ77" s="41"/>
      <c r="BXR77" s="41"/>
      <c r="BXS77" s="41"/>
      <c r="BXT77" s="41"/>
      <c r="BXU77" s="139"/>
      <c r="BXV77" s="41"/>
      <c r="BXW77" s="41"/>
      <c r="BXX77" s="41"/>
      <c r="BXY77" s="41"/>
      <c r="BXZ77" s="41"/>
      <c r="BYA77" s="76"/>
      <c r="BYB77" s="41"/>
      <c r="BYC77" s="41"/>
      <c r="BYD77" s="41"/>
      <c r="BYE77" s="41"/>
      <c r="BYF77" s="41"/>
      <c r="BYG77" s="139"/>
      <c r="BYH77" s="41"/>
      <c r="BYI77" s="41"/>
      <c r="BYJ77" s="41"/>
      <c r="BYK77" s="41"/>
      <c r="BYL77" s="41"/>
      <c r="BYM77" s="76"/>
      <c r="BYN77" s="66"/>
      <c r="BYO77" s="66"/>
      <c r="BYP77" s="66"/>
      <c r="BYQ77" s="66"/>
      <c r="BYR77" s="41"/>
      <c r="BYS77" s="139"/>
      <c r="BYT77" s="41"/>
      <c r="BYU77" s="41"/>
      <c r="BYV77" s="41"/>
      <c r="BYW77" s="41"/>
      <c r="BYX77" s="41"/>
      <c r="BYY77" s="76"/>
      <c r="BYZ77" s="41"/>
      <c r="BZA77" s="41"/>
      <c r="BZB77" s="41"/>
      <c r="BZC77" s="41"/>
      <c r="BZD77" s="41"/>
      <c r="BZE77" s="139"/>
      <c r="BZF77" s="41"/>
      <c r="BZG77" s="41"/>
      <c r="BZH77" s="41"/>
      <c r="BZI77" s="41"/>
      <c r="BZJ77" s="41"/>
      <c r="BZK77" s="76"/>
      <c r="BZL77" s="41"/>
      <c r="BZM77" s="41"/>
      <c r="BZN77" s="41"/>
      <c r="BZO77" s="41"/>
      <c r="BZP77" s="41"/>
      <c r="BZQ77" s="42"/>
      <c r="BZR77" s="40"/>
      <c r="BZS77" s="66"/>
      <c r="BZT77" s="66"/>
      <c r="BZU77" s="66"/>
      <c r="BZV77" s="41"/>
      <c r="BZW77" s="134"/>
      <c r="BZX77" s="41"/>
      <c r="BZY77" s="41"/>
      <c r="BZZ77" s="41"/>
      <c r="CAA77" s="41"/>
      <c r="CAB77" s="41"/>
      <c r="CAC77" s="139"/>
      <c r="CAD77" s="41"/>
      <c r="CAE77" s="41"/>
      <c r="CAF77" s="41"/>
      <c r="CAG77" s="41"/>
      <c r="CAH77" s="41"/>
      <c r="CAI77" s="76"/>
      <c r="CAJ77" s="41"/>
      <c r="CAK77" s="41"/>
      <c r="CAL77" s="41"/>
      <c r="CAM77" s="41"/>
      <c r="CAN77" s="41"/>
      <c r="CAO77" s="139"/>
      <c r="CAP77" s="41"/>
      <c r="CAQ77" s="41"/>
      <c r="CAR77" s="41"/>
      <c r="CAS77" s="41"/>
      <c r="CAT77" s="41"/>
      <c r="CAU77" s="76"/>
      <c r="CAV77" s="66"/>
      <c r="CAW77" s="66"/>
      <c r="CAX77" s="66"/>
      <c r="CAY77" s="66"/>
      <c r="CAZ77" s="41"/>
      <c r="CBA77" s="139"/>
      <c r="CBB77" s="41"/>
      <c r="CBC77" s="41"/>
      <c r="CBD77" s="41"/>
      <c r="CBE77" s="41"/>
      <c r="CBF77" s="41"/>
      <c r="CBG77" s="76"/>
      <c r="CBH77" s="41"/>
      <c r="CBI77" s="41"/>
      <c r="CBJ77" s="41"/>
      <c r="CBK77" s="41"/>
      <c r="CBL77" s="41"/>
      <c r="CBM77" s="139"/>
      <c r="CBN77" s="41"/>
      <c r="CBO77" s="41"/>
      <c r="CBP77" s="41"/>
      <c r="CBQ77" s="41"/>
      <c r="CBR77" s="41"/>
      <c r="CBS77" s="76"/>
      <c r="CBT77" s="41"/>
      <c r="CBU77" s="41"/>
      <c r="CBV77" s="41"/>
      <c r="CBW77" s="41"/>
      <c r="CBX77" s="41"/>
      <c r="CBY77" s="42"/>
      <c r="CBZ77" s="90"/>
    </row>
    <row r="78" spans="1:2106" ht="20.100000000000001" customHeight="1" x14ac:dyDescent="0.25">
      <c r="A78" s="100" t="s">
        <v>23</v>
      </c>
      <c r="B78" s="63"/>
      <c r="C78" s="172"/>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28"/>
      <c r="BLW78" s="67"/>
      <c r="BLX78" s="67"/>
      <c r="BLY78" s="67"/>
      <c r="BLZ78" s="29"/>
      <c r="BMA78" s="133"/>
      <c r="BMB78" s="29"/>
      <c r="BMC78" s="29"/>
      <c r="BMD78" s="29"/>
      <c r="BME78" s="29"/>
      <c r="BMF78" s="29"/>
      <c r="BMG78" s="138"/>
      <c r="BMH78" s="29"/>
      <c r="BMI78" s="29"/>
      <c r="BMJ78" s="29"/>
      <c r="BMK78" s="29"/>
      <c r="BML78" s="29"/>
      <c r="BMM78" s="75"/>
      <c r="BMN78" s="29"/>
      <c r="BMO78" s="29"/>
      <c r="BMP78" s="29"/>
      <c r="BMQ78" s="29"/>
      <c r="BMR78" s="29"/>
      <c r="BMS78" s="138"/>
      <c r="BMT78" s="29"/>
      <c r="BMU78" s="29"/>
      <c r="BMV78" s="29"/>
      <c r="BMW78" s="29"/>
      <c r="BMX78" s="29"/>
      <c r="BMY78" s="75"/>
      <c r="BMZ78" s="67"/>
      <c r="BNA78" s="67"/>
      <c r="BNB78" s="67"/>
      <c r="BNC78" s="67"/>
      <c r="BND78" s="29"/>
      <c r="BNE78" s="138"/>
      <c r="BNF78" s="29"/>
      <c r="BNG78" s="29"/>
      <c r="BNH78" s="29"/>
      <c r="BNI78" s="29"/>
      <c r="BNJ78" s="29"/>
      <c r="BNK78" s="75"/>
      <c r="BNL78" s="29"/>
      <c r="BNM78" s="29"/>
      <c r="BNN78" s="29"/>
      <c r="BNO78" s="29"/>
      <c r="BNP78" s="29"/>
      <c r="BNQ78" s="138"/>
      <c r="BNR78" s="29"/>
      <c r="BNS78" s="29"/>
      <c r="BNT78" s="29"/>
      <c r="BNU78" s="29"/>
      <c r="BNV78" s="29"/>
      <c r="BNW78" s="75"/>
      <c r="BNX78" s="29"/>
      <c r="BNY78" s="29"/>
      <c r="BNZ78" s="29"/>
      <c r="BOA78" s="29"/>
      <c r="BOB78" s="29"/>
      <c r="BOC78" s="30"/>
      <c r="BOD78" s="28"/>
      <c r="BOE78" s="67"/>
      <c r="BOF78" s="67"/>
      <c r="BOG78" s="67"/>
      <c r="BOH78" s="29"/>
      <c r="BOI78" s="133"/>
      <c r="BOJ78" s="29"/>
      <c r="BOK78" s="29"/>
      <c r="BOL78" s="29"/>
      <c r="BOM78" s="29"/>
      <c r="BON78" s="29"/>
      <c r="BOO78" s="138"/>
      <c r="BOP78" s="29"/>
      <c r="BOQ78" s="29"/>
      <c r="BOR78" s="29"/>
      <c r="BOS78" s="29"/>
      <c r="BOT78" s="29"/>
      <c r="BOU78" s="75"/>
      <c r="BOV78" s="29"/>
      <c r="BOW78" s="29"/>
      <c r="BOX78" s="29"/>
      <c r="BOY78" s="29"/>
      <c r="BOZ78" s="29"/>
      <c r="BPA78" s="138"/>
      <c r="BPB78" s="29"/>
      <c r="BPC78" s="29"/>
      <c r="BPD78" s="29"/>
      <c r="BPE78" s="29"/>
      <c r="BPF78" s="29"/>
      <c r="BPG78" s="75"/>
      <c r="BPH78" s="67"/>
      <c r="BPI78" s="67"/>
      <c r="BPJ78" s="67"/>
      <c r="BPK78" s="67"/>
      <c r="BPL78" s="29"/>
      <c r="BPM78" s="138"/>
      <c r="BPN78" s="29"/>
      <c r="BPO78" s="29"/>
      <c r="BPP78" s="29"/>
      <c r="BPQ78" s="29"/>
      <c r="BPR78" s="29"/>
      <c r="BPS78" s="75"/>
      <c r="BPT78" s="29"/>
      <c r="BPU78" s="29"/>
      <c r="BPV78" s="29"/>
      <c r="BPW78" s="29"/>
      <c r="BPX78" s="29"/>
      <c r="BPY78" s="138"/>
      <c r="BPZ78" s="29"/>
      <c r="BQA78" s="29"/>
      <c r="BQB78" s="29"/>
      <c r="BQC78" s="29"/>
      <c r="BQD78" s="29"/>
      <c r="BQE78" s="75"/>
      <c r="BQF78" s="29"/>
      <c r="BQG78" s="29"/>
      <c r="BQH78" s="29"/>
      <c r="BQI78" s="29"/>
      <c r="BQJ78" s="29"/>
      <c r="BQK78" s="30"/>
      <c r="BQL78" s="28"/>
      <c r="BQM78" s="67"/>
      <c r="BQN78" s="67"/>
      <c r="BQO78" s="67"/>
      <c r="BQP78" s="29"/>
      <c r="BQQ78" s="133"/>
      <c r="BQR78" s="29"/>
      <c r="BQS78" s="29"/>
      <c r="BQT78" s="29"/>
      <c r="BQU78" s="29"/>
      <c r="BQV78" s="29"/>
      <c r="BQW78" s="138"/>
      <c r="BQX78" s="29"/>
      <c r="BQY78" s="29"/>
      <c r="BQZ78" s="29"/>
      <c r="BRA78" s="29"/>
      <c r="BRB78" s="29"/>
      <c r="BRC78" s="75"/>
      <c r="BRD78" s="29"/>
      <c r="BRE78" s="29"/>
      <c r="BRF78" s="29"/>
      <c r="BRG78" s="29"/>
      <c r="BRH78" s="29"/>
      <c r="BRI78" s="138"/>
      <c r="BRJ78" s="29"/>
      <c r="BRK78" s="29"/>
      <c r="BRL78" s="29"/>
      <c r="BRM78" s="29"/>
      <c r="BRN78" s="29"/>
      <c r="BRO78" s="75"/>
      <c r="BRP78" s="67"/>
      <c r="BRQ78" s="67"/>
      <c r="BRR78" s="67"/>
      <c r="BRS78" s="67"/>
      <c r="BRT78" s="29"/>
      <c r="BRU78" s="138"/>
      <c r="BRV78" s="29"/>
      <c r="BRW78" s="29"/>
      <c r="BRX78" s="29"/>
      <c r="BRY78" s="29"/>
      <c r="BRZ78" s="29"/>
      <c r="BSA78" s="75"/>
      <c r="BSB78" s="29"/>
      <c r="BSC78" s="29"/>
      <c r="BSD78" s="29"/>
      <c r="BSE78" s="29"/>
      <c r="BSF78" s="29"/>
      <c r="BSG78" s="138"/>
      <c r="BSH78" s="29"/>
      <c r="BSI78" s="29"/>
      <c r="BSJ78" s="29"/>
      <c r="BSK78" s="29"/>
      <c r="BSL78" s="29"/>
      <c r="BSM78" s="75"/>
      <c r="BSN78" s="29"/>
      <c r="BSO78" s="29"/>
      <c r="BSP78" s="29"/>
      <c r="BSQ78" s="29"/>
      <c r="BSR78" s="29"/>
      <c r="BSS78" s="30"/>
      <c r="BST78" s="28"/>
      <c r="BSU78" s="67"/>
      <c r="BSV78" s="67"/>
      <c r="BSW78" s="67"/>
      <c r="BSX78" s="29"/>
      <c r="BSY78" s="133"/>
      <c r="BSZ78" s="29"/>
      <c r="BTA78" s="29"/>
      <c r="BTB78" s="29"/>
      <c r="BTC78" s="29"/>
      <c r="BTD78" s="29"/>
      <c r="BTE78" s="138"/>
      <c r="BTF78" s="29"/>
      <c r="BTG78" s="29"/>
      <c r="BTH78" s="29"/>
      <c r="BTI78" s="29"/>
      <c r="BTJ78" s="29"/>
      <c r="BTK78" s="75"/>
      <c r="BTL78" s="29"/>
      <c r="BTM78" s="29"/>
      <c r="BTN78" s="29"/>
      <c r="BTO78" s="29"/>
      <c r="BTP78" s="29"/>
      <c r="BTQ78" s="138"/>
      <c r="BTR78" s="29"/>
      <c r="BTS78" s="29"/>
      <c r="BTT78" s="29"/>
      <c r="BTU78" s="29"/>
      <c r="BTV78" s="29"/>
      <c r="BTW78" s="75"/>
      <c r="BTX78" s="67"/>
      <c r="BTY78" s="67"/>
      <c r="BTZ78" s="67"/>
      <c r="BUA78" s="67"/>
      <c r="BUB78" s="29"/>
      <c r="BUC78" s="138"/>
      <c r="BUD78" s="29"/>
      <c r="BUE78" s="29"/>
      <c r="BUF78" s="29"/>
      <c r="BUG78" s="29"/>
      <c r="BUH78" s="29"/>
      <c r="BUI78" s="75"/>
      <c r="BUJ78" s="29"/>
      <c r="BUK78" s="29"/>
      <c r="BUL78" s="29"/>
      <c r="BUM78" s="29"/>
      <c r="BUN78" s="29"/>
      <c r="BUO78" s="138"/>
      <c r="BUP78" s="29"/>
      <c r="BUQ78" s="29"/>
      <c r="BUR78" s="29"/>
      <c r="BUS78" s="29"/>
      <c r="BUT78" s="29"/>
      <c r="BUU78" s="75"/>
      <c r="BUV78" s="29"/>
      <c r="BUW78" s="29"/>
      <c r="BUX78" s="29"/>
      <c r="BUY78" s="29"/>
      <c r="BUZ78" s="29"/>
      <c r="BVA78" s="30"/>
      <c r="BVB78" s="28"/>
      <c r="BVC78" s="67"/>
      <c r="BVD78" s="67"/>
      <c r="BVE78" s="67"/>
      <c r="BVF78" s="29"/>
      <c r="BVG78" s="133"/>
      <c r="BVH78" s="29"/>
      <c r="BVI78" s="29"/>
      <c r="BVJ78" s="29"/>
      <c r="BVK78" s="29"/>
      <c r="BVL78" s="29"/>
      <c r="BVM78" s="138"/>
      <c r="BVN78" s="29"/>
      <c r="BVO78" s="29"/>
      <c r="BVP78" s="29"/>
      <c r="BVQ78" s="29"/>
      <c r="BVR78" s="29"/>
      <c r="BVS78" s="75"/>
      <c r="BVT78" s="29"/>
      <c r="BVU78" s="29"/>
      <c r="BVV78" s="29"/>
      <c r="BVW78" s="29"/>
      <c r="BVX78" s="29"/>
      <c r="BVY78" s="138"/>
      <c r="BVZ78" s="29"/>
      <c r="BWA78" s="29"/>
      <c r="BWB78" s="29"/>
      <c r="BWC78" s="29"/>
      <c r="BWD78" s="29"/>
      <c r="BWE78" s="75"/>
      <c r="BWF78" s="67"/>
      <c r="BWG78" s="67"/>
      <c r="BWH78" s="67"/>
      <c r="BWI78" s="67"/>
      <c r="BWJ78" s="29"/>
      <c r="BWK78" s="138"/>
      <c r="BWL78" s="29"/>
      <c r="BWM78" s="29"/>
      <c r="BWN78" s="29"/>
      <c r="BWO78" s="29"/>
      <c r="BWP78" s="29"/>
      <c r="BWQ78" s="75"/>
      <c r="BWR78" s="29"/>
      <c r="BWS78" s="29"/>
      <c r="BWT78" s="29"/>
      <c r="BWU78" s="29"/>
      <c r="BWV78" s="29"/>
      <c r="BWW78" s="138"/>
      <c r="BWX78" s="29"/>
      <c r="BWY78" s="29"/>
      <c r="BWZ78" s="29"/>
      <c r="BXA78" s="29"/>
      <c r="BXB78" s="29"/>
      <c r="BXC78" s="75"/>
      <c r="BXD78" s="29"/>
      <c r="BXE78" s="29"/>
      <c r="BXF78" s="29"/>
      <c r="BXG78" s="29"/>
      <c r="BXH78" s="29"/>
      <c r="BXI78" s="30"/>
      <c r="BXJ78" s="28"/>
      <c r="BXK78" s="67"/>
      <c r="BXL78" s="67"/>
      <c r="BXM78" s="67"/>
      <c r="BXN78" s="29"/>
      <c r="BXO78" s="133"/>
      <c r="BXP78" s="29"/>
      <c r="BXQ78" s="29"/>
      <c r="BXR78" s="29"/>
      <c r="BXS78" s="29"/>
      <c r="BXT78" s="29"/>
      <c r="BXU78" s="138"/>
      <c r="BXV78" s="29"/>
      <c r="BXW78" s="29"/>
      <c r="BXX78" s="29"/>
      <c r="BXY78" s="29"/>
      <c r="BXZ78" s="29"/>
      <c r="BYA78" s="75"/>
      <c r="BYB78" s="29"/>
      <c r="BYC78" s="29"/>
      <c r="BYD78" s="29"/>
      <c r="BYE78" s="29"/>
      <c r="BYF78" s="29"/>
      <c r="BYG78" s="138"/>
      <c r="BYH78" s="29"/>
      <c r="BYI78" s="29"/>
      <c r="BYJ78" s="29"/>
      <c r="BYK78" s="29"/>
      <c r="BYL78" s="29"/>
      <c r="BYM78" s="75"/>
      <c r="BYN78" s="67"/>
      <c r="BYO78" s="67"/>
      <c r="BYP78" s="67"/>
      <c r="BYQ78" s="67"/>
      <c r="BYR78" s="29"/>
      <c r="BYS78" s="138"/>
      <c r="BYT78" s="29"/>
      <c r="BYU78" s="29"/>
      <c r="BYV78" s="29"/>
      <c r="BYW78" s="29"/>
      <c r="BYX78" s="29"/>
      <c r="BYY78" s="75"/>
      <c r="BYZ78" s="29"/>
      <c r="BZA78" s="29"/>
      <c r="BZB78" s="29"/>
      <c r="BZC78" s="29"/>
      <c r="BZD78" s="29"/>
      <c r="BZE78" s="138"/>
      <c r="BZF78" s="29"/>
      <c r="BZG78" s="29"/>
      <c r="BZH78" s="29"/>
      <c r="BZI78" s="29"/>
      <c r="BZJ78" s="29"/>
      <c r="BZK78" s="75"/>
      <c r="BZL78" s="29"/>
      <c r="BZM78" s="29"/>
      <c r="BZN78" s="29"/>
      <c r="BZO78" s="29"/>
      <c r="BZP78" s="29"/>
      <c r="BZQ78" s="30"/>
      <c r="BZR78" s="28"/>
      <c r="BZS78" s="67"/>
      <c r="BZT78" s="67"/>
      <c r="BZU78" s="67"/>
      <c r="BZV78" s="29"/>
      <c r="BZW78" s="133"/>
      <c r="BZX78" s="29"/>
      <c r="BZY78" s="29"/>
      <c r="BZZ78" s="29"/>
      <c r="CAA78" s="29"/>
      <c r="CAB78" s="29"/>
      <c r="CAC78" s="138"/>
      <c r="CAD78" s="29"/>
      <c r="CAE78" s="29"/>
      <c r="CAF78" s="29"/>
      <c r="CAG78" s="29"/>
      <c r="CAH78" s="29"/>
      <c r="CAI78" s="75"/>
      <c r="CAJ78" s="29"/>
      <c r="CAK78" s="29"/>
      <c r="CAL78" s="29"/>
      <c r="CAM78" s="29"/>
      <c r="CAN78" s="29"/>
      <c r="CAO78" s="138"/>
      <c r="CAP78" s="29"/>
      <c r="CAQ78" s="29"/>
      <c r="CAR78" s="29"/>
      <c r="CAS78" s="29"/>
      <c r="CAT78" s="29"/>
      <c r="CAU78" s="75"/>
      <c r="CAV78" s="67"/>
      <c r="CAW78" s="67"/>
      <c r="CAX78" s="67"/>
      <c r="CAY78" s="67"/>
      <c r="CAZ78" s="29"/>
      <c r="CBA78" s="138"/>
      <c r="CBB78" s="29"/>
      <c r="CBC78" s="29"/>
      <c r="CBD78" s="29"/>
      <c r="CBE78" s="29"/>
      <c r="CBF78" s="29"/>
      <c r="CBG78" s="75"/>
      <c r="CBH78" s="29"/>
      <c r="CBI78" s="29"/>
      <c r="CBJ78" s="29"/>
      <c r="CBK78" s="29"/>
      <c r="CBL78" s="29"/>
      <c r="CBM78" s="138"/>
      <c r="CBN78" s="29"/>
      <c r="CBO78" s="29"/>
      <c r="CBP78" s="29"/>
      <c r="CBQ78" s="29"/>
      <c r="CBR78" s="29"/>
      <c r="CBS78" s="75"/>
      <c r="CBT78" s="29"/>
      <c r="CBU78" s="29"/>
      <c r="CBV78" s="29"/>
      <c r="CBW78" s="29"/>
      <c r="CBX78" s="29"/>
      <c r="CBY78" s="30"/>
      <c r="CBZ78" s="90"/>
    </row>
    <row r="79" spans="1:2106" ht="20.100000000000001" customHeight="1" x14ac:dyDescent="0.25">
      <c r="A79" s="100" t="s">
        <v>22</v>
      </c>
      <c r="B79" s="63"/>
      <c r="C79" s="170"/>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32"/>
      <c r="BLW79" s="64"/>
      <c r="BLX79" s="64"/>
      <c r="BLY79" s="64"/>
      <c r="BLZ79" s="33"/>
      <c r="BMA79" s="132"/>
      <c r="BMB79" s="33"/>
      <c r="BMC79" s="33"/>
      <c r="BMD79" s="33"/>
      <c r="BME79" s="33"/>
      <c r="BMF79" s="33"/>
      <c r="BMG79" s="137"/>
      <c r="BMH79" s="33"/>
      <c r="BMI79" s="33"/>
      <c r="BMJ79" s="33"/>
      <c r="BMK79" s="33"/>
      <c r="BML79" s="33"/>
      <c r="BMM79" s="74"/>
      <c r="BMN79" s="33"/>
      <c r="BMO79" s="33"/>
      <c r="BMP79" s="33"/>
      <c r="BMQ79" s="33"/>
      <c r="BMR79" s="33"/>
      <c r="BMS79" s="137"/>
      <c r="BMT79" s="33"/>
      <c r="BMU79" s="33"/>
      <c r="BMV79" s="33"/>
      <c r="BMW79" s="33"/>
      <c r="BMX79" s="33"/>
      <c r="BMY79" s="74"/>
      <c r="BMZ79" s="64"/>
      <c r="BNA79" s="64"/>
      <c r="BNB79" s="64"/>
      <c r="BNC79" s="64"/>
      <c r="BND79" s="33"/>
      <c r="BNE79" s="137"/>
      <c r="BNF79" s="33"/>
      <c r="BNG79" s="33"/>
      <c r="BNH79" s="33"/>
      <c r="BNI79" s="33"/>
      <c r="BNJ79" s="33"/>
      <c r="BNK79" s="74"/>
      <c r="BNL79" s="33"/>
      <c r="BNM79" s="33"/>
      <c r="BNN79" s="33"/>
      <c r="BNO79" s="33"/>
      <c r="BNP79" s="33"/>
      <c r="BNQ79" s="137"/>
      <c r="BNR79" s="33"/>
      <c r="BNS79" s="33"/>
      <c r="BNT79" s="33"/>
      <c r="BNU79" s="33"/>
      <c r="BNV79" s="33"/>
      <c r="BNW79" s="74"/>
      <c r="BNX79" s="33"/>
      <c r="BNY79" s="33"/>
      <c r="BNZ79" s="33"/>
      <c r="BOA79" s="33"/>
      <c r="BOB79" s="33"/>
      <c r="BOC79" s="34"/>
      <c r="BOD79" s="32"/>
      <c r="BOE79" s="64"/>
      <c r="BOF79" s="64"/>
      <c r="BOG79" s="64"/>
      <c r="BOH79" s="33"/>
      <c r="BOI79" s="132"/>
      <c r="BOJ79" s="33"/>
      <c r="BOK79" s="33"/>
      <c r="BOL79" s="33"/>
      <c r="BOM79" s="33"/>
      <c r="BON79" s="33"/>
      <c r="BOO79" s="137"/>
      <c r="BOP79" s="33"/>
      <c r="BOQ79" s="33"/>
      <c r="BOR79" s="33"/>
      <c r="BOS79" s="33"/>
      <c r="BOT79" s="33"/>
      <c r="BOU79" s="74"/>
      <c r="BOV79" s="33"/>
      <c r="BOW79" s="33"/>
      <c r="BOX79" s="33"/>
      <c r="BOY79" s="33"/>
      <c r="BOZ79" s="33"/>
      <c r="BPA79" s="137"/>
      <c r="BPB79" s="33"/>
      <c r="BPC79" s="33"/>
      <c r="BPD79" s="33"/>
      <c r="BPE79" s="33"/>
      <c r="BPF79" s="33"/>
      <c r="BPG79" s="74"/>
      <c r="BPH79" s="64"/>
      <c r="BPI79" s="64"/>
      <c r="BPJ79" s="64"/>
      <c r="BPK79" s="64"/>
      <c r="BPL79" s="33"/>
      <c r="BPM79" s="137"/>
      <c r="BPN79" s="33"/>
      <c r="BPO79" s="33"/>
      <c r="BPP79" s="33"/>
      <c r="BPQ79" s="33"/>
      <c r="BPR79" s="33"/>
      <c r="BPS79" s="74"/>
      <c r="BPT79" s="33"/>
      <c r="BPU79" s="33"/>
      <c r="BPV79" s="33"/>
      <c r="BPW79" s="33"/>
      <c r="BPX79" s="33"/>
      <c r="BPY79" s="137"/>
      <c r="BPZ79" s="33"/>
      <c r="BQA79" s="33"/>
      <c r="BQB79" s="33"/>
      <c r="BQC79" s="33"/>
      <c r="BQD79" s="33"/>
      <c r="BQE79" s="74"/>
      <c r="BQF79" s="33"/>
      <c r="BQG79" s="33"/>
      <c r="BQH79" s="33"/>
      <c r="BQI79" s="33"/>
      <c r="BQJ79" s="33"/>
      <c r="BQK79" s="34"/>
      <c r="BQL79" s="32"/>
      <c r="BQM79" s="64"/>
      <c r="BQN79" s="64"/>
      <c r="BQO79" s="64"/>
      <c r="BQP79" s="33"/>
      <c r="BQQ79" s="132"/>
      <c r="BQR79" s="33"/>
      <c r="BQS79" s="33"/>
      <c r="BQT79" s="33"/>
      <c r="BQU79" s="33"/>
      <c r="BQV79" s="33"/>
      <c r="BQW79" s="137"/>
      <c r="BQX79" s="33"/>
      <c r="BQY79" s="33"/>
      <c r="BQZ79" s="33"/>
      <c r="BRA79" s="33"/>
      <c r="BRB79" s="33"/>
      <c r="BRC79" s="74"/>
      <c r="BRD79" s="33"/>
      <c r="BRE79" s="33"/>
      <c r="BRF79" s="33"/>
      <c r="BRG79" s="33"/>
      <c r="BRH79" s="33"/>
      <c r="BRI79" s="137"/>
      <c r="BRJ79" s="33"/>
      <c r="BRK79" s="33"/>
      <c r="BRL79" s="33"/>
      <c r="BRM79" s="33"/>
      <c r="BRN79" s="33"/>
      <c r="BRO79" s="74"/>
      <c r="BRP79" s="64"/>
      <c r="BRQ79" s="64"/>
      <c r="BRR79" s="64"/>
      <c r="BRS79" s="64"/>
      <c r="BRT79" s="33"/>
      <c r="BRU79" s="137"/>
      <c r="BRV79" s="33"/>
      <c r="BRW79" s="33"/>
      <c r="BRX79" s="33"/>
      <c r="BRY79" s="33"/>
      <c r="BRZ79" s="33"/>
      <c r="BSA79" s="74"/>
      <c r="BSB79" s="33"/>
      <c r="BSC79" s="33"/>
      <c r="BSD79" s="33"/>
      <c r="BSE79" s="33"/>
      <c r="BSF79" s="33"/>
      <c r="BSG79" s="137"/>
      <c r="BSH79" s="33"/>
      <c r="BSI79" s="33"/>
      <c r="BSJ79" s="33"/>
      <c r="BSK79" s="33"/>
      <c r="BSL79" s="33"/>
      <c r="BSM79" s="74"/>
      <c r="BSN79" s="33"/>
      <c r="BSO79" s="33"/>
      <c r="BSP79" s="33"/>
      <c r="BSQ79" s="33"/>
      <c r="BSR79" s="33"/>
      <c r="BSS79" s="34"/>
      <c r="BST79" s="32"/>
      <c r="BSU79" s="64"/>
      <c r="BSV79" s="64"/>
      <c r="BSW79" s="64"/>
      <c r="BSX79" s="33"/>
      <c r="BSY79" s="132"/>
      <c r="BSZ79" s="33"/>
      <c r="BTA79" s="33"/>
      <c r="BTB79" s="33"/>
      <c r="BTC79" s="33"/>
      <c r="BTD79" s="33"/>
      <c r="BTE79" s="137"/>
      <c r="BTF79" s="33"/>
      <c r="BTG79" s="33"/>
      <c r="BTH79" s="33"/>
      <c r="BTI79" s="33"/>
      <c r="BTJ79" s="33"/>
      <c r="BTK79" s="74"/>
      <c r="BTL79" s="33"/>
      <c r="BTM79" s="33"/>
      <c r="BTN79" s="33"/>
      <c r="BTO79" s="33"/>
      <c r="BTP79" s="33"/>
      <c r="BTQ79" s="137"/>
      <c r="BTR79" s="33"/>
      <c r="BTS79" s="33"/>
      <c r="BTT79" s="33"/>
      <c r="BTU79" s="33"/>
      <c r="BTV79" s="33"/>
      <c r="BTW79" s="74"/>
      <c r="BTX79" s="64"/>
      <c r="BTY79" s="64"/>
      <c r="BTZ79" s="64"/>
      <c r="BUA79" s="64"/>
      <c r="BUB79" s="33"/>
      <c r="BUC79" s="137"/>
      <c r="BUD79" s="33"/>
      <c r="BUE79" s="33"/>
      <c r="BUF79" s="33"/>
      <c r="BUG79" s="33"/>
      <c r="BUH79" s="33"/>
      <c r="BUI79" s="74"/>
      <c r="BUJ79" s="33"/>
      <c r="BUK79" s="33"/>
      <c r="BUL79" s="33"/>
      <c r="BUM79" s="33"/>
      <c r="BUN79" s="33"/>
      <c r="BUO79" s="137"/>
      <c r="BUP79" s="33"/>
      <c r="BUQ79" s="33"/>
      <c r="BUR79" s="33"/>
      <c r="BUS79" s="33"/>
      <c r="BUT79" s="33"/>
      <c r="BUU79" s="74"/>
      <c r="BUV79" s="33"/>
      <c r="BUW79" s="33"/>
      <c r="BUX79" s="33"/>
      <c r="BUY79" s="33"/>
      <c r="BUZ79" s="33"/>
      <c r="BVA79" s="34"/>
      <c r="BVB79" s="32"/>
      <c r="BVC79" s="64"/>
      <c r="BVD79" s="64"/>
      <c r="BVE79" s="64"/>
      <c r="BVF79" s="33"/>
      <c r="BVG79" s="132"/>
      <c r="BVH79" s="33"/>
      <c r="BVI79" s="33"/>
      <c r="BVJ79" s="33"/>
      <c r="BVK79" s="33"/>
      <c r="BVL79" s="33"/>
      <c r="BVM79" s="137"/>
      <c r="BVN79" s="33"/>
      <c r="BVO79" s="33"/>
      <c r="BVP79" s="33"/>
      <c r="BVQ79" s="33"/>
      <c r="BVR79" s="33"/>
      <c r="BVS79" s="74"/>
      <c r="BVT79" s="33"/>
      <c r="BVU79" s="33"/>
      <c r="BVV79" s="33"/>
      <c r="BVW79" s="33"/>
      <c r="BVX79" s="33"/>
      <c r="BVY79" s="137"/>
      <c r="BVZ79" s="33"/>
      <c r="BWA79" s="33"/>
      <c r="BWB79" s="33"/>
      <c r="BWC79" s="33"/>
      <c r="BWD79" s="33"/>
      <c r="BWE79" s="74"/>
      <c r="BWF79" s="64"/>
      <c r="BWG79" s="64"/>
      <c r="BWH79" s="64"/>
      <c r="BWI79" s="64"/>
      <c r="BWJ79" s="33"/>
      <c r="BWK79" s="137"/>
      <c r="BWL79" s="33"/>
      <c r="BWM79" s="33"/>
      <c r="BWN79" s="33"/>
      <c r="BWO79" s="33"/>
      <c r="BWP79" s="33"/>
      <c r="BWQ79" s="74"/>
      <c r="BWR79" s="33"/>
      <c r="BWS79" s="33"/>
      <c r="BWT79" s="33"/>
      <c r="BWU79" s="33"/>
      <c r="BWV79" s="33"/>
      <c r="BWW79" s="137"/>
      <c r="BWX79" s="33"/>
      <c r="BWY79" s="33"/>
      <c r="BWZ79" s="33"/>
      <c r="BXA79" s="33"/>
      <c r="BXB79" s="33"/>
      <c r="BXC79" s="74"/>
      <c r="BXD79" s="33"/>
      <c r="BXE79" s="33"/>
      <c r="BXF79" s="33"/>
      <c r="BXG79" s="33"/>
      <c r="BXH79" s="33"/>
      <c r="BXI79" s="34"/>
      <c r="BXJ79" s="32"/>
      <c r="BXK79" s="64"/>
      <c r="BXL79" s="64"/>
      <c r="BXM79" s="64"/>
      <c r="BXN79" s="33"/>
      <c r="BXO79" s="132"/>
      <c r="BXP79" s="33"/>
      <c r="BXQ79" s="33"/>
      <c r="BXR79" s="33"/>
      <c r="BXS79" s="33"/>
      <c r="BXT79" s="33"/>
      <c r="BXU79" s="137"/>
      <c r="BXV79" s="33"/>
      <c r="BXW79" s="33"/>
      <c r="BXX79" s="33"/>
      <c r="BXY79" s="33"/>
      <c r="BXZ79" s="33"/>
      <c r="BYA79" s="74"/>
      <c r="BYB79" s="33"/>
      <c r="BYC79" s="33"/>
      <c r="BYD79" s="33"/>
      <c r="BYE79" s="33"/>
      <c r="BYF79" s="33"/>
      <c r="BYG79" s="137"/>
      <c r="BYH79" s="33"/>
      <c r="BYI79" s="33"/>
      <c r="BYJ79" s="33"/>
      <c r="BYK79" s="33"/>
      <c r="BYL79" s="33"/>
      <c r="BYM79" s="74"/>
      <c r="BYN79" s="64"/>
      <c r="BYO79" s="64"/>
      <c r="BYP79" s="64"/>
      <c r="BYQ79" s="64"/>
      <c r="BYR79" s="33"/>
      <c r="BYS79" s="137"/>
      <c r="BYT79" s="33"/>
      <c r="BYU79" s="33"/>
      <c r="BYV79" s="33"/>
      <c r="BYW79" s="33"/>
      <c r="BYX79" s="33"/>
      <c r="BYY79" s="74"/>
      <c r="BYZ79" s="33"/>
      <c r="BZA79" s="33"/>
      <c r="BZB79" s="33"/>
      <c r="BZC79" s="33"/>
      <c r="BZD79" s="33"/>
      <c r="BZE79" s="137"/>
      <c r="BZF79" s="33"/>
      <c r="BZG79" s="33"/>
      <c r="BZH79" s="33"/>
      <c r="BZI79" s="33"/>
      <c r="BZJ79" s="33"/>
      <c r="BZK79" s="74"/>
      <c r="BZL79" s="33"/>
      <c r="BZM79" s="33"/>
      <c r="BZN79" s="33"/>
      <c r="BZO79" s="33"/>
      <c r="BZP79" s="33"/>
      <c r="BZQ79" s="34"/>
      <c r="BZR79" s="32"/>
      <c r="BZS79" s="64"/>
      <c r="BZT79" s="64"/>
      <c r="BZU79" s="64"/>
      <c r="BZV79" s="33"/>
      <c r="BZW79" s="132"/>
      <c r="BZX79" s="33"/>
      <c r="BZY79" s="33"/>
      <c r="BZZ79" s="33"/>
      <c r="CAA79" s="33"/>
      <c r="CAB79" s="33"/>
      <c r="CAC79" s="137"/>
      <c r="CAD79" s="33"/>
      <c r="CAE79" s="33"/>
      <c r="CAF79" s="33"/>
      <c r="CAG79" s="33"/>
      <c r="CAH79" s="33"/>
      <c r="CAI79" s="74"/>
      <c r="CAJ79" s="33"/>
      <c r="CAK79" s="33"/>
      <c r="CAL79" s="33"/>
      <c r="CAM79" s="33"/>
      <c r="CAN79" s="33"/>
      <c r="CAO79" s="137"/>
      <c r="CAP79" s="33"/>
      <c r="CAQ79" s="33"/>
      <c r="CAR79" s="33"/>
      <c r="CAS79" s="33"/>
      <c r="CAT79" s="33"/>
      <c r="CAU79" s="74"/>
      <c r="CAV79" s="64"/>
      <c r="CAW79" s="64"/>
      <c r="CAX79" s="64"/>
      <c r="CAY79" s="64"/>
      <c r="CAZ79" s="33"/>
      <c r="CBA79" s="137"/>
      <c r="CBB79" s="33"/>
      <c r="CBC79" s="33"/>
      <c r="CBD79" s="33"/>
      <c r="CBE79" s="33"/>
      <c r="CBF79" s="33"/>
      <c r="CBG79" s="74"/>
      <c r="CBH79" s="33"/>
      <c r="CBI79" s="33"/>
      <c r="CBJ79" s="33"/>
      <c r="CBK79" s="33"/>
      <c r="CBL79" s="33"/>
      <c r="CBM79" s="137"/>
      <c r="CBN79" s="33"/>
      <c r="CBO79" s="33"/>
      <c r="CBP79" s="33"/>
      <c r="CBQ79" s="33"/>
      <c r="CBR79" s="33"/>
      <c r="CBS79" s="74"/>
      <c r="CBT79" s="33"/>
      <c r="CBU79" s="33"/>
      <c r="CBV79" s="33"/>
      <c r="CBW79" s="33"/>
      <c r="CBX79" s="33"/>
      <c r="CBY79" s="34"/>
      <c r="CBZ79" s="90"/>
    </row>
    <row r="80" spans="1:2106" ht="20.100000000000001" customHeight="1" x14ac:dyDescent="0.3">
      <c r="A80" s="100" t="s">
        <v>23</v>
      </c>
      <c r="B80" s="63"/>
      <c r="C80" s="171"/>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36"/>
      <c r="BLW80" s="65"/>
      <c r="BLX80" s="65"/>
      <c r="BLY80" s="65"/>
      <c r="BLZ80" s="37"/>
      <c r="BMA80" s="133"/>
      <c r="BMB80" s="37"/>
      <c r="BMC80" s="37"/>
      <c r="BMD80" s="37"/>
      <c r="BME80" s="37"/>
      <c r="BMF80" s="37"/>
      <c r="BMG80" s="138"/>
      <c r="BMH80" s="37"/>
      <c r="BMI80" s="37"/>
      <c r="BMJ80" s="37"/>
      <c r="BMK80" s="37"/>
      <c r="BML80" s="37"/>
      <c r="BMM80" s="75"/>
      <c r="BMN80" s="37"/>
      <c r="BMO80" s="37"/>
      <c r="BMP80" s="37"/>
      <c r="BMQ80" s="37"/>
      <c r="BMR80" s="37"/>
      <c r="BMS80" s="138"/>
      <c r="BMT80" s="37"/>
      <c r="BMU80" s="37"/>
      <c r="BMV80" s="37"/>
      <c r="BMW80" s="37"/>
      <c r="BMX80" s="37"/>
      <c r="BMY80" s="75"/>
      <c r="BMZ80" s="65"/>
      <c r="BNA80" s="65"/>
      <c r="BNB80" s="65"/>
      <c r="BNC80" s="65"/>
      <c r="BND80" s="37"/>
      <c r="BNE80" s="138"/>
      <c r="BNF80" s="37"/>
      <c r="BNG80" s="37"/>
      <c r="BNH80" s="37"/>
      <c r="BNI80" s="37"/>
      <c r="BNJ80" s="37"/>
      <c r="BNK80" s="75"/>
      <c r="BNL80" s="37"/>
      <c r="BNM80" s="37"/>
      <c r="BNN80" s="37"/>
      <c r="BNO80" s="37"/>
      <c r="BNP80" s="37"/>
      <c r="BNQ80" s="138"/>
      <c r="BNR80" s="37"/>
      <c r="BNS80" s="37"/>
      <c r="BNT80" s="37"/>
      <c r="BNU80" s="37"/>
      <c r="BNV80" s="37"/>
      <c r="BNW80" s="75"/>
      <c r="BNX80" s="37"/>
      <c r="BNY80" s="37"/>
      <c r="BNZ80" s="37"/>
      <c r="BOA80" s="37"/>
      <c r="BOB80" s="37"/>
      <c r="BOC80" s="38"/>
      <c r="BOD80" s="36"/>
      <c r="BOE80" s="65"/>
      <c r="BOF80" s="65"/>
      <c r="BOG80" s="65"/>
      <c r="BOH80" s="37"/>
      <c r="BOI80" s="133"/>
      <c r="BOJ80" s="37"/>
      <c r="BOK80" s="37"/>
      <c r="BOL80" s="37"/>
      <c r="BOM80" s="37"/>
      <c r="BON80" s="37"/>
      <c r="BOO80" s="138"/>
      <c r="BOP80" s="37"/>
      <c r="BOQ80" s="37"/>
      <c r="BOR80" s="37"/>
      <c r="BOS80" s="37"/>
      <c r="BOT80" s="37"/>
      <c r="BOU80" s="75"/>
      <c r="BOV80" s="37"/>
      <c r="BOW80" s="37"/>
      <c r="BOX80" s="37"/>
      <c r="BOY80" s="37"/>
      <c r="BOZ80" s="37"/>
      <c r="BPA80" s="138"/>
      <c r="BPB80" s="37"/>
      <c r="BPC80" s="37"/>
      <c r="BPD80" s="37"/>
      <c r="BPE80" s="37"/>
      <c r="BPF80" s="37"/>
      <c r="BPG80" s="75"/>
      <c r="BPH80" s="65"/>
      <c r="BPI80" s="65"/>
      <c r="BPJ80" s="65"/>
      <c r="BPK80" s="65"/>
      <c r="BPL80" s="37"/>
      <c r="BPM80" s="138"/>
      <c r="BPN80" s="37"/>
      <c r="BPO80" s="37"/>
      <c r="BPP80" s="37"/>
      <c r="BPQ80" s="37"/>
      <c r="BPR80" s="37"/>
      <c r="BPS80" s="75"/>
      <c r="BPT80" s="37"/>
      <c r="BPU80" s="37"/>
      <c r="BPV80" s="37"/>
      <c r="BPW80" s="37"/>
      <c r="BPX80" s="37"/>
      <c r="BPY80" s="138"/>
      <c r="BPZ80" s="37"/>
      <c r="BQA80" s="37"/>
      <c r="BQB80" s="37"/>
      <c r="BQC80" s="37"/>
      <c r="BQD80" s="37"/>
      <c r="BQE80" s="75"/>
      <c r="BQF80" s="37"/>
      <c r="BQG80" s="37"/>
      <c r="BQH80" s="37"/>
      <c r="BQI80" s="37"/>
      <c r="BQJ80" s="37"/>
      <c r="BQK80" s="38"/>
      <c r="BQL80" s="36"/>
      <c r="BQM80" s="65"/>
      <c r="BQN80" s="65"/>
      <c r="BQO80" s="65"/>
      <c r="BQP80" s="37"/>
      <c r="BQQ80" s="133"/>
      <c r="BQR80" s="37"/>
      <c r="BQS80" s="37"/>
      <c r="BQT80" s="37"/>
      <c r="BQU80" s="37"/>
      <c r="BQV80" s="37"/>
      <c r="BQW80" s="138"/>
      <c r="BQX80" s="37"/>
      <c r="BQY80" s="37"/>
      <c r="BQZ80" s="37"/>
      <c r="BRA80" s="37"/>
      <c r="BRB80" s="37"/>
      <c r="BRC80" s="75"/>
      <c r="BRD80" s="37"/>
      <c r="BRE80" s="37"/>
      <c r="BRF80" s="37"/>
      <c r="BRG80" s="37"/>
      <c r="BRH80" s="37"/>
      <c r="BRI80" s="138"/>
      <c r="BRJ80" s="37"/>
      <c r="BRK80" s="37"/>
      <c r="BRL80" s="37"/>
      <c r="BRM80" s="37"/>
      <c r="BRN80" s="37"/>
      <c r="BRO80" s="75"/>
      <c r="BRP80" s="65"/>
      <c r="BRQ80" s="65"/>
      <c r="BRR80" s="65"/>
      <c r="BRS80" s="65"/>
      <c r="BRT80" s="37"/>
      <c r="BRU80" s="138"/>
      <c r="BRV80" s="37"/>
      <c r="BRW80" s="37"/>
      <c r="BRX80" s="37"/>
      <c r="BRY80" s="37"/>
      <c r="BRZ80" s="37"/>
      <c r="BSA80" s="75"/>
      <c r="BSB80" s="37"/>
      <c r="BSC80" s="37"/>
      <c r="BSD80" s="37"/>
      <c r="BSE80" s="37"/>
      <c r="BSF80" s="37"/>
      <c r="BSG80" s="138"/>
      <c r="BSH80" s="37"/>
      <c r="BSI80" s="37"/>
      <c r="BSJ80" s="37"/>
      <c r="BSK80" s="37"/>
      <c r="BSL80" s="37"/>
      <c r="BSM80" s="75"/>
      <c r="BSN80" s="37"/>
      <c r="BSO80" s="37"/>
      <c r="BSP80" s="37"/>
      <c r="BSQ80" s="37"/>
      <c r="BSR80" s="37"/>
      <c r="BSS80" s="38"/>
      <c r="BST80" s="36"/>
      <c r="BSU80" s="65"/>
      <c r="BSV80" s="65"/>
      <c r="BSW80" s="65"/>
      <c r="BSX80" s="37"/>
      <c r="BSY80" s="133"/>
      <c r="BSZ80" s="37"/>
      <c r="BTA80" s="37"/>
      <c r="BTB80" s="37"/>
      <c r="BTC80" s="37"/>
      <c r="BTD80" s="37"/>
      <c r="BTE80" s="138"/>
      <c r="BTF80" s="37"/>
      <c r="BTG80" s="37"/>
      <c r="BTH80" s="37"/>
      <c r="BTI80" s="37"/>
      <c r="BTJ80" s="37"/>
      <c r="BTK80" s="75"/>
      <c r="BTL80" s="37"/>
      <c r="BTM80" s="37"/>
      <c r="BTN80" s="37"/>
      <c r="BTO80" s="37"/>
      <c r="BTP80" s="37"/>
      <c r="BTQ80" s="138"/>
      <c r="BTR80" s="37"/>
      <c r="BTS80" s="37"/>
      <c r="BTT80" s="37"/>
      <c r="BTU80" s="37"/>
      <c r="BTV80" s="37"/>
      <c r="BTW80" s="75"/>
      <c r="BTX80" s="65"/>
      <c r="BTY80" s="65"/>
      <c r="BTZ80" s="65"/>
      <c r="BUA80" s="65"/>
      <c r="BUB80" s="37"/>
      <c r="BUC80" s="138"/>
      <c r="BUD80" s="37"/>
      <c r="BUE80" s="37"/>
      <c r="BUF80" s="37"/>
      <c r="BUG80" s="37"/>
      <c r="BUH80" s="37"/>
      <c r="BUI80" s="75"/>
      <c r="BUJ80" s="37"/>
      <c r="BUK80" s="37"/>
      <c r="BUL80" s="37"/>
      <c r="BUM80" s="37"/>
      <c r="BUN80" s="37"/>
      <c r="BUO80" s="138"/>
      <c r="BUP80" s="37"/>
      <c r="BUQ80" s="37"/>
      <c r="BUR80" s="37"/>
      <c r="BUS80" s="37"/>
      <c r="BUT80" s="37"/>
      <c r="BUU80" s="75"/>
      <c r="BUV80" s="37"/>
      <c r="BUW80" s="37"/>
      <c r="BUX80" s="37"/>
      <c r="BUY80" s="37"/>
      <c r="BUZ80" s="37"/>
      <c r="BVA80" s="38"/>
      <c r="BVB80" s="36"/>
      <c r="BVC80" s="65"/>
      <c r="BVD80" s="65"/>
      <c r="BVE80" s="65"/>
      <c r="BVF80" s="37"/>
      <c r="BVG80" s="133"/>
      <c r="BVH80" s="37"/>
      <c r="BVI80" s="37"/>
      <c r="BVJ80" s="37"/>
      <c r="BVK80" s="37"/>
      <c r="BVL80" s="37"/>
      <c r="BVM80" s="138"/>
      <c r="BVN80" s="37"/>
      <c r="BVO80" s="37"/>
      <c r="BVP80" s="37"/>
      <c r="BVQ80" s="37"/>
      <c r="BVR80" s="37"/>
      <c r="BVS80" s="75"/>
      <c r="BVT80" s="37"/>
      <c r="BVU80" s="37"/>
      <c r="BVV80" s="37"/>
      <c r="BVW80" s="37"/>
      <c r="BVX80" s="37"/>
      <c r="BVY80" s="138"/>
      <c r="BVZ80" s="37"/>
      <c r="BWA80" s="37"/>
      <c r="BWB80" s="37"/>
      <c r="BWC80" s="37"/>
      <c r="BWD80" s="37"/>
      <c r="BWE80" s="75"/>
      <c r="BWF80" s="65"/>
      <c r="BWG80" s="65"/>
      <c r="BWH80" s="65"/>
      <c r="BWI80" s="65"/>
      <c r="BWJ80" s="37"/>
      <c r="BWK80" s="138"/>
      <c r="BWL80" s="37"/>
      <c r="BWM80" s="37"/>
      <c r="BWN80" s="37"/>
      <c r="BWO80" s="37"/>
      <c r="BWP80" s="37"/>
      <c r="BWQ80" s="75"/>
      <c r="BWR80" s="37"/>
      <c r="BWS80" s="37"/>
      <c r="BWT80" s="37"/>
      <c r="BWU80" s="37"/>
      <c r="BWV80" s="37"/>
      <c r="BWW80" s="138"/>
      <c r="BWX80" s="37"/>
      <c r="BWY80" s="37"/>
      <c r="BWZ80" s="37"/>
      <c r="BXA80" s="37"/>
      <c r="BXB80" s="37"/>
      <c r="BXC80" s="75"/>
      <c r="BXD80" s="37"/>
      <c r="BXE80" s="37"/>
      <c r="BXF80" s="37"/>
      <c r="BXG80" s="37"/>
      <c r="BXH80" s="37"/>
      <c r="BXI80" s="38"/>
      <c r="BXJ80" s="36"/>
      <c r="BXK80" s="65"/>
      <c r="BXL80" s="65"/>
      <c r="BXM80" s="65"/>
      <c r="BXN80" s="37"/>
      <c r="BXO80" s="133"/>
      <c r="BXP80" s="37"/>
      <c r="BXQ80" s="37"/>
      <c r="BXR80" s="37"/>
      <c r="BXS80" s="37"/>
      <c r="BXT80" s="37"/>
      <c r="BXU80" s="138"/>
      <c r="BXV80" s="37"/>
      <c r="BXW80" s="37"/>
      <c r="BXX80" s="37"/>
      <c r="BXY80" s="37"/>
      <c r="BXZ80" s="37"/>
      <c r="BYA80" s="75"/>
      <c r="BYB80" s="37"/>
      <c r="BYC80" s="37"/>
      <c r="BYD80" s="37"/>
      <c r="BYE80" s="37"/>
      <c r="BYF80" s="37"/>
      <c r="BYG80" s="138"/>
      <c r="BYH80" s="37"/>
      <c r="BYI80" s="37"/>
      <c r="BYJ80" s="37"/>
      <c r="BYK80" s="37"/>
      <c r="BYL80" s="37"/>
      <c r="BYM80" s="75"/>
      <c r="BYN80" s="65"/>
      <c r="BYO80" s="65"/>
      <c r="BYP80" s="65"/>
      <c r="BYQ80" s="65"/>
      <c r="BYR80" s="37"/>
      <c r="BYS80" s="138"/>
      <c r="BYT80" s="37"/>
      <c r="BYU80" s="37"/>
      <c r="BYV80" s="37"/>
      <c r="BYW80" s="37"/>
      <c r="BYX80" s="37"/>
      <c r="BYY80" s="75"/>
      <c r="BYZ80" s="37"/>
      <c r="BZA80" s="37"/>
      <c r="BZB80" s="37"/>
      <c r="BZC80" s="37"/>
      <c r="BZD80" s="37"/>
      <c r="BZE80" s="138"/>
      <c r="BZF80" s="37"/>
      <c r="BZG80" s="37"/>
      <c r="BZH80" s="37"/>
      <c r="BZI80" s="37"/>
      <c r="BZJ80" s="37"/>
      <c r="BZK80" s="75"/>
      <c r="BZL80" s="37"/>
      <c r="BZM80" s="37"/>
      <c r="BZN80" s="37"/>
      <c r="BZO80" s="37"/>
      <c r="BZP80" s="37"/>
      <c r="BZQ80" s="38"/>
      <c r="BZR80" s="36"/>
      <c r="BZS80" s="65"/>
      <c r="BZT80" s="65"/>
      <c r="BZU80" s="65"/>
      <c r="BZV80" s="37"/>
      <c r="BZW80" s="133"/>
      <c r="BZX80" s="37"/>
      <c r="BZY80" s="37"/>
      <c r="BZZ80" s="37"/>
      <c r="CAA80" s="37"/>
      <c r="CAB80" s="37"/>
      <c r="CAC80" s="138"/>
      <c r="CAD80" s="37"/>
      <c r="CAE80" s="37"/>
      <c r="CAF80" s="37"/>
      <c r="CAG80" s="37"/>
      <c r="CAH80" s="37"/>
      <c r="CAI80" s="75"/>
      <c r="CAJ80" s="37"/>
      <c r="CAK80" s="37"/>
      <c r="CAL80" s="37"/>
      <c r="CAM80" s="37"/>
      <c r="CAN80" s="37"/>
      <c r="CAO80" s="138"/>
      <c r="CAP80" s="37"/>
      <c r="CAQ80" s="37"/>
      <c r="CAR80" s="37"/>
      <c r="CAS80" s="37"/>
      <c r="CAT80" s="37"/>
      <c r="CAU80" s="75"/>
      <c r="CAV80" s="65"/>
      <c r="CAW80" s="65"/>
      <c r="CAX80" s="65"/>
      <c r="CAY80" s="65"/>
      <c r="CAZ80" s="37"/>
      <c r="CBA80" s="138"/>
      <c r="CBB80" s="37"/>
      <c r="CBC80" s="37"/>
      <c r="CBD80" s="37"/>
      <c r="CBE80" s="37"/>
      <c r="CBF80" s="37"/>
      <c r="CBG80" s="75"/>
      <c r="CBH80" s="37"/>
      <c r="CBI80" s="37"/>
      <c r="CBJ80" s="37"/>
      <c r="CBK80" s="37"/>
      <c r="CBL80" s="37"/>
      <c r="CBM80" s="138"/>
      <c r="CBN80" s="37"/>
      <c r="CBO80" s="37"/>
      <c r="CBP80" s="37"/>
      <c r="CBQ80" s="37"/>
      <c r="CBR80" s="37"/>
      <c r="CBS80" s="75"/>
      <c r="CBT80" s="37"/>
      <c r="CBU80" s="37"/>
      <c r="CBV80" s="37"/>
      <c r="CBW80" s="37"/>
      <c r="CBX80" s="37"/>
      <c r="CBY80" s="38"/>
      <c r="CBZ80" s="90"/>
    </row>
    <row r="81" spans="1:2106" ht="20.100000000000001" customHeight="1" x14ac:dyDescent="0.25">
      <c r="A81" s="100" t="s">
        <v>22</v>
      </c>
      <c r="B81" s="63"/>
      <c r="C81" s="170"/>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40"/>
      <c r="BLW81" s="66"/>
      <c r="BLX81" s="66"/>
      <c r="BLY81" s="66"/>
      <c r="BLZ81" s="41"/>
      <c r="BMA81" s="134"/>
      <c r="BMB81" s="41"/>
      <c r="BMC81" s="41"/>
      <c r="BMD81" s="41"/>
      <c r="BME81" s="41"/>
      <c r="BMF81" s="41"/>
      <c r="BMG81" s="139"/>
      <c r="BMH81" s="41"/>
      <c r="BMI81" s="41"/>
      <c r="BMJ81" s="41"/>
      <c r="BMK81" s="41"/>
      <c r="BML81" s="41"/>
      <c r="BMM81" s="76"/>
      <c r="BMN81" s="41"/>
      <c r="BMO81" s="41"/>
      <c r="BMP81" s="41"/>
      <c r="BMQ81" s="41"/>
      <c r="BMR81" s="41"/>
      <c r="BMS81" s="139"/>
      <c r="BMT81" s="41"/>
      <c r="BMU81" s="41"/>
      <c r="BMV81" s="41"/>
      <c r="BMW81" s="41"/>
      <c r="BMX81" s="41"/>
      <c r="BMY81" s="76"/>
      <c r="BMZ81" s="66"/>
      <c r="BNA81" s="66"/>
      <c r="BNB81" s="66"/>
      <c r="BNC81" s="66"/>
      <c r="BND81" s="41"/>
      <c r="BNE81" s="139"/>
      <c r="BNF81" s="41"/>
      <c r="BNG81" s="41"/>
      <c r="BNH81" s="41"/>
      <c r="BNI81" s="41"/>
      <c r="BNJ81" s="41"/>
      <c r="BNK81" s="76"/>
      <c r="BNL81" s="41"/>
      <c r="BNM81" s="41"/>
      <c r="BNN81" s="41"/>
      <c r="BNO81" s="41"/>
      <c r="BNP81" s="41"/>
      <c r="BNQ81" s="139"/>
      <c r="BNR81" s="41"/>
      <c r="BNS81" s="41"/>
      <c r="BNT81" s="41"/>
      <c r="BNU81" s="41"/>
      <c r="BNV81" s="41"/>
      <c r="BNW81" s="76"/>
      <c r="BNX81" s="41"/>
      <c r="BNY81" s="41"/>
      <c r="BNZ81" s="41"/>
      <c r="BOA81" s="41"/>
      <c r="BOB81" s="41"/>
      <c r="BOC81" s="42"/>
      <c r="BOD81" s="40"/>
      <c r="BOE81" s="66"/>
      <c r="BOF81" s="66"/>
      <c r="BOG81" s="66"/>
      <c r="BOH81" s="41"/>
      <c r="BOI81" s="134"/>
      <c r="BOJ81" s="41"/>
      <c r="BOK81" s="41"/>
      <c r="BOL81" s="41"/>
      <c r="BOM81" s="41"/>
      <c r="BON81" s="41"/>
      <c r="BOO81" s="139"/>
      <c r="BOP81" s="41"/>
      <c r="BOQ81" s="41"/>
      <c r="BOR81" s="41"/>
      <c r="BOS81" s="41"/>
      <c r="BOT81" s="41"/>
      <c r="BOU81" s="76"/>
      <c r="BOV81" s="41"/>
      <c r="BOW81" s="41"/>
      <c r="BOX81" s="41"/>
      <c r="BOY81" s="41"/>
      <c r="BOZ81" s="41"/>
      <c r="BPA81" s="139"/>
      <c r="BPB81" s="41"/>
      <c r="BPC81" s="41"/>
      <c r="BPD81" s="41"/>
      <c r="BPE81" s="41"/>
      <c r="BPF81" s="41"/>
      <c r="BPG81" s="76"/>
      <c r="BPH81" s="66"/>
      <c r="BPI81" s="66"/>
      <c r="BPJ81" s="66"/>
      <c r="BPK81" s="66"/>
      <c r="BPL81" s="41"/>
      <c r="BPM81" s="139"/>
      <c r="BPN81" s="41"/>
      <c r="BPO81" s="41"/>
      <c r="BPP81" s="41"/>
      <c r="BPQ81" s="41"/>
      <c r="BPR81" s="41"/>
      <c r="BPS81" s="76"/>
      <c r="BPT81" s="41"/>
      <c r="BPU81" s="41"/>
      <c r="BPV81" s="41"/>
      <c r="BPW81" s="41"/>
      <c r="BPX81" s="41"/>
      <c r="BPY81" s="139"/>
      <c r="BPZ81" s="41"/>
      <c r="BQA81" s="41"/>
      <c r="BQB81" s="41"/>
      <c r="BQC81" s="41"/>
      <c r="BQD81" s="41"/>
      <c r="BQE81" s="76"/>
      <c r="BQF81" s="41"/>
      <c r="BQG81" s="41"/>
      <c r="BQH81" s="41"/>
      <c r="BQI81" s="41"/>
      <c r="BQJ81" s="41"/>
      <c r="BQK81" s="42"/>
      <c r="BQL81" s="40"/>
      <c r="BQM81" s="66"/>
      <c r="BQN81" s="66"/>
      <c r="BQO81" s="66"/>
      <c r="BQP81" s="41"/>
      <c r="BQQ81" s="134"/>
      <c r="BQR81" s="41"/>
      <c r="BQS81" s="41"/>
      <c r="BQT81" s="41"/>
      <c r="BQU81" s="41"/>
      <c r="BQV81" s="41"/>
      <c r="BQW81" s="139"/>
      <c r="BQX81" s="41"/>
      <c r="BQY81" s="41"/>
      <c r="BQZ81" s="41"/>
      <c r="BRA81" s="41"/>
      <c r="BRB81" s="41"/>
      <c r="BRC81" s="76"/>
      <c r="BRD81" s="41"/>
      <c r="BRE81" s="41"/>
      <c r="BRF81" s="41"/>
      <c r="BRG81" s="41"/>
      <c r="BRH81" s="41"/>
      <c r="BRI81" s="139"/>
      <c r="BRJ81" s="41"/>
      <c r="BRK81" s="41"/>
      <c r="BRL81" s="41"/>
      <c r="BRM81" s="41"/>
      <c r="BRN81" s="41"/>
      <c r="BRO81" s="76"/>
      <c r="BRP81" s="66"/>
      <c r="BRQ81" s="66"/>
      <c r="BRR81" s="66"/>
      <c r="BRS81" s="66"/>
      <c r="BRT81" s="41"/>
      <c r="BRU81" s="139"/>
      <c r="BRV81" s="41"/>
      <c r="BRW81" s="41"/>
      <c r="BRX81" s="41"/>
      <c r="BRY81" s="41"/>
      <c r="BRZ81" s="41"/>
      <c r="BSA81" s="76"/>
      <c r="BSB81" s="41"/>
      <c r="BSC81" s="41"/>
      <c r="BSD81" s="41"/>
      <c r="BSE81" s="41"/>
      <c r="BSF81" s="41"/>
      <c r="BSG81" s="139"/>
      <c r="BSH81" s="41"/>
      <c r="BSI81" s="41"/>
      <c r="BSJ81" s="41"/>
      <c r="BSK81" s="41"/>
      <c r="BSL81" s="41"/>
      <c r="BSM81" s="76"/>
      <c r="BSN81" s="41"/>
      <c r="BSO81" s="41"/>
      <c r="BSP81" s="41"/>
      <c r="BSQ81" s="41"/>
      <c r="BSR81" s="41"/>
      <c r="BSS81" s="42"/>
      <c r="BST81" s="40"/>
      <c r="BSU81" s="66"/>
      <c r="BSV81" s="66"/>
      <c r="BSW81" s="66"/>
      <c r="BSX81" s="41"/>
      <c r="BSY81" s="134"/>
      <c r="BSZ81" s="41"/>
      <c r="BTA81" s="41"/>
      <c r="BTB81" s="41"/>
      <c r="BTC81" s="41"/>
      <c r="BTD81" s="41"/>
      <c r="BTE81" s="139"/>
      <c r="BTF81" s="41"/>
      <c r="BTG81" s="41"/>
      <c r="BTH81" s="41"/>
      <c r="BTI81" s="41"/>
      <c r="BTJ81" s="41"/>
      <c r="BTK81" s="76"/>
      <c r="BTL81" s="41"/>
      <c r="BTM81" s="41"/>
      <c r="BTN81" s="41"/>
      <c r="BTO81" s="41"/>
      <c r="BTP81" s="41"/>
      <c r="BTQ81" s="139"/>
      <c r="BTR81" s="41"/>
      <c r="BTS81" s="41"/>
      <c r="BTT81" s="41"/>
      <c r="BTU81" s="41"/>
      <c r="BTV81" s="41"/>
      <c r="BTW81" s="76"/>
      <c r="BTX81" s="66"/>
      <c r="BTY81" s="66"/>
      <c r="BTZ81" s="66"/>
      <c r="BUA81" s="66"/>
      <c r="BUB81" s="41"/>
      <c r="BUC81" s="139"/>
      <c r="BUD81" s="41"/>
      <c r="BUE81" s="41"/>
      <c r="BUF81" s="41"/>
      <c r="BUG81" s="41"/>
      <c r="BUH81" s="41"/>
      <c r="BUI81" s="76"/>
      <c r="BUJ81" s="41"/>
      <c r="BUK81" s="41"/>
      <c r="BUL81" s="41"/>
      <c r="BUM81" s="41"/>
      <c r="BUN81" s="41"/>
      <c r="BUO81" s="139"/>
      <c r="BUP81" s="41"/>
      <c r="BUQ81" s="41"/>
      <c r="BUR81" s="41"/>
      <c r="BUS81" s="41"/>
      <c r="BUT81" s="41"/>
      <c r="BUU81" s="76"/>
      <c r="BUV81" s="41"/>
      <c r="BUW81" s="41"/>
      <c r="BUX81" s="41"/>
      <c r="BUY81" s="41"/>
      <c r="BUZ81" s="41"/>
      <c r="BVA81" s="42"/>
      <c r="BVB81" s="40"/>
      <c r="BVC81" s="66"/>
      <c r="BVD81" s="66"/>
      <c r="BVE81" s="66"/>
      <c r="BVF81" s="41"/>
      <c r="BVG81" s="134"/>
      <c r="BVH81" s="41"/>
      <c r="BVI81" s="41"/>
      <c r="BVJ81" s="41"/>
      <c r="BVK81" s="41"/>
      <c r="BVL81" s="41"/>
      <c r="BVM81" s="139"/>
      <c r="BVN81" s="41"/>
      <c r="BVO81" s="41"/>
      <c r="BVP81" s="41"/>
      <c r="BVQ81" s="41"/>
      <c r="BVR81" s="41"/>
      <c r="BVS81" s="76"/>
      <c r="BVT81" s="41"/>
      <c r="BVU81" s="41"/>
      <c r="BVV81" s="41"/>
      <c r="BVW81" s="41"/>
      <c r="BVX81" s="41"/>
      <c r="BVY81" s="139"/>
      <c r="BVZ81" s="41"/>
      <c r="BWA81" s="41"/>
      <c r="BWB81" s="41"/>
      <c r="BWC81" s="41"/>
      <c r="BWD81" s="41"/>
      <c r="BWE81" s="76"/>
      <c r="BWF81" s="66"/>
      <c r="BWG81" s="66"/>
      <c r="BWH81" s="66"/>
      <c r="BWI81" s="66"/>
      <c r="BWJ81" s="41"/>
      <c r="BWK81" s="139"/>
      <c r="BWL81" s="41"/>
      <c r="BWM81" s="41"/>
      <c r="BWN81" s="41"/>
      <c r="BWO81" s="41"/>
      <c r="BWP81" s="41"/>
      <c r="BWQ81" s="76"/>
      <c r="BWR81" s="41"/>
      <c r="BWS81" s="41"/>
      <c r="BWT81" s="41"/>
      <c r="BWU81" s="41"/>
      <c r="BWV81" s="41"/>
      <c r="BWW81" s="139"/>
      <c r="BWX81" s="41"/>
      <c r="BWY81" s="41"/>
      <c r="BWZ81" s="41"/>
      <c r="BXA81" s="41"/>
      <c r="BXB81" s="41"/>
      <c r="BXC81" s="76"/>
      <c r="BXD81" s="41"/>
      <c r="BXE81" s="41"/>
      <c r="BXF81" s="41"/>
      <c r="BXG81" s="41"/>
      <c r="BXH81" s="41"/>
      <c r="BXI81" s="42"/>
      <c r="BXJ81" s="40"/>
      <c r="BXK81" s="66"/>
      <c r="BXL81" s="66"/>
      <c r="BXM81" s="66"/>
      <c r="BXN81" s="41"/>
      <c r="BXO81" s="134"/>
      <c r="BXP81" s="41"/>
      <c r="BXQ81" s="41"/>
      <c r="BXR81" s="41"/>
      <c r="BXS81" s="41"/>
      <c r="BXT81" s="41"/>
      <c r="BXU81" s="139"/>
      <c r="BXV81" s="41"/>
      <c r="BXW81" s="41"/>
      <c r="BXX81" s="41"/>
      <c r="BXY81" s="41"/>
      <c r="BXZ81" s="41"/>
      <c r="BYA81" s="76"/>
      <c r="BYB81" s="41"/>
      <c r="BYC81" s="41"/>
      <c r="BYD81" s="41"/>
      <c r="BYE81" s="41"/>
      <c r="BYF81" s="41"/>
      <c r="BYG81" s="139"/>
      <c r="BYH81" s="41"/>
      <c r="BYI81" s="41"/>
      <c r="BYJ81" s="41"/>
      <c r="BYK81" s="41"/>
      <c r="BYL81" s="41"/>
      <c r="BYM81" s="76"/>
      <c r="BYN81" s="66"/>
      <c r="BYO81" s="66"/>
      <c r="BYP81" s="66"/>
      <c r="BYQ81" s="66"/>
      <c r="BYR81" s="41"/>
      <c r="BYS81" s="139"/>
      <c r="BYT81" s="41"/>
      <c r="BYU81" s="41"/>
      <c r="BYV81" s="41"/>
      <c r="BYW81" s="41"/>
      <c r="BYX81" s="41"/>
      <c r="BYY81" s="76"/>
      <c r="BYZ81" s="41"/>
      <c r="BZA81" s="41"/>
      <c r="BZB81" s="41"/>
      <c r="BZC81" s="41"/>
      <c r="BZD81" s="41"/>
      <c r="BZE81" s="139"/>
      <c r="BZF81" s="41"/>
      <c r="BZG81" s="41"/>
      <c r="BZH81" s="41"/>
      <c r="BZI81" s="41"/>
      <c r="BZJ81" s="41"/>
      <c r="BZK81" s="76"/>
      <c r="BZL81" s="41"/>
      <c r="BZM81" s="41"/>
      <c r="BZN81" s="41"/>
      <c r="BZO81" s="41"/>
      <c r="BZP81" s="41"/>
      <c r="BZQ81" s="42"/>
      <c r="BZR81" s="40"/>
      <c r="BZS81" s="66"/>
      <c r="BZT81" s="66"/>
      <c r="BZU81" s="66"/>
      <c r="BZV81" s="41"/>
      <c r="BZW81" s="134"/>
      <c r="BZX81" s="41"/>
      <c r="BZY81" s="41"/>
      <c r="BZZ81" s="41"/>
      <c r="CAA81" s="41"/>
      <c r="CAB81" s="41"/>
      <c r="CAC81" s="139"/>
      <c r="CAD81" s="41"/>
      <c r="CAE81" s="41"/>
      <c r="CAF81" s="41"/>
      <c r="CAG81" s="41"/>
      <c r="CAH81" s="41"/>
      <c r="CAI81" s="76"/>
      <c r="CAJ81" s="41"/>
      <c r="CAK81" s="41"/>
      <c r="CAL81" s="41"/>
      <c r="CAM81" s="41"/>
      <c r="CAN81" s="41"/>
      <c r="CAO81" s="139"/>
      <c r="CAP81" s="41"/>
      <c r="CAQ81" s="41"/>
      <c r="CAR81" s="41"/>
      <c r="CAS81" s="41"/>
      <c r="CAT81" s="41"/>
      <c r="CAU81" s="76"/>
      <c r="CAV81" s="66"/>
      <c r="CAW81" s="66"/>
      <c r="CAX81" s="66"/>
      <c r="CAY81" s="66"/>
      <c r="CAZ81" s="41"/>
      <c r="CBA81" s="139"/>
      <c r="CBB81" s="41"/>
      <c r="CBC81" s="41"/>
      <c r="CBD81" s="41"/>
      <c r="CBE81" s="41"/>
      <c r="CBF81" s="41"/>
      <c r="CBG81" s="76"/>
      <c r="CBH81" s="41"/>
      <c r="CBI81" s="41"/>
      <c r="CBJ81" s="41"/>
      <c r="CBK81" s="41"/>
      <c r="CBL81" s="41"/>
      <c r="CBM81" s="139"/>
      <c r="CBN81" s="41"/>
      <c r="CBO81" s="41"/>
      <c r="CBP81" s="41"/>
      <c r="CBQ81" s="41"/>
      <c r="CBR81" s="41"/>
      <c r="CBS81" s="76"/>
      <c r="CBT81" s="41"/>
      <c r="CBU81" s="41"/>
      <c r="CBV81" s="41"/>
      <c r="CBW81" s="41"/>
      <c r="CBX81" s="41"/>
      <c r="CBY81" s="42"/>
      <c r="CBZ81" s="90"/>
    </row>
    <row r="82" spans="1:2106" ht="20.100000000000001" customHeight="1" x14ac:dyDescent="0.3">
      <c r="A82" s="100" t="s">
        <v>23</v>
      </c>
      <c r="B82" s="63"/>
      <c r="C82" s="171"/>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28"/>
      <c r="BLW82" s="67"/>
      <c r="BLX82" s="67"/>
      <c r="BLY82" s="67"/>
      <c r="BLZ82" s="29"/>
      <c r="BMA82" s="131"/>
      <c r="BMB82" s="29"/>
      <c r="BMC82" s="29"/>
      <c r="BMD82" s="29"/>
      <c r="BME82" s="29"/>
      <c r="BMF82" s="29"/>
      <c r="BMG82" s="136"/>
      <c r="BMH82" s="29"/>
      <c r="BMI82" s="29"/>
      <c r="BMJ82" s="29"/>
      <c r="BMK82" s="29"/>
      <c r="BML82" s="29"/>
      <c r="BMM82" s="73"/>
      <c r="BMN82" s="29"/>
      <c r="BMO82" s="29"/>
      <c r="BMP82" s="29"/>
      <c r="BMQ82" s="29"/>
      <c r="BMR82" s="29"/>
      <c r="BMS82" s="136"/>
      <c r="BMT82" s="29"/>
      <c r="BMU82" s="29"/>
      <c r="BMV82" s="29"/>
      <c r="BMW82" s="29"/>
      <c r="BMX82" s="29"/>
      <c r="BMY82" s="73"/>
      <c r="BMZ82" s="67"/>
      <c r="BNA82" s="67"/>
      <c r="BNB82" s="67"/>
      <c r="BNC82" s="67"/>
      <c r="BND82" s="29"/>
      <c r="BNE82" s="136"/>
      <c r="BNF82" s="29"/>
      <c r="BNG82" s="29"/>
      <c r="BNH82" s="29"/>
      <c r="BNI82" s="29"/>
      <c r="BNJ82" s="29"/>
      <c r="BNK82" s="73"/>
      <c r="BNL82" s="29"/>
      <c r="BNM82" s="29"/>
      <c r="BNN82" s="29"/>
      <c r="BNO82" s="29"/>
      <c r="BNP82" s="29"/>
      <c r="BNQ82" s="136"/>
      <c r="BNR82" s="29"/>
      <c r="BNS82" s="29"/>
      <c r="BNT82" s="29"/>
      <c r="BNU82" s="29"/>
      <c r="BNV82" s="29"/>
      <c r="BNW82" s="73"/>
      <c r="BNX82" s="29"/>
      <c r="BNY82" s="29"/>
      <c r="BNZ82" s="29"/>
      <c r="BOA82" s="29"/>
      <c r="BOB82" s="29"/>
      <c r="BOC82" s="30"/>
      <c r="BOD82" s="28"/>
      <c r="BOE82" s="67"/>
      <c r="BOF82" s="67"/>
      <c r="BOG82" s="67"/>
      <c r="BOH82" s="29"/>
      <c r="BOI82" s="131"/>
      <c r="BOJ82" s="29"/>
      <c r="BOK82" s="29"/>
      <c r="BOL82" s="29"/>
      <c r="BOM82" s="29"/>
      <c r="BON82" s="29"/>
      <c r="BOO82" s="136"/>
      <c r="BOP82" s="29"/>
      <c r="BOQ82" s="29"/>
      <c r="BOR82" s="29"/>
      <c r="BOS82" s="29"/>
      <c r="BOT82" s="29"/>
      <c r="BOU82" s="73"/>
      <c r="BOV82" s="29"/>
      <c r="BOW82" s="29"/>
      <c r="BOX82" s="29"/>
      <c r="BOY82" s="29"/>
      <c r="BOZ82" s="29"/>
      <c r="BPA82" s="136"/>
      <c r="BPB82" s="29"/>
      <c r="BPC82" s="29"/>
      <c r="BPD82" s="29"/>
      <c r="BPE82" s="29"/>
      <c r="BPF82" s="29"/>
      <c r="BPG82" s="73"/>
      <c r="BPH82" s="67"/>
      <c r="BPI82" s="67"/>
      <c r="BPJ82" s="67"/>
      <c r="BPK82" s="67"/>
      <c r="BPL82" s="29"/>
      <c r="BPM82" s="136"/>
      <c r="BPN82" s="29"/>
      <c r="BPO82" s="29"/>
      <c r="BPP82" s="29"/>
      <c r="BPQ82" s="29"/>
      <c r="BPR82" s="29"/>
      <c r="BPS82" s="73"/>
      <c r="BPT82" s="29"/>
      <c r="BPU82" s="29"/>
      <c r="BPV82" s="29"/>
      <c r="BPW82" s="29"/>
      <c r="BPX82" s="29"/>
      <c r="BPY82" s="136"/>
      <c r="BPZ82" s="29"/>
      <c r="BQA82" s="29"/>
      <c r="BQB82" s="29"/>
      <c r="BQC82" s="29"/>
      <c r="BQD82" s="29"/>
      <c r="BQE82" s="73"/>
      <c r="BQF82" s="29"/>
      <c r="BQG82" s="29"/>
      <c r="BQH82" s="29"/>
      <c r="BQI82" s="29"/>
      <c r="BQJ82" s="29"/>
      <c r="BQK82" s="30"/>
      <c r="BQL82" s="28"/>
      <c r="BQM82" s="67"/>
      <c r="BQN82" s="67"/>
      <c r="BQO82" s="67"/>
      <c r="BQP82" s="29"/>
      <c r="BQQ82" s="131"/>
      <c r="BQR82" s="29"/>
      <c r="BQS82" s="29"/>
      <c r="BQT82" s="29"/>
      <c r="BQU82" s="29"/>
      <c r="BQV82" s="29"/>
      <c r="BQW82" s="136"/>
      <c r="BQX82" s="29"/>
      <c r="BQY82" s="29"/>
      <c r="BQZ82" s="29"/>
      <c r="BRA82" s="29"/>
      <c r="BRB82" s="29"/>
      <c r="BRC82" s="73"/>
      <c r="BRD82" s="29"/>
      <c r="BRE82" s="29"/>
      <c r="BRF82" s="29"/>
      <c r="BRG82" s="29"/>
      <c r="BRH82" s="29"/>
      <c r="BRI82" s="136"/>
      <c r="BRJ82" s="29"/>
      <c r="BRK82" s="29"/>
      <c r="BRL82" s="29"/>
      <c r="BRM82" s="29"/>
      <c r="BRN82" s="29"/>
      <c r="BRO82" s="73"/>
      <c r="BRP82" s="67"/>
      <c r="BRQ82" s="67"/>
      <c r="BRR82" s="67"/>
      <c r="BRS82" s="67"/>
      <c r="BRT82" s="29"/>
      <c r="BRU82" s="136"/>
      <c r="BRV82" s="29"/>
      <c r="BRW82" s="29"/>
      <c r="BRX82" s="29"/>
      <c r="BRY82" s="29"/>
      <c r="BRZ82" s="29"/>
      <c r="BSA82" s="73"/>
      <c r="BSB82" s="29"/>
      <c r="BSC82" s="29"/>
      <c r="BSD82" s="29"/>
      <c r="BSE82" s="29"/>
      <c r="BSF82" s="29"/>
      <c r="BSG82" s="136"/>
      <c r="BSH82" s="29"/>
      <c r="BSI82" s="29"/>
      <c r="BSJ82" s="29"/>
      <c r="BSK82" s="29"/>
      <c r="BSL82" s="29"/>
      <c r="BSM82" s="73"/>
      <c r="BSN82" s="29"/>
      <c r="BSO82" s="29"/>
      <c r="BSP82" s="29"/>
      <c r="BSQ82" s="29"/>
      <c r="BSR82" s="29"/>
      <c r="BSS82" s="30"/>
      <c r="BST82" s="28"/>
      <c r="BSU82" s="67"/>
      <c r="BSV82" s="67"/>
      <c r="BSW82" s="67"/>
      <c r="BSX82" s="29"/>
      <c r="BSY82" s="131"/>
      <c r="BSZ82" s="29"/>
      <c r="BTA82" s="29"/>
      <c r="BTB82" s="29"/>
      <c r="BTC82" s="29"/>
      <c r="BTD82" s="29"/>
      <c r="BTE82" s="136"/>
      <c r="BTF82" s="29"/>
      <c r="BTG82" s="29"/>
      <c r="BTH82" s="29"/>
      <c r="BTI82" s="29"/>
      <c r="BTJ82" s="29"/>
      <c r="BTK82" s="73"/>
      <c r="BTL82" s="29"/>
      <c r="BTM82" s="29"/>
      <c r="BTN82" s="29"/>
      <c r="BTO82" s="29"/>
      <c r="BTP82" s="29"/>
      <c r="BTQ82" s="136"/>
      <c r="BTR82" s="29"/>
      <c r="BTS82" s="29"/>
      <c r="BTT82" s="29"/>
      <c r="BTU82" s="29"/>
      <c r="BTV82" s="29"/>
      <c r="BTW82" s="73"/>
      <c r="BTX82" s="67"/>
      <c r="BTY82" s="67"/>
      <c r="BTZ82" s="67"/>
      <c r="BUA82" s="67"/>
      <c r="BUB82" s="29"/>
      <c r="BUC82" s="136"/>
      <c r="BUD82" s="29"/>
      <c r="BUE82" s="29"/>
      <c r="BUF82" s="29"/>
      <c r="BUG82" s="29"/>
      <c r="BUH82" s="29"/>
      <c r="BUI82" s="73"/>
      <c r="BUJ82" s="29"/>
      <c r="BUK82" s="29"/>
      <c r="BUL82" s="29"/>
      <c r="BUM82" s="29"/>
      <c r="BUN82" s="29"/>
      <c r="BUO82" s="136"/>
      <c r="BUP82" s="29"/>
      <c r="BUQ82" s="29"/>
      <c r="BUR82" s="29"/>
      <c r="BUS82" s="29"/>
      <c r="BUT82" s="29"/>
      <c r="BUU82" s="73"/>
      <c r="BUV82" s="29"/>
      <c r="BUW82" s="29"/>
      <c r="BUX82" s="29"/>
      <c r="BUY82" s="29"/>
      <c r="BUZ82" s="29"/>
      <c r="BVA82" s="30"/>
      <c r="BVB82" s="28"/>
      <c r="BVC82" s="67"/>
      <c r="BVD82" s="67"/>
      <c r="BVE82" s="67"/>
      <c r="BVF82" s="29"/>
      <c r="BVG82" s="131"/>
      <c r="BVH82" s="29"/>
      <c r="BVI82" s="29"/>
      <c r="BVJ82" s="29"/>
      <c r="BVK82" s="29"/>
      <c r="BVL82" s="29"/>
      <c r="BVM82" s="136"/>
      <c r="BVN82" s="29"/>
      <c r="BVO82" s="29"/>
      <c r="BVP82" s="29"/>
      <c r="BVQ82" s="29"/>
      <c r="BVR82" s="29"/>
      <c r="BVS82" s="73"/>
      <c r="BVT82" s="29"/>
      <c r="BVU82" s="29"/>
      <c r="BVV82" s="29"/>
      <c r="BVW82" s="29"/>
      <c r="BVX82" s="29"/>
      <c r="BVY82" s="136"/>
      <c r="BVZ82" s="29"/>
      <c r="BWA82" s="29"/>
      <c r="BWB82" s="29"/>
      <c r="BWC82" s="29"/>
      <c r="BWD82" s="29"/>
      <c r="BWE82" s="73"/>
      <c r="BWF82" s="67"/>
      <c r="BWG82" s="67"/>
      <c r="BWH82" s="67"/>
      <c r="BWI82" s="67"/>
      <c r="BWJ82" s="29"/>
      <c r="BWK82" s="136"/>
      <c r="BWL82" s="29"/>
      <c r="BWM82" s="29"/>
      <c r="BWN82" s="29"/>
      <c r="BWO82" s="29"/>
      <c r="BWP82" s="29"/>
      <c r="BWQ82" s="73"/>
      <c r="BWR82" s="29"/>
      <c r="BWS82" s="29"/>
      <c r="BWT82" s="29"/>
      <c r="BWU82" s="29"/>
      <c r="BWV82" s="29"/>
      <c r="BWW82" s="136"/>
      <c r="BWX82" s="29"/>
      <c r="BWY82" s="29"/>
      <c r="BWZ82" s="29"/>
      <c r="BXA82" s="29"/>
      <c r="BXB82" s="29"/>
      <c r="BXC82" s="73"/>
      <c r="BXD82" s="29"/>
      <c r="BXE82" s="29"/>
      <c r="BXF82" s="29"/>
      <c r="BXG82" s="29"/>
      <c r="BXH82" s="29"/>
      <c r="BXI82" s="30"/>
      <c r="BXJ82" s="28"/>
      <c r="BXK82" s="67"/>
      <c r="BXL82" s="67"/>
      <c r="BXM82" s="67"/>
      <c r="BXN82" s="29"/>
      <c r="BXO82" s="131"/>
      <c r="BXP82" s="29"/>
      <c r="BXQ82" s="29"/>
      <c r="BXR82" s="29"/>
      <c r="BXS82" s="29"/>
      <c r="BXT82" s="29"/>
      <c r="BXU82" s="136"/>
      <c r="BXV82" s="29"/>
      <c r="BXW82" s="29"/>
      <c r="BXX82" s="29"/>
      <c r="BXY82" s="29"/>
      <c r="BXZ82" s="29"/>
      <c r="BYA82" s="73"/>
      <c r="BYB82" s="29"/>
      <c r="BYC82" s="29"/>
      <c r="BYD82" s="29"/>
      <c r="BYE82" s="29"/>
      <c r="BYF82" s="29"/>
      <c r="BYG82" s="136"/>
      <c r="BYH82" s="29"/>
      <c r="BYI82" s="29"/>
      <c r="BYJ82" s="29"/>
      <c r="BYK82" s="29"/>
      <c r="BYL82" s="29"/>
      <c r="BYM82" s="73"/>
      <c r="BYN82" s="67"/>
      <c r="BYO82" s="67"/>
      <c r="BYP82" s="67"/>
      <c r="BYQ82" s="67"/>
      <c r="BYR82" s="29"/>
      <c r="BYS82" s="136"/>
      <c r="BYT82" s="29"/>
      <c r="BYU82" s="29"/>
      <c r="BYV82" s="29"/>
      <c r="BYW82" s="29"/>
      <c r="BYX82" s="29"/>
      <c r="BYY82" s="73"/>
      <c r="BYZ82" s="29"/>
      <c r="BZA82" s="29"/>
      <c r="BZB82" s="29"/>
      <c r="BZC82" s="29"/>
      <c r="BZD82" s="29"/>
      <c r="BZE82" s="136"/>
      <c r="BZF82" s="29"/>
      <c r="BZG82" s="29"/>
      <c r="BZH82" s="29"/>
      <c r="BZI82" s="29"/>
      <c r="BZJ82" s="29"/>
      <c r="BZK82" s="73"/>
      <c r="BZL82" s="29"/>
      <c r="BZM82" s="29"/>
      <c r="BZN82" s="29"/>
      <c r="BZO82" s="29"/>
      <c r="BZP82" s="29"/>
      <c r="BZQ82" s="30"/>
      <c r="BZR82" s="28"/>
      <c r="BZS82" s="67"/>
      <c r="BZT82" s="67"/>
      <c r="BZU82" s="67"/>
      <c r="BZV82" s="29"/>
      <c r="BZW82" s="131"/>
      <c r="BZX82" s="29"/>
      <c r="BZY82" s="29"/>
      <c r="BZZ82" s="29"/>
      <c r="CAA82" s="29"/>
      <c r="CAB82" s="29"/>
      <c r="CAC82" s="136"/>
      <c r="CAD82" s="29"/>
      <c r="CAE82" s="29"/>
      <c r="CAF82" s="29"/>
      <c r="CAG82" s="29"/>
      <c r="CAH82" s="29"/>
      <c r="CAI82" s="73"/>
      <c r="CAJ82" s="29"/>
      <c r="CAK82" s="29"/>
      <c r="CAL82" s="29"/>
      <c r="CAM82" s="29"/>
      <c r="CAN82" s="29"/>
      <c r="CAO82" s="136"/>
      <c r="CAP82" s="29"/>
      <c r="CAQ82" s="29"/>
      <c r="CAR82" s="29"/>
      <c r="CAS82" s="29"/>
      <c r="CAT82" s="29"/>
      <c r="CAU82" s="73"/>
      <c r="CAV82" s="67"/>
      <c r="CAW82" s="67"/>
      <c r="CAX82" s="67"/>
      <c r="CAY82" s="67"/>
      <c r="CAZ82" s="29"/>
      <c r="CBA82" s="136"/>
      <c r="CBB82" s="29"/>
      <c r="CBC82" s="29"/>
      <c r="CBD82" s="29"/>
      <c r="CBE82" s="29"/>
      <c r="CBF82" s="29"/>
      <c r="CBG82" s="73"/>
      <c r="CBH82" s="29"/>
      <c r="CBI82" s="29"/>
      <c r="CBJ82" s="29"/>
      <c r="CBK82" s="29"/>
      <c r="CBL82" s="29"/>
      <c r="CBM82" s="136"/>
      <c r="CBN82" s="29"/>
      <c r="CBO82" s="29"/>
      <c r="CBP82" s="29"/>
      <c r="CBQ82" s="29"/>
      <c r="CBR82" s="29"/>
      <c r="CBS82" s="73"/>
      <c r="CBT82" s="29"/>
      <c r="CBU82" s="29"/>
      <c r="CBV82" s="29"/>
      <c r="CBW82" s="29"/>
      <c r="CBX82" s="29"/>
      <c r="CBY82" s="30"/>
      <c r="CBZ82" s="90"/>
    </row>
    <row r="83" spans="1:2106" ht="20.100000000000001" customHeight="1" x14ac:dyDescent="0.25">
      <c r="A83" s="100" t="s">
        <v>22</v>
      </c>
      <c r="B83" s="63"/>
      <c r="C83" s="170"/>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32"/>
      <c r="BLW83" s="64"/>
      <c r="BLX83" s="64"/>
      <c r="BLY83" s="64"/>
      <c r="BLZ83" s="33"/>
      <c r="BMA83" s="132"/>
      <c r="BMB83" s="33"/>
      <c r="BMC83" s="33"/>
      <c r="BMD83" s="33"/>
      <c r="BME83" s="33"/>
      <c r="BMF83" s="33"/>
      <c r="BMG83" s="137"/>
      <c r="BMH83" s="33"/>
      <c r="BMI83" s="33"/>
      <c r="BMJ83" s="33"/>
      <c r="BMK83" s="33"/>
      <c r="BML83" s="33"/>
      <c r="BMM83" s="74"/>
      <c r="BMN83" s="33"/>
      <c r="BMO83" s="33"/>
      <c r="BMP83" s="33"/>
      <c r="BMQ83" s="33"/>
      <c r="BMR83" s="33"/>
      <c r="BMS83" s="137"/>
      <c r="BMT83" s="33"/>
      <c r="BMU83" s="33"/>
      <c r="BMV83" s="33"/>
      <c r="BMW83" s="33"/>
      <c r="BMX83" s="33"/>
      <c r="BMY83" s="74"/>
      <c r="BMZ83" s="64"/>
      <c r="BNA83" s="64"/>
      <c r="BNB83" s="64"/>
      <c r="BNC83" s="64"/>
      <c r="BND83" s="33"/>
      <c r="BNE83" s="137"/>
      <c r="BNF83" s="33"/>
      <c r="BNG83" s="33"/>
      <c r="BNH83" s="33"/>
      <c r="BNI83" s="33"/>
      <c r="BNJ83" s="33"/>
      <c r="BNK83" s="74"/>
      <c r="BNL83" s="33"/>
      <c r="BNM83" s="33"/>
      <c r="BNN83" s="33"/>
      <c r="BNO83" s="33"/>
      <c r="BNP83" s="33"/>
      <c r="BNQ83" s="137"/>
      <c r="BNR83" s="33"/>
      <c r="BNS83" s="33"/>
      <c r="BNT83" s="33"/>
      <c r="BNU83" s="33"/>
      <c r="BNV83" s="33"/>
      <c r="BNW83" s="74"/>
      <c r="BNX83" s="33"/>
      <c r="BNY83" s="33"/>
      <c r="BNZ83" s="33"/>
      <c r="BOA83" s="33"/>
      <c r="BOB83" s="33"/>
      <c r="BOC83" s="34"/>
      <c r="BOD83" s="32"/>
      <c r="BOE83" s="64"/>
      <c r="BOF83" s="64"/>
      <c r="BOG83" s="64"/>
      <c r="BOH83" s="33"/>
      <c r="BOI83" s="132"/>
      <c r="BOJ83" s="33"/>
      <c r="BOK83" s="33"/>
      <c r="BOL83" s="33"/>
      <c r="BOM83" s="33"/>
      <c r="BON83" s="33"/>
      <c r="BOO83" s="137"/>
      <c r="BOP83" s="33"/>
      <c r="BOQ83" s="33"/>
      <c r="BOR83" s="33"/>
      <c r="BOS83" s="33"/>
      <c r="BOT83" s="33"/>
      <c r="BOU83" s="74"/>
      <c r="BOV83" s="33"/>
      <c r="BOW83" s="33"/>
      <c r="BOX83" s="33"/>
      <c r="BOY83" s="33"/>
      <c r="BOZ83" s="33"/>
      <c r="BPA83" s="137"/>
      <c r="BPB83" s="33"/>
      <c r="BPC83" s="33"/>
      <c r="BPD83" s="33"/>
      <c r="BPE83" s="33"/>
      <c r="BPF83" s="33"/>
      <c r="BPG83" s="74"/>
      <c r="BPH83" s="64"/>
      <c r="BPI83" s="64"/>
      <c r="BPJ83" s="64"/>
      <c r="BPK83" s="64"/>
      <c r="BPL83" s="33"/>
      <c r="BPM83" s="137"/>
      <c r="BPN83" s="33"/>
      <c r="BPO83" s="33"/>
      <c r="BPP83" s="33"/>
      <c r="BPQ83" s="33"/>
      <c r="BPR83" s="33"/>
      <c r="BPS83" s="74"/>
      <c r="BPT83" s="33"/>
      <c r="BPU83" s="33"/>
      <c r="BPV83" s="33"/>
      <c r="BPW83" s="33"/>
      <c r="BPX83" s="33"/>
      <c r="BPY83" s="137"/>
      <c r="BPZ83" s="33"/>
      <c r="BQA83" s="33"/>
      <c r="BQB83" s="33"/>
      <c r="BQC83" s="33"/>
      <c r="BQD83" s="33"/>
      <c r="BQE83" s="74"/>
      <c r="BQF83" s="33"/>
      <c r="BQG83" s="33"/>
      <c r="BQH83" s="33"/>
      <c r="BQI83" s="33"/>
      <c r="BQJ83" s="33"/>
      <c r="BQK83" s="34"/>
      <c r="BQL83" s="32"/>
      <c r="BQM83" s="64"/>
      <c r="BQN83" s="64"/>
      <c r="BQO83" s="64"/>
      <c r="BQP83" s="33"/>
      <c r="BQQ83" s="132"/>
      <c r="BQR83" s="33"/>
      <c r="BQS83" s="33"/>
      <c r="BQT83" s="33"/>
      <c r="BQU83" s="33"/>
      <c r="BQV83" s="33"/>
      <c r="BQW83" s="137"/>
      <c r="BQX83" s="33"/>
      <c r="BQY83" s="33"/>
      <c r="BQZ83" s="33"/>
      <c r="BRA83" s="33"/>
      <c r="BRB83" s="33"/>
      <c r="BRC83" s="74"/>
      <c r="BRD83" s="33"/>
      <c r="BRE83" s="33"/>
      <c r="BRF83" s="33"/>
      <c r="BRG83" s="33"/>
      <c r="BRH83" s="33"/>
      <c r="BRI83" s="137"/>
      <c r="BRJ83" s="33"/>
      <c r="BRK83" s="33"/>
      <c r="BRL83" s="33"/>
      <c r="BRM83" s="33"/>
      <c r="BRN83" s="33"/>
      <c r="BRO83" s="74"/>
      <c r="BRP83" s="64"/>
      <c r="BRQ83" s="64"/>
      <c r="BRR83" s="64"/>
      <c r="BRS83" s="64"/>
      <c r="BRT83" s="33"/>
      <c r="BRU83" s="137"/>
      <c r="BRV83" s="33"/>
      <c r="BRW83" s="33"/>
      <c r="BRX83" s="33"/>
      <c r="BRY83" s="33"/>
      <c r="BRZ83" s="33"/>
      <c r="BSA83" s="74"/>
      <c r="BSB83" s="33"/>
      <c r="BSC83" s="33"/>
      <c r="BSD83" s="33"/>
      <c r="BSE83" s="33"/>
      <c r="BSF83" s="33"/>
      <c r="BSG83" s="137"/>
      <c r="BSH83" s="33"/>
      <c r="BSI83" s="33"/>
      <c r="BSJ83" s="33"/>
      <c r="BSK83" s="33"/>
      <c r="BSL83" s="33"/>
      <c r="BSM83" s="74"/>
      <c r="BSN83" s="33"/>
      <c r="BSO83" s="33"/>
      <c r="BSP83" s="33"/>
      <c r="BSQ83" s="33"/>
      <c r="BSR83" s="33"/>
      <c r="BSS83" s="34"/>
      <c r="BST83" s="32"/>
      <c r="BSU83" s="64"/>
      <c r="BSV83" s="64"/>
      <c r="BSW83" s="64"/>
      <c r="BSX83" s="33"/>
      <c r="BSY83" s="132"/>
      <c r="BSZ83" s="33"/>
      <c r="BTA83" s="33"/>
      <c r="BTB83" s="33"/>
      <c r="BTC83" s="33"/>
      <c r="BTD83" s="33"/>
      <c r="BTE83" s="137"/>
      <c r="BTF83" s="33"/>
      <c r="BTG83" s="33"/>
      <c r="BTH83" s="33"/>
      <c r="BTI83" s="33"/>
      <c r="BTJ83" s="33"/>
      <c r="BTK83" s="74"/>
      <c r="BTL83" s="33"/>
      <c r="BTM83" s="33"/>
      <c r="BTN83" s="33"/>
      <c r="BTO83" s="33"/>
      <c r="BTP83" s="33"/>
      <c r="BTQ83" s="137"/>
      <c r="BTR83" s="33"/>
      <c r="BTS83" s="33"/>
      <c r="BTT83" s="33"/>
      <c r="BTU83" s="33"/>
      <c r="BTV83" s="33"/>
      <c r="BTW83" s="74"/>
      <c r="BTX83" s="64"/>
      <c r="BTY83" s="64"/>
      <c r="BTZ83" s="64"/>
      <c r="BUA83" s="64"/>
      <c r="BUB83" s="33"/>
      <c r="BUC83" s="137"/>
      <c r="BUD83" s="33"/>
      <c r="BUE83" s="33"/>
      <c r="BUF83" s="33"/>
      <c r="BUG83" s="33"/>
      <c r="BUH83" s="33"/>
      <c r="BUI83" s="74"/>
      <c r="BUJ83" s="33"/>
      <c r="BUK83" s="33"/>
      <c r="BUL83" s="33"/>
      <c r="BUM83" s="33"/>
      <c r="BUN83" s="33"/>
      <c r="BUO83" s="137"/>
      <c r="BUP83" s="33"/>
      <c r="BUQ83" s="33"/>
      <c r="BUR83" s="33"/>
      <c r="BUS83" s="33"/>
      <c r="BUT83" s="33"/>
      <c r="BUU83" s="74"/>
      <c r="BUV83" s="33"/>
      <c r="BUW83" s="33"/>
      <c r="BUX83" s="33"/>
      <c r="BUY83" s="33"/>
      <c r="BUZ83" s="33"/>
      <c r="BVA83" s="34"/>
      <c r="BVB83" s="32"/>
      <c r="BVC83" s="64"/>
      <c r="BVD83" s="64"/>
      <c r="BVE83" s="64"/>
      <c r="BVF83" s="33"/>
      <c r="BVG83" s="132"/>
      <c r="BVH83" s="33"/>
      <c r="BVI83" s="33"/>
      <c r="BVJ83" s="33"/>
      <c r="BVK83" s="33"/>
      <c r="BVL83" s="33"/>
      <c r="BVM83" s="137"/>
      <c r="BVN83" s="33"/>
      <c r="BVO83" s="33"/>
      <c r="BVP83" s="33"/>
      <c r="BVQ83" s="33"/>
      <c r="BVR83" s="33"/>
      <c r="BVS83" s="74"/>
      <c r="BVT83" s="33"/>
      <c r="BVU83" s="33"/>
      <c r="BVV83" s="33"/>
      <c r="BVW83" s="33"/>
      <c r="BVX83" s="33"/>
      <c r="BVY83" s="137"/>
      <c r="BVZ83" s="33"/>
      <c r="BWA83" s="33"/>
      <c r="BWB83" s="33"/>
      <c r="BWC83" s="33"/>
      <c r="BWD83" s="33"/>
      <c r="BWE83" s="74"/>
      <c r="BWF83" s="64"/>
      <c r="BWG83" s="64"/>
      <c r="BWH83" s="64"/>
      <c r="BWI83" s="64"/>
      <c r="BWJ83" s="33"/>
      <c r="BWK83" s="137"/>
      <c r="BWL83" s="33"/>
      <c r="BWM83" s="33"/>
      <c r="BWN83" s="33"/>
      <c r="BWO83" s="33"/>
      <c r="BWP83" s="33"/>
      <c r="BWQ83" s="74"/>
      <c r="BWR83" s="33"/>
      <c r="BWS83" s="33"/>
      <c r="BWT83" s="33"/>
      <c r="BWU83" s="33"/>
      <c r="BWV83" s="33"/>
      <c r="BWW83" s="137"/>
      <c r="BWX83" s="33"/>
      <c r="BWY83" s="33"/>
      <c r="BWZ83" s="33"/>
      <c r="BXA83" s="33"/>
      <c r="BXB83" s="33"/>
      <c r="BXC83" s="74"/>
      <c r="BXD83" s="33"/>
      <c r="BXE83" s="33"/>
      <c r="BXF83" s="33"/>
      <c r="BXG83" s="33"/>
      <c r="BXH83" s="33"/>
      <c r="BXI83" s="34"/>
      <c r="BXJ83" s="32"/>
      <c r="BXK83" s="64"/>
      <c r="BXL83" s="64"/>
      <c r="BXM83" s="64"/>
      <c r="BXN83" s="33"/>
      <c r="BXO83" s="132"/>
      <c r="BXP83" s="33"/>
      <c r="BXQ83" s="33"/>
      <c r="BXR83" s="33"/>
      <c r="BXS83" s="33"/>
      <c r="BXT83" s="33"/>
      <c r="BXU83" s="137"/>
      <c r="BXV83" s="33"/>
      <c r="BXW83" s="33"/>
      <c r="BXX83" s="33"/>
      <c r="BXY83" s="33"/>
      <c r="BXZ83" s="33"/>
      <c r="BYA83" s="74"/>
      <c r="BYB83" s="33"/>
      <c r="BYC83" s="33"/>
      <c r="BYD83" s="33"/>
      <c r="BYE83" s="33"/>
      <c r="BYF83" s="33"/>
      <c r="BYG83" s="137"/>
      <c r="BYH83" s="33"/>
      <c r="BYI83" s="33"/>
      <c r="BYJ83" s="33"/>
      <c r="BYK83" s="33"/>
      <c r="BYL83" s="33"/>
      <c r="BYM83" s="74"/>
      <c r="BYN83" s="64"/>
      <c r="BYO83" s="64"/>
      <c r="BYP83" s="64"/>
      <c r="BYQ83" s="64"/>
      <c r="BYR83" s="33"/>
      <c r="BYS83" s="137"/>
      <c r="BYT83" s="33"/>
      <c r="BYU83" s="33"/>
      <c r="BYV83" s="33"/>
      <c r="BYW83" s="33"/>
      <c r="BYX83" s="33"/>
      <c r="BYY83" s="74"/>
      <c r="BYZ83" s="33"/>
      <c r="BZA83" s="33"/>
      <c r="BZB83" s="33"/>
      <c r="BZC83" s="33"/>
      <c r="BZD83" s="33"/>
      <c r="BZE83" s="137"/>
      <c r="BZF83" s="33"/>
      <c r="BZG83" s="33"/>
      <c r="BZH83" s="33"/>
      <c r="BZI83" s="33"/>
      <c r="BZJ83" s="33"/>
      <c r="BZK83" s="74"/>
      <c r="BZL83" s="33"/>
      <c r="BZM83" s="33"/>
      <c r="BZN83" s="33"/>
      <c r="BZO83" s="33"/>
      <c r="BZP83" s="33"/>
      <c r="BZQ83" s="34"/>
      <c r="BZR83" s="32"/>
      <c r="BZS83" s="64"/>
      <c r="BZT83" s="64"/>
      <c r="BZU83" s="64"/>
      <c r="BZV83" s="33"/>
      <c r="BZW83" s="132"/>
      <c r="BZX83" s="33"/>
      <c r="BZY83" s="33"/>
      <c r="BZZ83" s="33"/>
      <c r="CAA83" s="33"/>
      <c r="CAB83" s="33"/>
      <c r="CAC83" s="137"/>
      <c r="CAD83" s="33"/>
      <c r="CAE83" s="33"/>
      <c r="CAF83" s="33"/>
      <c r="CAG83" s="33"/>
      <c r="CAH83" s="33"/>
      <c r="CAI83" s="74"/>
      <c r="CAJ83" s="33"/>
      <c r="CAK83" s="33"/>
      <c r="CAL83" s="33"/>
      <c r="CAM83" s="33"/>
      <c r="CAN83" s="33"/>
      <c r="CAO83" s="137"/>
      <c r="CAP83" s="33"/>
      <c r="CAQ83" s="33"/>
      <c r="CAR83" s="33"/>
      <c r="CAS83" s="33"/>
      <c r="CAT83" s="33"/>
      <c r="CAU83" s="74"/>
      <c r="CAV83" s="64"/>
      <c r="CAW83" s="64"/>
      <c r="CAX83" s="64"/>
      <c r="CAY83" s="64"/>
      <c r="CAZ83" s="33"/>
      <c r="CBA83" s="137"/>
      <c r="CBB83" s="33"/>
      <c r="CBC83" s="33"/>
      <c r="CBD83" s="33"/>
      <c r="CBE83" s="33"/>
      <c r="CBF83" s="33"/>
      <c r="CBG83" s="74"/>
      <c r="CBH83" s="33"/>
      <c r="CBI83" s="33"/>
      <c r="CBJ83" s="33"/>
      <c r="CBK83" s="33"/>
      <c r="CBL83" s="33"/>
      <c r="CBM83" s="137"/>
      <c r="CBN83" s="33"/>
      <c r="CBO83" s="33"/>
      <c r="CBP83" s="33"/>
      <c r="CBQ83" s="33"/>
      <c r="CBR83" s="33"/>
      <c r="CBS83" s="74"/>
      <c r="CBT83" s="33"/>
      <c r="CBU83" s="33"/>
      <c r="CBV83" s="33"/>
      <c r="CBW83" s="33"/>
      <c r="CBX83" s="33"/>
      <c r="CBY83" s="34"/>
      <c r="CBZ83" s="90"/>
    </row>
    <row r="84" spans="1:2106" ht="20.100000000000001" customHeight="1" x14ac:dyDescent="0.25">
      <c r="A84" s="100" t="s">
        <v>23</v>
      </c>
      <c r="B84" s="63"/>
      <c r="C84" s="172"/>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36"/>
      <c r="BLW84" s="65"/>
      <c r="BLX84" s="65"/>
      <c r="BLY84" s="65"/>
      <c r="BLZ84" s="37"/>
      <c r="BMA84" s="133"/>
      <c r="BMB84" s="37"/>
      <c r="BMC84" s="37"/>
      <c r="BMD84" s="37"/>
      <c r="BME84" s="37"/>
      <c r="BMF84" s="37"/>
      <c r="BMG84" s="138"/>
      <c r="BMH84" s="37"/>
      <c r="BMI84" s="37"/>
      <c r="BMJ84" s="37"/>
      <c r="BMK84" s="37"/>
      <c r="BML84" s="37"/>
      <c r="BMM84" s="75"/>
      <c r="BMN84" s="37"/>
      <c r="BMO84" s="37"/>
      <c r="BMP84" s="37"/>
      <c r="BMQ84" s="37"/>
      <c r="BMR84" s="37"/>
      <c r="BMS84" s="138"/>
      <c r="BMT84" s="37"/>
      <c r="BMU84" s="37"/>
      <c r="BMV84" s="37"/>
      <c r="BMW84" s="37"/>
      <c r="BMX84" s="37"/>
      <c r="BMY84" s="75"/>
      <c r="BMZ84" s="65"/>
      <c r="BNA84" s="65"/>
      <c r="BNB84" s="65"/>
      <c r="BNC84" s="65"/>
      <c r="BND84" s="37"/>
      <c r="BNE84" s="138"/>
      <c r="BNF84" s="37"/>
      <c r="BNG84" s="37"/>
      <c r="BNH84" s="37"/>
      <c r="BNI84" s="37"/>
      <c r="BNJ84" s="37"/>
      <c r="BNK84" s="75"/>
      <c r="BNL84" s="37"/>
      <c r="BNM84" s="37"/>
      <c r="BNN84" s="37"/>
      <c r="BNO84" s="37"/>
      <c r="BNP84" s="37"/>
      <c r="BNQ84" s="138"/>
      <c r="BNR84" s="37"/>
      <c r="BNS84" s="37"/>
      <c r="BNT84" s="37"/>
      <c r="BNU84" s="37"/>
      <c r="BNV84" s="37"/>
      <c r="BNW84" s="75"/>
      <c r="BNX84" s="37"/>
      <c r="BNY84" s="37"/>
      <c r="BNZ84" s="37"/>
      <c r="BOA84" s="37"/>
      <c r="BOB84" s="37"/>
      <c r="BOC84" s="38"/>
      <c r="BOD84" s="36"/>
      <c r="BOE84" s="65"/>
      <c r="BOF84" s="65"/>
      <c r="BOG84" s="65"/>
      <c r="BOH84" s="37"/>
      <c r="BOI84" s="133"/>
      <c r="BOJ84" s="37"/>
      <c r="BOK84" s="37"/>
      <c r="BOL84" s="37"/>
      <c r="BOM84" s="37"/>
      <c r="BON84" s="37"/>
      <c r="BOO84" s="138"/>
      <c r="BOP84" s="37"/>
      <c r="BOQ84" s="37"/>
      <c r="BOR84" s="37"/>
      <c r="BOS84" s="37"/>
      <c r="BOT84" s="37"/>
      <c r="BOU84" s="75"/>
      <c r="BOV84" s="37"/>
      <c r="BOW84" s="37"/>
      <c r="BOX84" s="37"/>
      <c r="BOY84" s="37"/>
      <c r="BOZ84" s="37"/>
      <c r="BPA84" s="138"/>
      <c r="BPB84" s="37"/>
      <c r="BPC84" s="37"/>
      <c r="BPD84" s="37"/>
      <c r="BPE84" s="37"/>
      <c r="BPF84" s="37"/>
      <c r="BPG84" s="75"/>
      <c r="BPH84" s="65"/>
      <c r="BPI84" s="65"/>
      <c r="BPJ84" s="65"/>
      <c r="BPK84" s="65"/>
      <c r="BPL84" s="37"/>
      <c r="BPM84" s="138"/>
      <c r="BPN84" s="37"/>
      <c r="BPO84" s="37"/>
      <c r="BPP84" s="37"/>
      <c r="BPQ84" s="37"/>
      <c r="BPR84" s="37"/>
      <c r="BPS84" s="75"/>
      <c r="BPT84" s="37"/>
      <c r="BPU84" s="37"/>
      <c r="BPV84" s="37"/>
      <c r="BPW84" s="37"/>
      <c r="BPX84" s="37"/>
      <c r="BPY84" s="138"/>
      <c r="BPZ84" s="37"/>
      <c r="BQA84" s="37"/>
      <c r="BQB84" s="37"/>
      <c r="BQC84" s="37"/>
      <c r="BQD84" s="37"/>
      <c r="BQE84" s="75"/>
      <c r="BQF84" s="37"/>
      <c r="BQG84" s="37"/>
      <c r="BQH84" s="37"/>
      <c r="BQI84" s="37"/>
      <c r="BQJ84" s="37"/>
      <c r="BQK84" s="38"/>
      <c r="BQL84" s="36"/>
      <c r="BQM84" s="65"/>
      <c r="BQN84" s="65"/>
      <c r="BQO84" s="65"/>
      <c r="BQP84" s="37"/>
      <c r="BQQ84" s="133"/>
      <c r="BQR84" s="37"/>
      <c r="BQS84" s="37"/>
      <c r="BQT84" s="37"/>
      <c r="BQU84" s="37"/>
      <c r="BQV84" s="37"/>
      <c r="BQW84" s="138"/>
      <c r="BQX84" s="37"/>
      <c r="BQY84" s="37"/>
      <c r="BQZ84" s="37"/>
      <c r="BRA84" s="37"/>
      <c r="BRB84" s="37"/>
      <c r="BRC84" s="75"/>
      <c r="BRD84" s="37"/>
      <c r="BRE84" s="37"/>
      <c r="BRF84" s="37"/>
      <c r="BRG84" s="37"/>
      <c r="BRH84" s="37"/>
      <c r="BRI84" s="138"/>
      <c r="BRJ84" s="37"/>
      <c r="BRK84" s="37"/>
      <c r="BRL84" s="37"/>
      <c r="BRM84" s="37"/>
      <c r="BRN84" s="37"/>
      <c r="BRO84" s="75"/>
      <c r="BRP84" s="65"/>
      <c r="BRQ84" s="65"/>
      <c r="BRR84" s="65"/>
      <c r="BRS84" s="65"/>
      <c r="BRT84" s="37"/>
      <c r="BRU84" s="138"/>
      <c r="BRV84" s="37"/>
      <c r="BRW84" s="37"/>
      <c r="BRX84" s="37"/>
      <c r="BRY84" s="37"/>
      <c r="BRZ84" s="37"/>
      <c r="BSA84" s="75"/>
      <c r="BSB84" s="37"/>
      <c r="BSC84" s="37"/>
      <c r="BSD84" s="37"/>
      <c r="BSE84" s="37"/>
      <c r="BSF84" s="37"/>
      <c r="BSG84" s="138"/>
      <c r="BSH84" s="37"/>
      <c r="BSI84" s="37"/>
      <c r="BSJ84" s="37"/>
      <c r="BSK84" s="37"/>
      <c r="BSL84" s="37"/>
      <c r="BSM84" s="75"/>
      <c r="BSN84" s="37"/>
      <c r="BSO84" s="37"/>
      <c r="BSP84" s="37"/>
      <c r="BSQ84" s="37"/>
      <c r="BSR84" s="37"/>
      <c r="BSS84" s="38"/>
      <c r="BST84" s="36"/>
      <c r="BSU84" s="65"/>
      <c r="BSV84" s="65"/>
      <c r="BSW84" s="65"/>
      <c r="BSX84" s="37"/>
      <c r="BSY84" s="133"/>
      <c r="BSZ84" s="37"/>
      <c r="BTA84" s="37"/>
      <c r="BTB84" s="37"/>
      <c r="BTC84" s="37"/>
      <c r="BTD84" s="37"/>
      <c r="BTE84" s="138"/>
      <c r="BTF84" s="37"/>
      <c r="BTG84" s="37"/>
      <c r="BTH84" s="37"/>
      <c r="BTI84" s="37"/>
      <c r="BTJ84" s="37"/>
      <c r="BTK84" s="75"/>
      <c r="BTL84" s="37"/>
      <c r="BTM84" s="37"/>
      <c r="BTN84" s="37"/>
      <c r="BTO84" s="37"/>
      <c r="BTP84" s="37"/>
      <c r="BTQ84" s="138"/>
      <c r="BTR84" s="37"/>
      <c r="BTS84" s="37"/>
      <c r="BTT84" s="37"/>
      <c r="BTU84" s="37"/>
      <c r="BTV84" s="37"/>
      <c r="BTW84" s="75"/>
      <c r="BTX84" s="65"/>
      <c r="BTY84" s="65"/>
      <c r="BTZ84" s="65"/>
      <c r="BUA84" s="65"/>
      <c r="BUB84" s="37"/>
      <c r="BUC84" s="138"/>
      <c r="BUD84" s="37"/>
      <c r="BUE84" s="37"/>
      <c r="BUF84" s="37"/>
      <c r="BUG84" s="37"/>
      <c r="BUH84" s="37"/>
      <c r="BUI84" s="75"/>
      <c r="BUJ84" s="37"/>
      <c r="BUK84" s="37"/>
      <c r="BUL84" s="37"/>
      <c r="BUM84" s="37"/>
      <c r="BUN84" s="37"/>
      <c r="BUO84" s="138"/>
      <c r="BUP84" s="37"/>
      <c r="BUQ84" s="37"/>
      <c r="BUR84" s="37"/>
      <c r="BUS84" s="37"/>
      <c r="BUT84" s="37"/>
      <c r="BUU84" s="75"/>
      <c r="BUV84" s="37"/>
      <c r="BUW84" s="37"/>
      <c r="BUX84" s="37"/>
      <c r="BUY84" s="37"/>
      <c r="BUZ84" s="37"/>
      <c r="BVA84" s="38"/>
      <c r="BVB84" s="36"/>
      <c r="BVC84" s="65"/>
      <c r="BVD84" s="65"/>
      <c r="BVE84" s="65"/>
      <c r="BVF84" s="37"/>
      <c r="BVG84" s="133"/>
      <c r="BVH84" s="37"/>
      <c r="BVI84" s="37"/>
      <c r="BVJ84" s="37"/>
      <c r="BVK84" s="37"/>
      <c r="BVL84" s="37"/>
      <c r="BVM84" s="138"/>
      <c r="BVN84" s="37"/>
      <c r="BVO84" s="37"/>
      <c r="BVP84" s="37"/>
      <c r="BVQ84" s="37"/>
      <c r="BVR84" s="37"/>
      <c r="BVS84" s="75"/>
      <c r="BVT84" s="37"/>
      <c r="BVU84" s="37"/>
      <c r="BVV84" s="37"/>
      <c r="BVW84" s="37"/>
      <c r="BVX84" s="37"/>
      <c r="BVY84" s="138"/>
      <c r="BVZ84" s="37"/>
      <c r="BWA84" s="37"/>
      <c r="BWB84" s="37"/>
      <c r="BWC84" s="37"/>
      <c r="BWD84" s="37"/>
      <c r="BWE84" s="75"/>
      <c r="BWF84" s="65"/>
      <c r="BWG84" s="65"/>
      <c r="BWH84" s="65"/>
      <c r="BWI84" s="65"/>
      <c r="BWJ84" s="37"/>
      <c r="BWK84" s="138"/>
      <c r="BWL84" s="37"/>
      <c r="BWM84" s="37"/>
      <c r="BWN84" s="37"/>
      <c r="BWO84" s="37"/>
      <c r="BWP84" s="37"/>
      <c r="BWQ84" s="75"/>
      <c r="BWR84" s="37"/>
      <c r="BWS84" s="37"/>
      <c r="BWT84" s="37"/>
      <c r="BWU84" s="37"/>
      <c r="BWV84" s="37"/>
      <c r="BWW84" s="138"/>
      <c r="BWX84" s="37"/>
      <c r="BWY84" s="37"/>
      <c r="BWZ84" s="37"/>
      <c r="BXA84" s="37"/>
      <c r="BXB84" s="37"/>
      <c r="BXC84" s="75"/>
      <c r="BXD84" s="37"/>
      <c r="BXE84" s="37"/>
      <c r="BXF84" s="37"/>
      <c r="BXG84" s="37"/>
      <c r="BXH84" s="37"/>
      <c r="BXI84" s="38"/>
      <c r="BXJ84" s="36"/>
      <c r="BXK84" s="65"/>
      <c r="BXL84" s="65"/>
      <c r="BXM84" s="65"/>
      <c r="BXN84" s="37"/>
      <c r="BXO84" s="133"/>
      <c r="BXP84" s="37"/>
      <c r="BXQ84" s="37"/>
      <c r="BXR84" s="37"/>
      <c r="BXS84" s="37"/>
      <c r="BXT84" s="37"/>
      <c r="BXU84" s="138"/>
      <c r="BXV84" s="37"/>
      <c r="BXW84" s="37"/>
      <c r="BXX84" s="37"/>
      <c r="BXY84" s="37"/>
      <c r="BXZ84" s="37"/>
      <c r="BYA84" s="75"/>
      <c r="BYB84" s="37"/>
      <c r="BYC84" s="37"/>
      <c r="BYD84" s="37"/>
      <c r="BYE84" s="37"/>
      <c r="BYF84" s="37"/>
      <c r="BYG84" s="138"/>
      <c r="BYH84" s="37"/>
      <c r="BYI84" s="37"/>
      <c r="BYJ84" s="37"/>
      <c r="BYK84" s="37"/>
      <c r="BYL84" s="37"/>
      <c r="BYM84" s="75"/>
      <c r="BYN84" s="65"/>
      <c r="BYO84" s="65"/>
      <c r="BYP84" s="65"/>
      <c r="BYQ84" s="65"/>
      <c r="BYR84" s="37"/>
      <c r="BYS84" s="138"/>
      <c r="BYT84" s="37"/>
      <c r="BYU84" s="37"/>
      <c r="BYV84" s="37"/>
      <c r="BYW84" s="37"/>
      <c r="BYX84" s="37"/>
      <c r="BYY84" s="75"/>
      <c r="BYZ84" s="37"/>
      <c r="BZA84" s="37"/>
      <c r="BZB84" s="37"/>
      <c r="BZC84" s="37"/>
      <c r="BZD84" s="37"/>
      <c r="BZE84" s="138"/>
      <c r="BZF84" s="37"/>
      <c r="BZG84" s="37"/>
      <c r="BZH84" s="37"/>
      <c r="BZI84" s="37"/>
      <c r="BZJ84" s="37"/>
      <c r="BZK84" s="75"/>
      <c r="BZL84" s="37"/>
      <c r="BZM84" s="37"/>
      <c r="BZN84" s="37"/>
      <c r="BZO84" s="37"/>
      <c r="BZP84" s="37"/>
      <c r="BZQ84" s="38"/>
      <c r="BZR84" s="36"/>
      <c r="BZS84" s="65"/>
      <c r="BZT84" s="65"/>
      <c r="BZU84" s="65"/>
      <c r="BZV84" s="37"/>
      <c r="BZW84" s="133"/>
      <c r="BZX84" s="37"/>
      <c r="BZY84" s="37"/>
      <c r="BZZ84" s="37"/>
      <c r="CAA84" s="37"/>
      <c r="CAB84" s="37"/>
      <c r="CAC84" s="138"/>
      <c r="CAD84" s="37"/>
      <c r="CAE84" s="37"/>
      <c r="CAF84" s="37"/>
      <c r="CAG84" s="37"/>
      <c r="CAH84" s="37"/>
      <c r="CAI84" s="75"/>
      <c r="CAJ84" s="37"/>
      <c r="CAK84" s="37"/>
      <c r="CAL84" s="37"/>
      <c r="CAM84" s="37"/>
      <c r="CAN84" s="37"/>
      <c r="CAO84" s="138"/>
      <c r="CAP84" s="37"/>
      <c r="CAQ84" s="37"/>
      <c r="CAR84" s="37"/>
      <c r="CAS84" s="37"/>
      <c r="CAT84" s="37"/>
      <c r="CAU84" s="75"/>
      <c r="CAV84" s="65"/>
      <c r="CAW84" s="65"/>
      <c r="CAX84" s="65"/>
      <c r="CAY84" s="65"/>
      <c r="CAZ84" s="37"/>
      <c r="CBA84" s="138"/>
      <c r="CBB84" s="37"/>
      <c r="CBC84" s="37"/>
      <c r="CBD84" s="37"/>
      <c r="CBE84" s="37"/>
      <c r="CBF84" s="37"/>
      <c r="CBG84" s="75"/>
      <c r="CBH84" s="37"/>
      <c r="CBI84" s="37"/>
      <c r="CBJ84" s="37"/>
      <c r="CBK84" s="37"/>
      <c r="CBL84" s="37"/>
      <c r="CBM84" s="138"/>
      <c r="CBN84" s="37"/>
      <c r="CBO84" s="37"/>
      <c r="CBP84" s="37"/>
      <c r="CBQ84" s="37"/>
      <c r="CBR84" s="37"/>
      <c r="CBS84" s="75"/>
      <c r="CBT84" s="37"/>
      <c r="CBU84" s="37"/>
      <c r="CBV84" s="37"/>
      <c r="CBW84" s="37"/>
      <c r="CBX84" s="37"/>
      <c r="CBY84" s="38"/>
      <c r="CBZ84" s="90"/>
    </row>
    <row r="85" spans="1:2106" ht="20.100000000000001" customHeight="1" x14ac:dyDescent="0.25">
      <c r="A85" s="100" t="s">
        <v>22</v>
      </c>
      <c r="B85" s="63"/>
      <c r="C85" s="170"/>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40"/>
      <c r="BLW85" s="66"/>
      <c r="BLX85" s="66"/>
      <c r="BLY85" s="66"/>
      <c r="BLZ85" s="41"/>
      <c r="BMA85" s="134"/>
      <c r="BMB85" s="41"/>
      <c r="BMC85" s="41"/>
      <c r="BMD85" s="41"/>
      <c r="BME85" s="41"/>
      <c r="BMF85" s="41"/>
      <c r="BMG85" s="139"/>
      <c r="BMH85" s="41"/>
      <c r="BMI85" s="41"/>
      <c r="BMJ85" s="41"/>
      <c r="BMK85" s="41"/>
      <c r="BML85" s="41"/>
      <c r="BMM85" s="76"/>
      <c r="BMN85" s="41"/>
      <c r="BMO85" s="41"/>
      <c r="BMP85" s="41"/>
      <c r="BMQ85" s="41"/>
      <c r="BMR85" s="41"/>
      <c r="BMS85" s="139"/>
      <c r="BMT85" s="41"/>
      <c r="BMU85" s="41"/>
      <c r="BMV85" s="41"/>
      <c r="BMW85" s="41"/>
      <c r="BMX85" s="41"/>
      <c r="BMY85" s="76"/>
      <c r="BMZ85" s="66"/>
      <c r="BNA85" s="66"/>
      <c r="BNB85" s="66"/>
      <c r="BNC85" s="66"/>
      <c r="BND85" s="41"/>
      <c r="BNE85" s="139"/>
      <c r="BNF85" s="41"/>
      <c r="BNG85" s="41"/>
      <c r="BNH85" s="41"/>
      <c r="BNI85" s="41"/>
      <c r="BNJ85" s="41"/>
      <c r="BNK85" s="76"/>
      <c r="BNL85" s="41"/>
      <c r="BNM85" s="41"/>
      <c r="BNN85" s="41"/>
      <c r="BNO85" s="41"/>
      <c r="BNP85" s="41"/>
      <c r="BNQ85" s="139"/>
      <c r="BNR85" s="41"/>
      <c r="BNS85" s="41"/>
      <c r="BNT85" s="41"/>
      <c r="BNU85" s="41"/>
      <c r="BNV85" s="41"/>
      <c r="BNW85" s="76"/>
      <c r="BNX85" s="41"/>
      <c r="BNY85" s="41"/>
      <c r="BNZ85" s="41"/>
      <c r="BOA85" s="41"/>
      <c r="BOB85" s="41"/>
      <c r="BOC85" s="42"/>
      <c r="BOD85" s="40"/>
      <c r="BOE85" s="66"/>
      <c r="BOF85" s="66"/>
      <c r="BOG85" s="66"/>
      <c r="BOH85" s="41"/>
      <c r="BOI85" s="134"/>
      <c r="BOJ85" s="41"/>
      <c r="BOK85" s="41"/>
      <c r="BOL85" s="41"/>
      <c r="BOM85" s="41"/>
      <c r="BON85" s="41"/>
      <c r="BOO85" s="139"/>
      <c r="BOP85" s="41"/>
      <c r="BOQ85" s="41"/>
      <c r="BOR85" s="41"/>
      <c r="BOS85" s="41"/>
      <c r="BOT85" s="41"/>
      <c r="BOU85" s="76"/>
      <c r="BOV85" s="41"/>
      <c r="BOW85" s="41"/>
      <c r="BOX85" s="41"/>
      <c r="BOY85" s="41"/>
      <c r="BOZ85" s="41"/>
      <c r="BPA85" s="139"/>
      <c r="BPB85" s="41"/>
      <c r="BPC85" s="41"/>
      <c r="BPD85" s="41"/>
      <c r="BPE85" s="41"/>
      <c r="BPF85" s="41"/>
      <c r="BPG85" s="76"/>
      <c r="BPH85" s="66"/>
      <c r="BPI85" s="66"/>
      <c r="BPJ85" s="66"/>
      <c r="BPK85" s="66"/>
      <c r="BPL85" s="41"/>
      <c r="BPM85" s="139"/>
      <c r="BPN85" s="41"/>
      <c r="BPO85" s="41"/>
      <c r="BPP85" s="41"/>
      <c r="BPQ85" s="41"/>
      <c r="BPR85" s="41"/>
      <c r="BPS85" s="76"/>
      <c r="BPT85" s="41"/>
      <c r="BPU85" s="41"/>
      <c r="BPV85" s="41"/>
      <c r="BPW85" s="41"/>
      <c r="BPX85" s="41"/>
      <c r="BPY85" s="139"/>
      <c r="BPZ85" s="41"/>
      <c r="BQA85" s="41"/>
      <c r="BQB85" s="41"/>
      <c r="BQC85" s="41"/>
      <c r="BQD85" s="41"/>
      <c r="BQE85" s="76"/>
      <c r="BQF85" s="41"/>
      <c r="BQG85" s="41"/>
      <c r="BQH85" s="41"/>
      <c r="BQI85" s="41"/>
      <c r="BQJ85" s="41"/>
      <c r="BQK85" s="42"/>
      <c r="BQL85" s="40"/>
      <c r="BQM85" s="66"/>
      <c r="BQN85" s="66"/>
      <c r="BQO85" s="66"/>
      <c r="BQP85" s="41"/>
      <c r="BQQ85" s="134"/>
      <c r="BQR85" s="41"/>
      <c r="BQS85" s="41"/>
      <c r="BQT85" s="41"/>
      <c r="BQU85" s="41"/>
      <c r="BQV85" s="41"/>
      <c r="BQW85" s="139"/>
      <c r="BQX85" s="41"/>
      <c r="BQY85" s="41"/>
      <c r="BQZ85" s="41"/>
      <c r="BRA85" s="41"/>
      <c r="BRB85" s="41"/>
      <c r="BRC85" s="76"/>
      <c r="BRD85" s="41"/>
      <c r="BRE85" s="41"/>
      <c r="BRF85" s="41"/>
      <c r="BRG85" s="41"/>
      <c r="BRH85" s="41"/>
      <c r="BRI85" s="139"/>
      <c r="BRJ85" s="41"/>
      <c r="BRK85" s="41"/>
      <c r="BRL85" s="41"/>
      <c r="BRM85" s="41"/>
      <c r="BRN85" s="41"/>
      <c r="BRO85" s="76"/>
      <c r="BRP85" s="66"/>
      <c r="BRQ85" s="66"/>
      <c r="BRR85" s="66"/>
      <c r="BRS85" s="66"/>
      <c r="BRT85" s="41"/>
      <c r="BRU85" s="139"/>
      <c r="BRV85" s="41"/>
      <c r="BRW85" s="41"/>
      <c r="BRX85" s="41"/>
      <c r="BRY85" s="41"/>
      <c r="BRZ85" s="41"/>
      <c r="BSA85" s="76"/>
      <c r="BSB85" s="41"/>
      <c r="BSC85" s="41"/>
      <c r="BSD85" s="41"/>
      <c r="BSE85" s="41"/>
      <c r="BSF85" s="41"/>
      <c r="BSG85" s="139"/>
      <c r="BSH85" s="41"/>
      <c r="BSI85" s="41"/>
      <c r="BSJ85" s="41"/>
      <c r="BSK85" s="41"/>
      <c r="BSL85" s="41"/>
      <c r="BSM85" s="76"/>
      <c r="BSN85" s="41"/>
      <c r="BSO85" s="41"/>
      <c r="BSP85" s="41"/>
      <c r="BSQ85" s="41"/>
      <c r="BSR85" s="41"/>
      <c r="BSS85" s="42"/>
      <c r="BST85" s="40"/>
      <c r="BSU85" s="66"/>
      <c r="BSV85" s="66"/>
      <c r="BSW85" s="66"/>
      <c r="BSX85" s="41"/>
      <c r="BSY85" s="134"/>
      <c r="BSZ85" s="41"/>
      <c r="BTA85" s="41"/>
      <c r="BTB85" s="41"/>
      <c r="BTC85" s="41"/>
      <c r="BTD85" s="41"/>
      <c r="BTE85" s="139"/>
      <c r="BTF85" s="41"/>
      <c r="BTG85" s="41"/>
      <c r="BTH85" s="41"/>
      <c r="BTI85" s="41"/>
      <c r="BTJ85" s="41"/>
      <c r="BTK85" s="76"/>
      <c r="BTL85" s="41"/>
      <c r="BTM85" s="41"/>
      <c r="BTN85" s="41"/>
      <c r="BTO85" s="41"/>
      <c r="BTP85" s="41"/>
      <c r="BTQ85" s="139"/>
      <c r="BTR85" s="41"/>
      <c r="BTS85" s="41"/>
      <c r="BTT85" s="41"/>
      <c r="BTU85" s="41"/>
      <c r="BTV85" s="41"/>
      <c r="BTW85" s="76"/>
      <c r="BTX85" s="66"/>
      <c r="BTY85" s="66"/>
      <c r="BTZ85" s="66"/>
      <c r="BUA85" s="66"/>
      <c r="BUB85" s="41"/>
      <c r="BUC85" s="139"/>
      <c r="BUD85" s="41"/>
      <c r="BUE85" s="41"/>
      <c r="BUF85" s="41"/>
      <c r="BUG85" s="41"/>
      <c r="BUH85" s="41"/>
      <c r="BUI85" s="76"/>
      <c r="BUJ85" s="41"/>
      <c r="BUK85" s="41"/>
      <c r="BUL85" s="41"/>
      <c r="BUM85" s="41"/>
      <c r="BUN85" s="41"/>
      <c r="BUO85" s="139"/>
      <c r="BUP85" s="41"/>
      <c r="BUQ85" s="41"/>
      <c r="BUR85" s="41"/>
      <c r="BUS85" s="41"/>
      <c r="BUT85" s="41"/>
      <c r="BUU85" s="76"/>
      <c r="BUV85" s="41"/>
      <c r="BUW85" s="41"/>
      <c r="BUX85" s="41"/>
      <c r="BUY85" s="41"/>
      <c r="BUZ85" s="41"/>
      <c r="BVA85" s="42"/>
      <c r="BVB85" s="40"/>
      <c r="BVC85" s="66"/>
      <c r="BVD85" s="66"/>
      <c r="BVE85" s="66"/>
      <c r="BVF85" s="41"/>
      <c r="BVG85" s="134"/>
      <c r="BVH85" s="41"/>
      <c r="BVI85" s="41"/>
      <c r="BVJ85" s="41"/>
      <c r="BVK85" s="41"/>
      <c r="BVL85" s="41"/>
      <c r="BVM85" s="139"/>
      <c r="BVN85" s="41"/>
      <c r="BVO85" s="41"/>
      <c r="BVP85" s="41"/>
      <c r="BVQ85" s="41"/>
      <c r="BVR85" s="41"/>
      <c r="BVS85" s="76"/>
      <c r="BVT85" s="41"/>
      <c r="BVU85" s="41"/>
      <c r="BVV85" s="41"/>
      <c r="BVW85" s="41"/>
      <c r="BVX85" s="41"/>
      <c r="BVY85" s="139"/>
      <c r="BVZ85" s="41"/>
      <c r="BWA85" s="41"/>
      <c r="BWB85" s="41"/>
      <c r="BWC85" s="41"/>
      <c r="BWD85" s="41"/>
      <c r="BWE85" s="76"/>
      <c r="BWF85" s="66"/>
      <c r="BWG85" s="66"/>
      <c r="BWH85" s="66"/>
      <c r="BWI85" s="66"/>
      <c r="BWJ85" s="41"/>
      <c r="BWK85" s="139"/>
      <c r="BWL85" s="41"/>
      <c r="BWM85" s="41"/>
      <c r="BWN85" s="41"/>
      <c r="BWO85" s="41"/>
      <c r="BWP85" s="41"/>
      <c r="BWQ85" s="76"/>
      <c r="BWR85" s="41"/>
      <c r="BWS85" s="41"/>
      <c r="BWT85" s="41"/>
      <c r="BWU85" s="41"/>
      <c r="BWV85" s="41"/>
      <c r="BWW85" s="139"/>
      <c r="BWX85" s="41"/>
      <c r="BWY85" s="41"/>
      <c r="BWZ85" s="41"/>
      <c r="BXA85" s="41"/>
      <c r="BXB85" s="41"/>
      <c r="BXC85" s="76"/>
      <c r="BXD85" s="41"/>
      <c r="BXE85" s="41"/>
      <c r="BXF85" s="41"/>
      <c r="BXG85" s="41"/>
      <c r="BXH85" s="41"/>
      <c r="BXI85" s="42"/>
      <c r="BXJ85" s="40"/>
      <c r="BXK85" s="66"/>
      <c r="BXL85" s="66"/>
      <c r="BXM85" s="66"/>
      <c r="BXN85" s="41"/>
      <c r="BXO85" s="134"/>
      <c r="BXP85" s="41"/>
      <c r="BXQ85" s="41"/>
      <c r="BXR85" s="41"/>
      <c r="BXS85" s="41"/>
      <c r="BXT85" s="41"/>
      <c r="BXU85" s="139"/>
      <c r="BXV85" s="41"/>
      <c r="BXW85" s="41"/>
      <c r="BXX85" s="41"/>
      <c r="BXY85" s="41"/>
      <c r="BXZ85" s="41"/>
      <c r="BYA85" s="76"/>
      <c r="BYB85" s="41"/>
      <c r="BYC85" s="41"/>
      <c r="BYD85" s="41"/>
      <c r="BYE85" s="41"/>
      <c r="BYF85" s="41"/>
      <c r="BYG85" s="139"/>
      <c r="BYH85" s="41"/>
      <c r="BYI85" s="41"/>
      <c r="BYJ85" s="41"/>
      <c r="BYK85" s="41"/>
      <c r="BYL85" s="41"/>
      <c r="BYM85" s="76"/>
      <c r="BYN85" s="66"/>
      <c r="BYO85" s="66"/>
      <c r="BYP85" s="66"/>
      <c r="BYQ85" s="66"/>
      <c r="BYR85" s="41"/>
      <c r="BYS85" s="139"/>
      <c r="BYT85" s="41"/>
      <c r="BYU85" s="41"/>
      <c r="BYV85" s="41"/>
      <c r="BYW85" s="41"/>
      <c r="BYX85" s="41"/>
      <c r="BYY85" s="76"/>
      <c r="BYZ85" s="41"/>
      <c r="BZA85" s="41"/>
      <c r="BZB85" s="41"/>
      <c r="BZC85" s="41"/>
      <c r="BZD85" s="41"/>
      <c r="BZE85" s="139"/>
      <c r="BZF85" s="41"/>
      <c r="BZG85" s="41"/>
      <c r="BZH85" s="41"/>
      <c r="BZI85" s="41"/>
      <c r="BZJ85" s="41"/>
      <c r="BZK85" s="76"/>
      <c r="BZL85" s="41"/>
      <c r="BZM85" s="41"/>
      <c r="BZN85" s="41"/>
      <c r="BZO85" s="41"/>
      <c r="BZP85" s="41"/>
      <c r="BZQ85" s="42"/>
      <c r="BZR85" s="40"/>
      <c r="BZS85" s="66"/>
      <c r="BZT85" s="66"/>
      <c r="BZU85" s="66"/>
      <c r="BZV85" s="41"/>
      <c r="BZW85" s="134"/>
      <c r="BZX85" s="41"/>
      <c r="BZY85" s="41"/>
      <c r="BZZ85" s="41"/>
      <c r="CAA85" s="41"/>
      <c r="CAB85" s="41"/>
      <c r="CAC85" s="139"/>
      <c r="CAD85" s="41"/>
      <c r="CAE85" s="41"/>
      <c r="CAF85" s="41"/>
      <c r="CAG85" s="41"/>
      <c r="CAH85" s="41"/>
      <c r="CAI85" s="76"/>
      <c r="CAJ85" s="41"/>
      <c r="CAK85" s="41"/>
      <c r="CAL85" s="41"/>
      <c r="CAM85" s="41"/>
      <c r="CAN85" s="41"/>
      <c r="CAO85" s="139"/>
      <c r="CAP85" s="41"/>
      <c r="CAQ85" s="41"/>
      <c r="CAR85" s="41"/>
      <c r="CAS85" s="41"/>
      <c r="CAT85" s="41"/>
      <c r="CAU85" s="76"/>
      <c r="CAV85" s="66"/>
      <c r="CAW85" s="66"/>
      <c r="CAX85" s="66"/>
      <c r="CAY85" s="66"/>
      <c r="CAZ85" s="41"/>
      <c r="CBA85" s="139"/>
      <c r="CBB85" s="41"/>
      <c r="CBC85" s="41"/>
      <c r="CBD85" s="41"/>
      <c r="CBE85" s="41"/>
      <c r="CBF85" s="41"/>
      <c r="CBG85" s="76"/>
      <c r="CBH85" s="41"/>
      <c r="CBI85" s="41"/>
      <c r="CBJ85" s="41"/>
      <c r="CBK85" s="41"/>
      <c r="CBL85" s="41"/>
      <c r="CBM85" s="139"/>
      <c r="CBN85" s="41"/>
      <c r="CBO85" s="41"/>
      <c r="CBP85" s="41"/>
      <c r="CBQ85" s="41"/>
      <c r="CBR85" s="41"/>
      <c r="CBS85" s="76"/>
      <c r="CBT85" s="41"/>
      <c r="CBU85" s="41"/>
      <c r="CBV85" s="41"/>
      <c r="CBW85" s="41"/>
      <c r="CBX85" s="41"/>
      <c r="CBY85" s="42"/>
      <c r="CBZ85" s="90"/>
    </row>
    <row r="86" spans="1:2106" ht="20.100000000000001" customHeight="1" x14ac:dyDescent="0.3">
      <c r="A86" s="100" t="s">
        <v>23</v>
      </c>
      <c r="B86" s="63"/>
      <c r="C86" s="171"/>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28"/>
      <c r="BLW86" s="67"/>
      <c r="BLX86" s="67"/>
      <c r="BLY86" s="67"/>
      <c r="BLZ86" s="29"/>
      <c r="BMA86" s="131"/>
      <c r="BMB86" s="29"/>
      <c r="BMC86" s="29"/>
      <c r="BMD86" s="29"/>
      <c r="BME86" s="29"/>
      <c r="BMF86" s="29"/>
      <c r="BMG86" s="136"/>
      <c r="BMH86" s="29"/>
      <c r="BMI86" s="29"/>
      <c r="BMJ86" s="29"/>
      <c r="BMK86" s="29"/>
      <c r="BML86" s="29"/>
      <c r="BMM86" s="73"/>
      <c r="BMN86" s="29"/>
      <c r="BMO86" s="29"/>
      <c r="BMP86" s="29"/>
      <c r="BMQ86" s="29"/>
      <c r="BMR86" s="29"/>
      <c r="BMS86" s="136"/>
      <c r="BMT86" s="29"/>
      <c r="BMU86" s="29"/>
      <c r="BMV86" s="29"/>
      <c r="BMW86" s="29"/>
      <c r="BMX86" s="29"/>
      <c r="BMY86" s="73"/>
      <c r="BMZ86" s="67"/>
      <c r="BNA86" s="67"/>
      <c r="BNB86" s="67"/>
      <c r="BNC86" s="67"/>
      <c r="BND86" s="29"/>
      <c r="BNE86" s="136"/>
      <c r="BNF86" s="29"/>
      <c r="BNG86" s="29"/>
      <c r="BNH86" s="29"/>
      <c r="BNI86" s="29"/>
      <c r="BNJ86" s="29"/>
      <c r="BNK86" s="73"/>
      <c r="BNL86" s="29"/>
      <c r="BNM86" s="29"/>
      <c r="BNN86" s="29"/>
      <c r="BNO86" s="29"/>
      <c r="BNP86" s="29"/>
      <c r="BNQ86" s="136"/>
      <c r="BNR86" s="29"/>
      <c r="BNS86" s="29"/>
      <c r="BNT86" s="29"/>
      <c r="BNU86" s="29"/>
      <c r="BNV86" s="29"/>
      <c r="BNW86" s="73"/>
      <c r="BNX86" s="29"/>
      <c r="BNY86" s="29"/>
      <c r="BNZ86" s="29"/>
      <c r="BOA86" s="29"/>
      <c r="BOB86" s="29"/>
      <c r="BOC86" s="30"/>
      <c r="BOD86" s="28"/>
      <c r="BOE86" s="67"/>
      <c r="BOF86" s="67"/>
      <c r="BOG86" s="67"/>
      <c r="BOH86" s="29"/>
      <c r="BOI86" s="131"/>
      <c r="BOJ86" s="29"/>
      <c r="BOK86" s="29"/>
      <c r="BOL86" s="29"/>
      <c r="BOM86" s="29"/>
      <c r="BON86" s="29"/>
      <c r="BOO86" s="136"/>
      <c r="BOP86" s="29"/>
      <c r="BOQ86" s="29"/>
      <c r="BOR86" s="29"/>
      <c r="BOS86" s="29"/>
      <c r="BOT86" s="29"/>
      <c r="BOU86" s="73"/>
      <c r="BOV86" s="29"/>
      <c r="BOW86" s="29"/>
      <c r="BOX86" s="29"/>
      <c r="BOY86" s="29"/>
      <c r="BOZ86" s="29"/>
      <c r="BPA86" s="136"/>
      <c r="BPB86" s="29"/>
      <c r="BPC86" s="29"/>
      <c r="BPD86" s="29"/>
      <c r="BPE86" s="29"/>
      <c r="BPF86" s="29"/>
      <c r="BPG86" s="73"/>
      <c r="BPH86" s="67"/>
      <c r="BPI86" s="67"/>
      <c r="BPJ86" s="67"/>
      <c r="BPK86" s="67"/>
      <c r="BPL86" s="29"/>
      <c r="BPM86" s="136"/>
      <c r="BPN86" s="29"/>
      <c r="BPO86" s="29"/>
      <c r="BPP86" s="29"/>
      <c r="BPQ86" s="29"/>
      <c r="BPR86" s="29"/>
      <c r="BPS86" s="73"/>
      <c r="BPT86" s="29"/>
      <c r="BPU86" s="29"/>
      <c r="BPV86" s="29"/>
      <c r="BPW86" s="29"/>
      <c r="BPX86" s="29"/>
      <c r="BPY86" s="136"/>
      <c r="BPZ86" s="29"/>
      <c r="BQA86" s="29"/>
      <c r="BQB86" s="29"/>
      <c r="BQC86" s="29"/>
      <c r="BQD86" s="29"/>
      <c r="BQE86" s="73"/>
      <c r="BQF86" s="29"/>
      <c r="BQG86" s="29"/>
      <c r="BQH86" s="29"/>
      <c r="BQI86" s="29"/>
      <c r="BQJ86" s="29"/>
      <c r="BQK86" s="30"/>
      <c r="BQL86" s="28"/>
      <c r="BQM86" s="67"/>
      <c r="BQN86" s="67"/>
      <c r="BQO86" s="67"/>
      <c r="BQP86" s="29"/>
      <c r="BQQ86" s="131"/>
      <c r="BQR86" s="29"/>
      <c r="BQS86" s="29"/>
      <c r="BQT86" s="29"/>
      <c r="BQU86" s="29"/>
      <c r="BQV86" s="29"/>
      <c r="BQW86" s="136"/>
      <c r="BQX86" s="29"/>
      <c r="BQY86" s="29"/>
      <c r="BQZ86" s="29"/>
      <c r="BRA86" s="29"/>
      <c r="BRB86" s="29"/>
      <c r="BRC86" s="73"/>
      <c r="BRD86" s="29"/>
      <c r="BRE86" s="29"/>
      <c r="BRF86" s="29"/>
      <c r="BRG86" s="29"/>
      <c r="BRH86" s="29"/>
      <c r="BRI86" s="136"/>
      <c r="BRJ86" s="29"/>
      <c r="BRK86" s="29"/>
      <c r="BRL86" s="29"/>
      <c r="BRM86" s="29"/>
      <c r="BRN86" s="29"/>
      <c r="BRO86" s="73"/>
      <c r="BRP86" s="67"/>
      <c r="BRQ86" s="67"/>
      <c r="BRR86" s="67"/>
      <c r="BRS86" s="67"/>
      <c r="BRT86" s="29"/>
      <c r="BRU86" s="136"/>
      <c r="BRV86" s="29"/>
      <c r="BRW86" s="29"/>
      <c r="BRX86" s="29"/>
      <c r="BRY86" s="29"/>
      <c r="BRZ86" s="29"/>
      <c r="BSA86" s="73"/>
      <c r="BSB86" s="29"/>
      <c r="BSC86" s="29"/>
      <c r="BSD86" s="29"/>
      <c r="BSE86" s="29"/>
      <c r="BSF86" s="29"/>
      <c r="BSG86" s="136"/>
      <c r="BSH86" s="29"/>
      <c r="BSI86" s="29"/>
      <c r="BSJ86" s="29"/>
      <c r="BSK86" s="29"/>
      <c r="BSL86" s="29"/>
      <c r="BSM86" s="73"/>
      <c r="BSN86" s="29"/>
      <c r="BSO86" s="29"/>
      <c r="BSP86" s="29"/>
      <c r="BSQ86" s="29"/>
      <c r="BSR86" s="29"/>
      <c r="BSS86" s="30"/>
      <c r="BST86" s="28"/>
      <c r="BSU86" s="67"/>
      <c r="BSV86" s="67"/>
      <c r="BSW86" s="67"/>
      <c r="BSX86" s="29"/>
      <c r="BSY86" s="131"/>
      <c r="BSZ86" s="29"/>
      <c r="BTA86" s="29"/>
      <c r="BTB86" s="29"/>
      <c r="BTC86" s="29"/>
      <c r="BTD86" s="29"/>
      <c r="BTE86" s="136"/>
      <c r="BTF86" s="29"/>
      <c r="BTG86" s="29"/>
      <c r="BTH86" s="29"/>
      <c r="BTI86" s="29"/>
      <c r="BTJ86" s="29"/>
      <c r="BTK86" s="73"/>
      <c r="BTL86" s="29"/>
      <c r="BTM86" s="29"/>
      <c r="BTN86" s="29"/>
      <c r="BTO86" s="29"/>
      <c r="BTP86" s="29"/>
      <c r="BTQ86" s="136"/>
      <c r="BTR86" s="29"/>
      <c r="BTS86" s="29"/>
      <c r="BTT86" s="29"/>
      <c r="BTU86" s="29"/>
      <c r="BTV86" s="29"/>
      <c r="BTW86" s="73"/>
      <c r="BTX86" s="67"/>
      <c r="BTY86" s="67"/>
      <c r="BTZ86" s="67"/>
      <c r="BUA86" s="67"/>
      <c r="BUB86" s="29"/>
      <c r="BUC86" s="136"/>
      <c r="BUD86" s="29"/>
      <c r="BUE86" s="29"/>
      <c r="BUF86" s="29"/>
      <c r="BUG86" s="29"/>
      <c r="BUH86" s="29"/>
      <c r="BUI86" s="73"/>
      <c r="BUJ86" s="29"/>
      <c r="BUK86" s="29"/>
      <c r="BUL86" s="29"/>
      <c r="BUM86" s="29"/>
      <c r="BUN86" s="29"/>
      <c r="BUO86" s="136"/>
      <c r="BUP86" s="29"/>
      <c r="BUQ86" s="29"/>
      <c r="BUR86" s="29"/>
      <c r="BUS86" s="29"/>
      <c r="BUT86" s="29"/>
      <c r="BUU86" s="73"/>
      <c r="BUV86" s="29"/>
      <c r="BUW86" s="29"/>
      <c r="BUX86" s="29"/>
      <c r="BUY86" s="29"/>
      <c r="BUZ86" s="29"/>
      <c r="BVA86" s="30"/>
      <c r="BVB86" s="28"/>
      <c r="BVC86" s="67"/>
      <c r="BVD86" s="67"/>
      <c r="BVE86" s="67"/>
      <c r="BVF86" s="29"/>
      <c r="BVG86" s="131"/>
      <c r="BVH86" s="29"/>
      <c r="BVI86" s="29"/>
      <c r="BVJ86" s="29"/>
      <c r="BVK86" s="29"/>
      <c r="BVL86" s="29"/>
      <c r="BVM86" s="136"/>
      <c r="BVN86" s="29"/>
      <c r="BVO86" s="29"/>
      <c r="BVP86" s="29"/>
      <c r="BVQ86" s="29"/>
      <c r="BVR86" s="29"/>
      <c r="BVS86" s="73"/>
      <c r="BVT86" s="29"/>
      <c r="BVU86" s="29"/>
      <c r="BVV86" s="29"/>
      <c r="BVW86" s="29"/>
      <c r="BVX86" s="29"/>
      <c r="BVY86" s="136"/>
      <c r="BVZ86" s="29"/>
      <c r="BWA86" s="29"/>
      <c r="BWB86" s="29"/>
      <c r="BWC86" s="29"/>
      <c r="BWD86" s="29"/>
      <c r="BWE86" s="73"/>
      <c r="BWF86" s="67"/>
      <c r="BWG86" s="67"/>
      <c r="BWH86" s="67"/>
      <c r="BWI86" s="67"/>
      <c r="BWJ86" s="29"/>
      <c r="BWK86" s="136"/>
      <c r="BWL86" s="29"/>
      <c r="BWM86" s="29"/>
      <c r="BWN86" s="29"/>
      <c r="BWO86" s="29"/>
      <c r="BWP86" s="29"/>
      <c r="BWQ86" s="73"/>
      <c r="BWR86" s="29"/>
      <c r="BWS86" s="29"/>
      <c r="BWT86" s="29"/>
      <c r="BWU86" s="29"/>
      <c r="BWV86" s="29"/>
      <c r="BWW86" s="136"/>
      <c r="BWX86" s="29"/>
      <c r="BWY86" s="29"/>
      <c r="BWZ86" s="29"/>
      <c r="BXA86" s="29"/>
      <c r="BXB86" s="29"/>
      <c r="BXC86" s="73"/>
      <c r="BXD86" s="29"/>
      <c r="BXE86" s="29"/>
      <c r="BXF86" s="29"/>
      <c r="BXG86" s="29"/>
      <c r="BXH86" s="29"/>
      <c r="BXI86" s="30"/>
      <c r="BXJ86" s="28"/>
      <c r="BXK86" s="67"/>
      <c r="BXL86" s="67"/>
      <c r="BXM86" s="67"/>
      <c r="BXN86" s="29"/>
      <c r="BXO86" s="131"/>
      <c r="BXP86" s="29"/>
      <c r="BXQ86" s="29"/>
      <c r="BXR86" s="29"/>
      <c r="BXS86" s="29"/>
      <c r="BXT86" s="29"/>
      <c r="BXU86" s="136"/>
      <c r="BXV86" s="29"/>
      <c r="BXW86" s="29"/>
      <c r="BXX86" s="29"/>
      <c r="BXY86" s="29"/>
      <c r="BXZ86" s="29"/>
      <c r="BYA86" s="73"/>
      <c r="BYB86" s="29"/>
      <c r="BYC86" s="29"/>
      <c r="BYD86" s="29"/>
      <c r="BYE86" s="29"/>
      <c r="BYF86" s="29"/>
      <c r="BYG86" s="136"/>
      <c r="BYH86" s="29"/>
      <c r="BYI86" s="29"/>
      <c r="BYJ86" s="29"/>
      <c r="BYK86" s="29"/>
      <c r="BYL86" s="29"/>
      <c r="BYM86" s="73"/>
      <c r="BYN86" s="67"/>
      <c r="BYO86" s="67"/>
      <c r="BYP86" s="67"/>
      <c r="BYQ86" s="67"/>
      <c r="BYR86" s="29"/>
      <c r="BYS86" s="136"/>
      <c r="BYT86" s="29"/>
      <c r="BYU86" s="29"/>
      <c r="BYV86" s="29"/>
      <c r="BYW86" s="29"/>
      <c r="BYX86" s="29"/>
      <c r="BYY86" s="73"/>
      <c r="BYZ86" s="29"/>
      <c r="BZA86" s="29"/>
      <c r="BZB86" s="29"/>
      <c r="BZC86" s="29"/>
      <c r="BZD86" s="29"/>
      <c r="BZE86" s="136"/>
      <c r="BZF86" s="29"/>
      <c r="BZG86" s="29"/>
      <c r="BZH86" s="29"/>
      <c r="BZI86" s="29"/>
      <c r="BZJ86" s="29"/>
      <c r="BZK86" s="73"/>
      <c r="BZL86" s="29"/>
      <c r="BZM86" s="29"/>
      <c r="BZN86" s="29"/>
      <c r="BZO86" s="29"/>
      <c r="BZP86" s="29"/>
      <c r="BZQ86" s="30"/>
      <c r="BZR86" s="28"/>
      <c r="BZS86" s="67"/>
      <c r="BZT86" s="67"/>
      <c r="BZU86" s="67"/>
      <c r="BZV86" s="29"/>
      <c r="BZW86" s="131"/>
      <c r="BZX86" s="29"/>
      <c r="BZY86" s="29"/>
      <c r="BZZ86" s="29"/>
      <c r="CAA86" s="29"/>
      <c r="CAB86" s="29"/>
      <c r="CAC86" s="136"/>
      <c r="CAD86" s="29"/>
      <c r="CAE86" s="29"/>
      <c r="CAF86" s="29"/>
      <c r="CAG86" s="29"/>
      <c r="CAH86" s="29"/>
      <c r="CAI86" s="73"/>
      <c r="CAJ86" s="29"/>
      <c r="CAK86" s="29"/>
      <c r="CAL86" s="29"/>
      <c r="CAM86" s="29"/>
      <c r="CAN86" s="29"/>
      <c r="CAO86" s="136"/>
      <c r="CAP86" s="29"/>
      <c r="CAQ86" s="29"/>
      <c r="CAR86" s="29"/>
      <c r="CAS86" s="29"/>
      <c r="CAT86" s="29"/>
      <c r="CAU86" s="73"/>
      <c r="CAV86" s="67"/>
      <c r="CAW86" s="67"/>
      <c r="CAX86" s="67"/>
      <c r="CAY86" s="67"/>
      <c r="CAZ86" s="29"/>
      <c r="CBA86" s="136"/>
      <c r="CBB86" s="29"/>
      <c r="CBC86" s="29"/>
      <c r="CBD86" s="29"/>
      <c r="CBE86" s="29"/>
      <c r="CBF86" s="29"/>
      <c r="CBG86" s="73"/>
      <c r="CBH86" s="29"/>
      <c r="CBI86" s="29"/>
      <c r="CBJ86" s="29"/>
      <c r="CBK86" s="29"/>
      <c r="CBL86" s="29"/>
      <c r="CBM86" s="136"/>
      <c r="CBN86" s="29"/>
      <c r="CBO86" s="29"/>
      <c r="CBP86" s="29"/>
      <c r="CBQ86" s="29"/>
      <c r="CBR86" s="29"/>
      <c r="CBS86" s="73"/>
      <c r="CBT86" s="29"/>
      <c r="CBU86" s="29"/>
      <c r="CBV86" s="29"/>
      <c r="CBW86" s="29"/>
      <c r="CBX86" s="29"/>
      <c r="CBY86" s="30"/>
      <c r="CBZ86" s="90"/>
    </row>
    <row r="87" spans="1:2106" ht="20.100000000000001" customHeight="1" x14ac:dyDescent="0.25">
      <c r="A87" s="100" t="s">
        <v>22</v>
      </c>
      <c r="B87" s="63"/>
      <c r="C87" s="170"/>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32"/>
      <c r="BLW87" s="64"/>
      <c r="BLX87" s="64"/>
      <c r="BLY87" s="64"/>
      <c r="BLZ87" s="33"/>
      <c r="BMA87" s="132"/>
      <c r="BMB87" s="33"/>
      <c r="BMC87" s="33"/>
      <c r="BMD87" s="33"/>
      <c r="BME87" s="33"/>
      <c r="BMF87" s="33"/>
      <c r="BMG87" s="137"/>
      <c r="BMH87" s="33"/>
      <c r="BMI87" s="33"/>
      <c r="BMJ87" s="33"/>
      <c r="BMK87" s="33"/>
      <c r="BML87" s="33"/>
      <c r="BMM87" s="74"/>
      <c r="BMN87" s="33"/>
      <c r="BMO87" s="33"/>
      <c r="BMP87" s="33"/>
      <c r="BMQ87" s="33"/>
      <c r="BMR87" s="33"/>
      <c r="BMS87" s="137"/>
      <c r="BMT87" s="33"/>
      <c r="BMU87" s="33"/>
      <c r="BMV87" s="33"/>
      <c r="BMW87" s="33"/>
      <c r="BMX87" s="33"/>
      <c r="BMY87" s="74"/>
      <c r="BMZ87" s="64"/>
      <c r="BNA87" s="64"/>
      <c r="BNB87" s="64"/>
      <c r="BNC87" s="64"/>
      <c r="BND87" s="33"/>
      <c r="BNE87" s="137"/>
      <c r="BNF87" s="33"/>
      <c r="BNG87" s="33"/>
      <c r="BNH87" s="33"/>
      <c r="BNI87" s="33"/>
      <c r="BNJ87" s="33"/>
      <c r="BNK87" s="74"/>
      <c r="BNL87" s="33"/>
      <c r="BNM87" s="33"/>
      <c r="BNN87" s="33"/>
      <c r="BNO87" s="33"/>
      <c r="BNP87" s="33"/>
      <c r="BNQ87" s="137"/>
      <c r="BNR87" s="33"/>
      <c r="BNS87" s="33"/>
      <c r="BNT87" s="33"/>
      <c r="BNU87" s="33"/>
      <c r="BNV87" s="33"/>
      <c r="BNW87" s="74"/>
      <c r="BNX87" s="33"/>
      <c r="BNY87" s="33"/>
      <c r="BNZ87" s="33"/>
      <c r="BOA87" s="33"/>
      <c r="BOB87" s="33"/>
      <c r="BOC87" s="34"/>
      <c r="BOD87" s="32"/>
      <c r="BOE87" s="64"/>
      <c r="BOF87" s="64"/>
      <c r="BOG87" s="64"/>
      <c r="BOH87" s="33"/>
      <c r="BOI87" s="132"/>
      <c r="BOJ87" s="33"/>
      <c r="BOK87" s="33"/>
      <c r="BOL87" s="33"/>
      <c r="BOM87" s="33"/>
      <c r="BON87" s="33"/>
      <c r="BOO87" s="137"/>
      <c r="BOP87" s="33"/>
      <c r="BOQ87" s="33"/>
      <c r="BOR87" s="33"/>
      <c r="BOS87" s="33"/>
      <c r="BOT87" s="33"/>
      <c r="BOU87" s="74"/>
      <c r="BOV87" s="33"/>
      <c r="BOW87" s="33"/>
      <c r="BOX87" s="33"/>
      <c r="BOY87" s="33"/>
      <c r="BOZ87" s="33"/>
      <c r="BPA87" s="137"/>
      <c r="BPB87" s="33"/>
      <c r="BPC87" s="33"/>
      <c r="BPD87" s="33"/>
      <c r="BPE87" s="33"/>
      <c r="BPF87" s="33"/>
      <c r="BPG87" s="74"/>
      <c r="BPH87" s="64"/>
      <c r="BPI87" s="64"/>
      <c r="BPJ87" s="64"/>
      <c r="BPK87" s="64"/>
      <c r="BPL87" s="33"/>
      <c r="BPM87" s="137"/>
      <c r="BPN87" s="33"/>
      <c r="BPO87" s="33"/>
      <c r="BPP87" s="33"/>
      <c r="BPQ87" s="33"/>
      <c r="BPR87" s="33"/>
      <c r="BPS87" s="74"/>
      <c r="BPT87" s="33"/>
      <c r="BPU87" s="33"/>
      <c r="BPV87" s="33"/>
      <c r="BPW87" s="33"/>
      <c r="BPX87" s="33"/>
      <c r="BPY87" s="137"/>
      <c r="BPZ87" s="33"/>
      <c r="BQA87" s="33"/>
      <c r="BQB87" s="33"/>
      <c r="BQC87" s="33"/>
      <c r="BQD87" s="33"/>
      <c r="BQE87" s="74"/>
      <c r="BQF87" s="33"/>
      <c r="BQG87" s="33"/>
      <c r="BQH87" s="33"/>
      <c r="BQI87" s="33"/>
      <c r="BQJ87" s="33"/>
      <c r="BQK87" s="34"/>
      <c r="BQL87" s="32"/>
      <c r="BQM87" s="64"/>
      <c r="BQN87" s="64"/>
      <c r="BQO87" s="64"/>
      <c r="BQP87" s="33"/>
      <c r="BQQ87" s="132"/>
      <c r="BQR87" s="33"/>
      <c r="BQS87" s="33"/>
      <c r="BQT87" s="33"/>
      <c r="BQU87" s="33"/>
      <c r="BQV87" s="33"/>
      <c r="BQW87" s="137"/>
      <c r="BQX87" s="33"/>
      <c r="BQY87" s="33"/>
      <c r="BQZ87" s="33"/>
      <c r="BRA87" s="33"/>
      <c r="BRB87" s="33"/>
      <c r="BRC87" s="74"/>
      <c r="BRD87" s="33"/>
      <c r="BRE87" s="33"/>
      <c r="BRF87" s="33"/>
      <c r="BRG87" s="33"/>
      <c r="BRH87" s="33"/>
      <c r="BRI87" s="137"/>
      <c r="BRJ87" s="33"/>
      <c r="BRK87" s="33"/>
      <c r="BRL87" s="33"/>
      <c r="BRM87" s="33"/>
      <c r="BRN87" s="33"/>
      <c r="BRO87" s="74"/>
      <c r="BRP87" s="64"/>
      <c r="BRQ87" s="64"/>
      <c r="BRR87" s="64"/>
      <c r="BRS87" s="64"/>
      <c r="BRT87" s="33"/>
      <c r="BRU87" s="137"/>
      <c r="BRV87" s="33"/>
      <c r="BRW87" s="33"/>
      <c r="BRX87" s="33"/>
      <c r="BRY87" s="33"/>
      <c r="BRZ87" s="33"/>
      <c r="BSA87" s="74"/>
      <c r="BSB87" s="33"/>
      <c r="BSC87" s="33"/>
      <c r="BSD87" s="33"/>
      <c r="BSE87" s="33"/>
      <c r="BSF87" s="33"/>
      <c r="BSG87" s="137"/>
      <c r="BSH87" s="33"/>
      <c r="BSI87" s="33"/>
      <c r="BSJ87" s="33"/>
      <c r="BSK87" s="33"/>
      <c r="BSL87" s="33"/>
      <c r="BSM87" s="74"/>
      <c r="BSN87" s="33"/>
      <c r="BSO87" s="33"/>
      <c r="BSP87" s="33"/>
      <c r="BSQ87" s="33"/>
      <c r="BSR87" s="33"/>
      <c r="BSS87" s="34"/>
      <c r="BST87" s="32"/>
      <c r="BSU87" s="64"/>
      <c r="BSV87" s="64"/>
      <c r="BSW87" s="64"/>
      <c r="BSX87" s="33"/>
      <c r="BSY87" s="132"/>
      <c r="BSZ87" s="33"/>
      <c r="BTA87" s="33"/>
      <c r="BTB87" s="33"/>
      <c r="BTC87" s="33"/>
      <c r="BTD87" s="33"/>
      <c r="BTE87" s="137"/>
      <c r="BTF87" s="33"/>
      <c r="BTG87" s="33"/>
      <c r="BTH87" s="33"/>
      <c r="BTI87" s="33"/>
      <c r="BTJ87" s="33"/>
      <c r="BTK87" s="74"/>
      <c r="BTL87" s="33"/>
      <c r="BTM87" s="33"/>
      <c r="BTN87" s="33"/>
      <c r="BTO87" s="33"/>
      <c r="BTP87" s="33"/>
      <c r="BTQ87" s="137"/>
      <c r="BTR87" s="33"/>
      <c r="BTS87" s="33"/>
      <c r="BTT87" s="33"/>
      <c r="BTU87" s="33"/>
      <c r="BTV87" s="33"/>
      <c r="BTW87" s="74"/>
      <c r="BTX87" s="64"/>
      <c r="BTY87" s="64"/>
      <c r="BTZ87" s="64"/>
      <c r="BUA87" s="64"/>
      <c r="BUB87" s="33"/>
      <c r="BUC87" s="137"/>
      <c r="BUD87" s="33"/>
      <c r="BUE87" s="33"/>
      <c r="BUF87" s="33"/>
      <c r="BUG87" s="33"/>
      <c r="BUH87" s="33"/>
      <c r="BUI87" s="74"/>
      <c r="BUJ87" s="33"/>
      <c r="BUK87" s="33"/>
      <c r="BUL87" s="33"/>
      <c r="BUM87" s="33"/>
      <c r="BUN87" s="33"/>
      <c r="BUO87" s="137"/>
      <c r="BUP87" s="33"/>
      <c r="BUQ87" s="33"/>
      <c r="BUR87" s="33"/>
      <c r="BUS87" s="33"/>
      <c r="BUT87" s="33"/>
      <c r="BUU87" s="74"/>
      <c r="BUV87" s="33"/>
      <c r="BUW87" s="33"/>
      <c r="BUX87" s="33"/>
      <c r="BUY87" s="33"/>
      <c r="BUZ87" s="33"/>
      <c r="BVA87" s="34"/>
      <c r="BVB87" s="32"/>
      <c r="BVC87" s="64"/>
      <c r="BVD87" s="64"/>
      <c r="BVE87" s="64"/>
      <c r="BVF87" s="33"/>
      <c r="BVG87" s="132"/>
      <c r="BVH87" s="33"/>
      <c r="BVI87" s="33"/>
      <c r="BVJ87" s="33"/>
      <c r="BVK87" s="33"/>
      <c r="BVL87" s="33"/>
      <c r="BVM87" s="137"/>
      <c r="BVN87" s="33"/>
      <c r="BVO87" s="33"/>
      <c r="BVP87" s="33"/>
      <c r="BVQ87" s="33"/>
      <c r="BVR87" s="33"/>
      <c r="BVS87" s="74"/>
      <c r="BVT87" s="33"/>
      <c r="BVU87" s="33"/>
      <c r="BVV87" s="33"/>
      <c r="BVW87" s="33"/>
      <c r="BVX87" s="33"/>
      <c r="BVY87" s="137"/>
      <c r="BVZ87" s="33"/>
      <c r="BWA87" s="33"/>
      <c r="BWB87" s="33"/>
      <c r="BWC87" s="33"/>
      <c r="BWD87" s="33"/>
      <c r="BWE87" s="74"/>
      <c r="BWF87" s="64"/>
      <c r="BWG87" s="64"/>
      <c r="BWH87" s="64"/>
      <c r="BWI87" s="64"/>
      <c r="BWJ87" s="33"/>
      <c r="BWK87" s="137"/>
      <c r="BWL87" s="33"/>
      <c r="BWM87" s="33"/>
      <c r="BWN87" s="33"/>
      <c r="BWO87" s="33"/>
      <c r="BWP87" s="33"/>
      <c r="BWQ87" s="74"/>
      <c r="BWR87" s="33"/>
      <c r="BWS87" s="33"/>
      <c r="BWT87" s="33"/>
      <c r="BWU87" s="33"/>
      <c r="BWV87" s="33"/>
      <c r="BWW87" s="137"/>
      <c r="BWX87" s="33"/>
      <c r="BWY87" s="33"/>
      <c r="BWZ87" s="33"/>
      <c r="BXA87" s="33"/>
      <c r="BXB87" s="33"/>
      <c r="BXC87" s="74"/>
      <c r="BXD87" s="33"/>
      <c r="BXE87" s="33"/>
      <c r="BXF87" s="33"/>
      <c r="BXG87" s="33"/>
      <c r="BXH87" s="33"/>
      <c r="BXI87" s="34"/>
      <c r="BXJ87" s="32"/>
      <c r="BXK87" s="64"/>
      <c r="BXL87" s="64"/>
      <c r="BXM87" s="64"/>
      <c r="BXN87" s="33"/>
      <c r="BXO87" s="132"/>
      <c r="BXP87" s="33"/>
      <c r="BXQ87" s="33"/>
      <c r="BXR87" s="33"/>
      <c r="BXS87" s="33"/>
      <c r="BXT87" s="33"/>
      <c r="BXU87" s="137"/>
      <c r="BXV87" s="33"/>
      <c r="BXW87" s="33"/>
      <c r="BXX87" s="33"/>
      <c r="BXY87" s="33"/>
      <c r="BXZ87" s="33"/>
      <c r="BYA87" s="74"/>
      <c r="BYB87" s="33"/>
      <c r="BYC87" s="33"/>
      <c r="BYD87" s="33"/>
      <c r="BYE87" s="33"/>
      <c r="BYF87" s="33"/>
      <c r="BYG87" s="137"/>
      <c r="BYH87" s="33"/>
      <c r="BYI87" s="33"/>
      <c r="BYJ87" s="33"/>
      <c r="BYK87" s="33"/>
      <c r="BYL87" s="33"/>
      <c r="BYM87" s="74"/>
      <c r="BYN87" s="64"/>
      <c r="BYO87" s="64"/>
      <c r="BYP87" s="64"/>
      <c r="BYQ87" s="64"/>
      <c r="BYR87" s="33"/>
      <c r="BYS87" s="137"/>
      <c r="BYT87" s="33"/>
      <c r="BYU87" s="33"/>
      <c r="BYV87" s="33"/>
      <c r="BYW87" s="33"/>
      <c r="BYX87" s="33"/>
      <c r="BYY87" s="74"/>
      <c r="BYZ87" s="33"/>
      <c r="BZA87" s="33"/>
      <c r="BZB87" s="33"/>
      <c r="BZC87" s="33"/>
      <c r="BZD87" s="33"/>
      <c r="BZE87" s="137"/>
      <c r="BZF87" s="33"/>
      <c r="BZG87" s="33"/>
      <c r="BZH87" s="33"/>
      <c r="BZI87" s="33"/>
      <c r="BZJ87" s="33"/>
      <c r="BZK87" s="74"/>
      <c r="BZL87" s="33"/>
      <c r="BZM87" s="33"/>
      <c r="BZN87" s="33"/>
      <c r="BZO87" s="33"/>
      <c r="BZP87" s="33"/>
      <c r="BZQ87" s="34"/>
      <c r="BZR87" s="32"/>
      <c r="BZS87" s="64"/>
      <c r="BZT87" s="64"/>
      <c r="BZU87" s="64"/>
      <c r="BZV87" s="33"/>
      <c r="BZW87" s="132"/>
      <c r="BZX87" s="33"/>
      <c r="BZY87" s="33"/>
      <c r="BZZ87" s="33"/>
      <c r="CAA87" s="33"/>
      <c r="CAB87" s="33"/>
      <c r="CAC87" s="137"/>
      <c r="CAD87" s="33"/>
      <c r="CAE87" s="33"/>
      <c r="CAF87" s="33"/>
      <c r="CAG87" s="33"/>
      <c r="CAH87" s="33"/>
      <c r="CAI87" s="74"/>
      <c r="CAJ87" s="33"/>
      <c r="CAK87" s="33"/>
      <c r="CAL87" s="33"/>
      <c r="CAM87" s="33"/>
      <c r="CAN87" s="33"/>
      <c r="CAO87" s="137"/>
      <c r="CAP87" s="33"/>
      <c r="CAQ87" s="33"/>
      <c r="CAR87" s="33"/>
      <c r="CAS87" s="33"/>
      <c r="CAT87" s="33"/>
      <c r="CAU87" s="74"/>
      <c r="CAV87" s="64"/>
      <c r="CAW87" s="64"/>
      <c r="CAX87" s="64"/>
      <c r="CAY87" s="64"/>
      <c r="CAZ87" s="33"/>
      <c r="CBA87" s="137"/>
      <c r="CBB87" s="33"/>
      <c r="CBC87" s="33"/>
      <c r="CBD87" s="33"/>
      <c r="CBE87" s="33"/>
      <c r="CBF87" s="33"/>
      <c r="CBG87" s="74"/>
      <c r="CBH87" s="33"/>
      <c r="CBI87" s="33"/>
      <c r="CBJ87" s="33"/>
      <c r="CBK87" s="33"/>
      <c r="CBL87" s="33"/>
      <c r="CBM87" s="137"/>
      <c r="CBN87" s="33"/>
      <c r="CBO87" s="33"/>
      <c r="CBP87" s="33"/>
      <c r="CBQ87" s="33"/>
      <c r="CBR87" s="33"/>
      <c r="CBS87" s="74"/>
      <c r="CBT87" s="33"/>
      <c r="CBU87" s="33"/>
      <c r="CBV87" s="33"/>
      <c r="CBW87" s="33"/>
      <c r="CBX87" s="33"/>
      <c r="CBY87" s="34"/>
      <c r="CBZ87" s="90"/>
    </row>
    <row r="88" spans="1:2106" ht="20.100000000000001" customHeight="1" x14ac:dyDescent="0.25">
      <c r="A88" s="100" t="s">
        <v>23</v>
      </c>
      <c r="B88" s="63"/>
      <c r="C88" s="172"/>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36"/>
      <c r="BLW88" s="65"/>
      <c r="BLX88" s="65"/>
      <c r="BLY88" s="65"/>
      <c r="BLZ88" s="37"/>
      <c r="BMA88" s="133"/>
      <c r="BMB88" s="37"/>
      <c r="BMC88" s="37"/>
      <c r="BMD88" s="37"/>
      <c r="BME88" s="37"/>
      <c r="BMF88" s="37"/>
      <c r="BMG88" s="138"/>
      <c r="BMH88" s="37"/>
      <c r="BMI88" s="37"/>
      <c r="BMJ88" s="37"/>
      <c r="BMK88" s="37"/>
      <c r="BML88" s="37"/>
      <c r="BMM88" s="75"/>
      <c r="BMN88" s="37"/>
      <c r="BMO88" s="37"/>
      <c r="BMP88" s="37"/>
      <c r="BMQ88" s="37"/>
      <c r="BMR88" s="37"/>
      <c r="BMS88" s="138"/>
      <c r="BMT88" s="37"/>
      <c r="BMU88" s="37"/>
      <c r="BMV88" s="37"/>
      <c r="BMW88" s="37"/>
      <c r="BMX88" s="37"/>
      <c r="BMY88" s="75"/>
      <c r="BMZ88" s="65"/>
      <c r="BNA88" s="65"/>
      <c r="BNB88" s="65"/>
      <c r="BNC88" s="65"/>
      <c r="BND88" s="37"/>
      <c r="BNE88" s="138"/>
      <c r="BNF88" s="37"/>
      <c r="BNG88" s="37"/>
      <c r="BNH88" s="37"/>
      <c r="BNI88" s="37"/>
      <c r="BNJ88" s="37"/>
      <c r="BNK88" s="75"/>
      <c r="BNL88" s="37"/>
      <c r="BNM88" s="37"/>
      <c r="BNN88" s="37"/>
      <c r="BNO88" s="37"/>
      <c r="BNP88" s="37"/>
      <c r="BNQ88" s="138"/>
      <c r="BNR88" s="37"/>
      <c r="BNS88" s="37"/>
      <c r="BNT88" s="37"/>
      <c r="BNU88" s="37"/>
      <c r="BNV88" s="37"/>
      <c r="BNW88" s="75"/>
      <c r="BNX88" s="37"/>
      <c r="BNY88" s="37"/>
      <c r="BNZ88" s="37"/>
      <c r="BOA88" s="37"/>
      <c r="BOB88" s="37"/>
      <c r="BOC88" s="38"/>
      <c r="BOD88" s="36"/>
      <c r="BOE88" s="65"/>
      <c r="BOF88" s="65"/>
      <c r="BOG88" s="65"/>
      <c r="BOH88" s="37"/>
      <c r="BOI88" s="133"/>
      <c r="BOJ88" s="37"/>
      <c r="BOK88" s="37"/>
      <c r="BOL88" s="37"/>
      <c r="BOM88" s="37"/>
      <c r="BON88" s="37"/>
      <c r="BOO88" s="138"/>
      <c r="BOP88" s="37"/>
      <c r="BOQ88" s="37"/>
      <c r="BOR88" s="37"/>
      <c r="BOS88" s="37"/>
      <c r="BOT88" s="37"/>
      <c r="BOU88" s="75"/>
      <c r="BOV88" s="37"/>
      <c r="BOW88" s="37"/>
      <c r="BOX88" s="37"/>
      <c r="BOY88" s="37"/>
      <c r="BOZ88" s="37"/>
      <c r="BPA88" s="138"/>
      <c r="BPB88" s="37"/>
      <c r="BPC88" s="37"/>
      <c r="BPD88" s="37"/>
      <c r="BPE88" s="37"/>
      <c r="BPF88" s="37"/>
      <c r="BPG88" s="75"/>
      <c r="BPH88" s="65"/>
      <c r="BPI88" s="65"/>
      <c r="BPJ88" s="65"/>
      <c r="BPK88" s="65"/>
      <c r="BPL88" s="37"/>
      <c r="BPM88" s="138"/>
      <c r="BPN88" s="37"/>
      <c r="BPO88" s="37"/>
      <c r="BPP88" s="37"/>
      <c r="BPQ88" s="37"/>
      <c r="BPR88" s="37"/>
      <c r="BPS88" s="75"/>
      <c r="BPT88" s="37"/>
      <c r="BPU88" s="37"/>
      <c r="BPV88" s="37"/>
      <c r="BPW88" s="37"/>
      <c r="BPX88" s="37"/>
      <c r="BPY88" s="138"/>
      <c r="BPZ88" s="37"/>
      <c r="BQA88" s="37"/>
      <c r="BQB88" s="37"/>
      <c r="BQC88" s="37"/>
      <c r="BQD88" s="37"/>
      <c r="BQE88" s="75"/>
      <c r="BQF88" s="37"/>
      <c r="BQG88" s="37"/>
      <c r="BQH88" s="37"/>
      <c r="BQI88" s="37"/>
      <c r="BQJ88" s="37"/>
      <c r="BQK88" s="38"/>
      <c r="BQL88" s="36"/>
      <c r="BQM88" s="65"/>
      <c r="BQN88" s="65"/>
      <c r="BQO88" s="65"/>
      <c r="BQP88" s="37"/>
      <c r="BQQ88" s="133"/>
      <c r="BQR88" s="37"/>
      <c r="BQS88" s="37"/>
      <c r="BQT88" s="37"/>
      <c r="BQU88" s="37"/>
      <c r="BQV88" s="37"/>
      <c r="BQW88" s="138"/>
      <c r="BQX88" s="37"/>
      <c r="BQY88" s="37"/>
      <c r="BQZ88" s="37"/>
      <c r="BRA88" s="37"/>
      <c r="BRB88" s="37"/>
      <c r="BRC88" s="75"/>
      <c r="BRD88" s="37"/>
      <c r="BRE88" s="37"/>
      <c r="BRF88" s="37"/>
      <c r="BRG88" s="37"/>
      <c r="BRH88" s="37"/>
      <c r="BRI88" s="138"/>
      <c r="BRJ88" s="37"/>
      <c r="BRK88" s="37"/>
      <c r="BRL88" s="37"/>
      <c r="BRM88" s="37"/>
      <c r="BRN88" s="37"/>
      <c r="BRO88" s="75"/>
      <c r="BRP88" s="65"/>
      <c r="BRQ88" s="65"/>
      <c r="BRR88" s="65"/>
      <c r="BRS88" s="65"/>
      <c r="BRT88" s="37"/>
      <c r="BRU88" s="138"/>
      <c r="BRV88" s="37"/>
      <c r="BRW88" s="37"/>
      <c r="BRX88" s="37"/>
      <c r="BRY88" s="37"/>
      <c r="BRZ88" s="37"/>
      <c r="BSA88" s="75"/>
      <c r="BSB88" s="37"/>
      <c r="BSC88" s="37"/>
      <c r="BSD88" s="37"/>
      <c r="BSE88" s="37"/>
      <c r="BSF88" s="37"/>
      <c r="BSG88" s="138"/>
      <c r="BSH88" s="37"/>
      <c r="BSI88" s="37"/>
      <c r="BSJ88" s="37"/>
      <c r="BSK88" s="37"/>
      <c r="BSL88" s="37"/>
      <c r="BSM88" s="75"/>
      <c r="BSN88" s="37"/>
      <c r="BSO88" s="37"/>
      <c r="BSP88" s="37"/>
      <c r="BSQ88" s="37"/>
      <c r="BSR88" s="37"/>
      <c r="BSS88" s="38"/>
      <c r="BST88" s="36"/>
      <c r="BSU88" s="65"/>
      <c r="BSV88" s="65"/>
      <c r="BSW88" s="65"/>
      <c r="BSX88" s="37"/>
      <c r="BSY88" s="133"/>
      <c r="BSZ88" s="37"/>
      <c r="BTA88" s="37"/>
      <c r="BTB88" s="37"/>
      <c r="BTC88" s="37"/>
      <c r="BTD88" s="37"/>
      <c r="BTE88" s="138"/>
      <c r="BTF88" s="37"/>
      <c r="BTG88" s="37"/>
      <c r="BTH88" s="37"/>
      <c r="BTI88" s="37"/>
      <c r="BTJ88" s="37"/>
      <c r="BTK88" s="75"/>
      <c r="BTL88" s="37"/>
      <c r="BTM88" s="37"/>
      <c r="BTN88" s="37"/>
      <c r="BTO88" s="37"/>
      <c r="BTP88" s="37"/>
      <c r="BTQ88" s="138"/>
      <c r="BTR88" s="37"/>
      <c r="BTS88" s="37"/>
      <c r="BTT88" s="37"/>
      <c r="BTU88" s="37"/>
      <c r="BTV88" s="37"/>
      <c r="BTW88" s="75"/>
      <c r="BTX88" s="65"/>
      <c r="BTY88" s="65"/>
      <c r="BTZ88" s="65"/>
      <c r="BUA88" s="65"/>
      <c r="BUB88" s="37"/>
      <c r="BUC88" s="138"/>
      <c r="BUD88" s="37"/>
      <c r="BUE88" s="37"/>
      <c r="BUF88" s="37"/>
      <c r="BUG88" s="37"/>
      <c r="BUH88" s="37"/>
      <c r="BUI88" s="75"/>
      <c r="BUJ88" s="37"/>
      <c r="BUK88" s="37"/>
      <c r="BUL88" s="37"/>
      <c r="BUM88" s="37"/>
      <c r="BUN88" s="37"/>
      <c r="BUO88" s="138"/>
      <c r="BUP88" s="37"/>
      <c r="BUQ88" s="37"/>
      <c r="BUR88" s="37"/>
      <c r="BUS88" s="37"/>
      <c r="BUT88" s="37"/>
      <c r="BUU88" s="75"/>
      <c r="BUV88" s="37"/>
      <c r="BUW88" s="37"/>
      <c r="BUX88" s="37"/>
      <c r="BUY88" s="37"/>
      <c r="BUZ88" s="37"/>
      <c r="BVA88" s="38"/>
      <c r="BVB88" s="36"/>
      <c r="BVC88" s="65"/>
      <c r="BVD88" s="65"/>
      <c r="BVE88" s="65"/>
      <c r="BVF88" s="37"/>
      <c r="BVG88" s="133"/>
      <c r="BVH88" s="37"/>
      <c r="BVI88" s="37"/>
      <c r="BVJ88" s="37"/>
      <c r="BVK88" s="37"/>
      <c r="BVL88" s="37"/>
      <c r="BVM88" s="138"/>
      <c r="BVN88" s="37"/>
      <c r="BVO88" s="37"/>
      <c r="BVP88" s="37"/>
      <c r="BVQ88" s="37"/>
      <c r="BVR88" s="37"/>
      <c r="BVS88" s="75"/>
      <c r="BVT88" s="37"/>
      <c r="BVU88" s="37"/>
      <c r="BVV88" s="37"/>
      <c r="BVW88" s="37"/>
      <c r="BVX88" s="37"/>
      <c r="BVY88" s="138"/>
      <c r="BVZ88" s="37"/>
      <c r="BWA88" s="37"/>
      <c r="BWB88" s="37"/>
      <c r="BWC88" s="37"/>
      <c r="BWD88" s="37"/>
      <c r="BWE88" s="75"/>
      <c r="BWF88" s="65"/>
      <c r="BWG88" s="65"/>
      <c r="BWH88" s="65"/>
      <c r="BWI88" s="65"/>
      <c r="BWJ88" s="37"/>
      <c r="BWK88" s="138"/>
      <c r="BWL88" s="37"/>
      <c r="BWM88" s="37"/>
      <c r="BWN88" s="37"/>
      <c r="BWO88" s="37"/>
      <c r="BWP88" s="37"/>
      <c r="BWQ88" s="75"/>
      <c r="BWR88" s="37"/>
      <c r="BWS88" s="37"/>
      <c r="BWT88" s="37"/>
      <c r="BWU88" s="37"/>
      <c r="BWV88" s="37"/>
      <c r="BWW88" s="138"/>
      <c r="BWX88" s="37"/>
      <c r="BWY88" s="37"/>
      <c r="BWZ88" s="37"/>
      <c r="BXA88" s="37"/>
      <c r="BXB88" s="37"/>
      <c r="BXC88" s="75"/>
      <c r="BXD88" s="37"/>
      <c r="BXE88" s="37"/>
      <c r="BXF88" s="37"/>
      <c r="BXG88" s="37"/>
      <c r="BXH88" s="37"/>
      <c r="BXI88" s="38"/>
      <c r="BXJ88" s="36"/>
      <c r="BXK88" s="65"/>
      <c r="BXL88" s="65"/>
      <c r="BXM88" s="65"/>
      <c r="BXN88" s="37"/>
      <c r="BXO88" s="133"/>
      <c r="BXP88" s="37"/>
      <c r="BXQ88" s="37"/>
      <c r="BXR88" s="37"/>
      <c r="BXS88" s="37"/>
      <c r="BXT88" s="37"/>
      <c r="BXU88" s="138"/>
      <c r="BXV88" s="37"/>
      <c r="BXW88" s="37"/>
      <c r="BXX88" s="37"/>
      <c r="BXY88" s="37"/>
      <c r="BXZ88" s="37"/>
      <c r="BYA88" s="75"/>
      <c r="BYB88" s="37"/>
      <c r="BYC88" s="37"/>
      <c r="BYD88" s="37"/>
      <c r="BYE88" s="37"/>
      <c r="BYF88" s="37"/>
      <c r="BYG88" s="138"/>
      <c r="BYH88" s="37"/>
      <c r="BYI88" s="37"/>
      <c r="BYJ88" s="37"/>
      <c r="BYK88" s="37"/>
      <c r="BYL88" s="37"/>
      <c r="BYM88" s="75"/>
      <c r="BYN88" s="65"/>
      <c r="BYO88" s="65"/>
      <c r="BYP88" s="65"/>
      <c r="BYQ88" s="65"/>
      <c r="BYR88" s="37"/>
      <c r="BYS88" s="138"/>
      <c r="BYT88" s="37"/>
      <c r="BYU88" s="37"/>
      <c r="BYV88" s="37"/>
      <c r="BYW88" s="37"/>
      <c r="BYX88" s="37"/>
      <c r="BYY88" s="75"/>
      <c r="BYZ88" s="37"/>
      <c r="BZA88" s="37"/>
      <c r="BZB88" s="37"/>
      <c r="BZC88" s="37"/>
      <c r="BZD88" s="37"/>
      <c r="BZE88" s="138"/>
      <c r="BZF88" s="37"/>
      <c r="BZG88" s="37"/>
      <c r="BZH88" s="37"/>
      <c r="BZI88" s="37"/>
      <c r="BZJ88" s="37"/>
      <c r="BZK88" s="75"/>
      <c r="BZL88" s="37"/>
      <c r="BZM88" s="37"/>
      <c r="BZN88" s="37"/>
      <c r="BZO88" s="37"/>
      <c r="BZP88" s="37"/>
      <c r="BZQ88" s="38"/>
      <c r="BZR88" s="36"/>
      <c r="BZS88" s="65"/>
      <c r="BZT88" s="65"/>
      <c r="BZU88" s="65"/>
      <c r="BZV88" s="37"/>
      <c r="BZW88" s="133"/>
      <c r="BZX88" s="37"/>
      <c r="BZY88" s="37"/>
      <c r="BZZ88" s="37"/>
      <c r="CAA88" s="37"/>
      <c r="CAB88" s="37"/>
      <c r="CAC88" s="138"/>
      <c r="CAD88" s="37"/>
      <c r="CAE88" s="37"/>
      <c r="CAF88" s="37"/>
      <c r="CAG88" s="37"/>
      <c r="CAH88" s="37"/>
      <c r="CAI88" s="75"/>
      <c r="CAJ88" s="37"/>
      <c r="CAK88" s="37"/>
      <c r="CAL88" s="37"/>
      <c r="CAM88" s="37"/>
      <c r="CAN88" s="37"/>
      <c r="CAO88" s="138"/>
      <c r="CAP88" s="37"/>
      <c r="CAQ88" s="37"/>
      <c r="CAR88" s="37"/>
      <c r="CAS88" s="37"/>
      <c r="CAT88" s="37"/>
      <c r="CAU88" s="75"/>
      <c r="CAV88" s="65"/>
      <c r="CAW88" s="65"/>
      <c r="CAX88" s="65"/>
      <c r="CAY88" s="65"/>
      <c r="CAZ88" s="37"/>
      <c r="CBA88" s="138"/>
      <c r="CBB88" s="37"/>
      <c r="CBC88" s="37"/>
      <c r="CBD88" s="37"/>
      <c r="CBE88" s="37"/>
      <c r="CBF88" s="37"/>
      <c r="CBG88" s="75"/>
      <c r="CBH88" s="37"/>
      <c r="CBI88" s="37"/>
      <c r="CBJ88" s="37"/>
      <c r="CBK88" s="37"/>
      <c r="CBL88" s="37"/>
      <c r="CBM88" s="138"/>
      <c r="CBN88" s="37"/>
      <c r="CBO88" s="37"/>
      <c r="CBP88" s="37"/>
      <c r="CBQ88" s="37"/>
      <c r="CBR88" s="37"/>
      <c r="CBS88" s="75"/>
      <c r="CBT88" s="37"/>
      <c r="CBU88" s="37"/>
      <c r="CBV88" s="37"/>
      <c r="CBW88" s="37"/>
      <c r="CBX88" s="37"/>
      <c r="CBY88" s="38"/>
      <c r="CBZ88" s="90"/>
    </row>
    <row r="89" spans="1:2106" ht="20.100000000000001" customHeight="1" x14ac:dyDescent="0.25">
      <c r="A89" s="100" t="s">
        <v>22</v>
      </c>
      <c r="B89" s="63"/>
      <c r="C89" s="170"/>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32"/>
      <c r="BLW89" s="64"/>
      <c r="BLX89" s="64"/>
      <c r="BLY89" s="64"/>
      <c r="BLZ89" s="33"/>
      <c r="BMA89" s="132"/>
      <c r="BMB89" s="33"/>
      <c r="BMC89" s="33"/>
      <c r="BMD89" s="33"/>
      <c r="BME89" s="33"/>
      <c r="BMF89" s="33"/>
      <c r="BMG89" s="137"/>
      <c r="BMH89" s="33"/>
      <c r="BMI89" s="33"/>
      <c r="BMJ89" s="33"/>
      <c r="BMK89" s="33"/>
      <c r="BML89" s="33"/>
      <c r="BMM89" s="74"/>
      <c r="BMN89" s="33"/>
      <c r="BMO89" s="33"/>
      <c r="BMP89" s="33"/>
      <c r="BMQ89" s="33"/>
      <c r="BMR89" s="33"/>
      <c r="BMS89" s="137"/>
      <c r="BMT89" s="33"/>
      <c r="BMU89" s="33"/>
      <c r="BMV89" s="33"/>
      <c r="BMW89" s="33"/>
      <c r="BMX89" s="33"/>
      <c r="BMY89" s="74"/>
      <c r="BMZ89" s="64"/>
      <c r="BNA89" s="64"/>
      <c r="BNB89" s="64"/>
      <c r="BNC89" s="64"/>
      <c r="BND89" s="33"/>
      <c r="BNE89" s="137"/>
      <c r="BNF89" s="33"/>
      <c r="BNG89" s="33"/>
      <c r="BNH89" s="33"/>
      <c r="BNI89" s="33"/>
      <c r="BNJ89" s="33"/>
      <c r="BNK89" s="74"/>
      <c r="BNL89" s="33"/>
      <c r="BNM89" s="33"/>
      <c r="BNN89" s="33"/>
      <c r="BNO89" s="33"/>
      <c r="BNP89" s="33"/>
      <c r="BNQ89" s="137"/>
      <c r="BNR89" s="33"/>
      <c r="BNS89" s="33"/>
      <c r="BNT89" s="33"/>
      <c r="BNU89" s="33"/>
      <c r="BNV89" s="33"/>
      <c r="BNW89" s="74"/>
      <c r="BNX89" s="33"/>
      <c r="BNY89" s="33"/>
      <c r="BNZ89" s="33"/>
      <c r="BOA89" s="33"/>
      <c r="BOB89" s="33"/>
      <c r="BOC89" s="34"/>
      <c r="BOD89" s="32"/>
      <c r="BOE89" s="64"/>
      <c r="BOF89" s="64"/>
      <c r="BOG89" s="64"/>
      <c r="BOH89" s="33"/>
      <c r="BOI89" s="132"/>
      <c r="BOJ89" s="33"/>
      <c r="BOK89" s="33"/>
      <c r="BOL89" s="33"/>
      <c r="BOM89" s="33"/>
      <c r="BON89" s="33"/>
      <c r="BOO89" s="137"/>
      <c r="BOP89" s="33"/>
      <c r="BOQ89" s="33"/>
      <c r="BOR89" s="33"/>
      <c r="BOS89" s="33"/>
      <c r="BOT89" s="33"/>
      <c r="BOU89" s="74"/>
      <c r="BOV89" s="33"/>
      <c r="BOW89" s="33"/>
      <c r="BOX89" s="33"/>
      <c r="BOY89" s="33"/>
      <c r="BOZ89" s="33"/>
      <c r="BPA89" s="137"/>
      <c r="BPB89" s="33"/>
      <c r="BPC89" s="33"/>
      <c r="BPD89" s="33"/>
      <c r="BPE89" s="33"/>
      <c r="BPF89" s="33"/>
      <c r="BPG89" s="74"/>
      <c r="BPH89" s="64"/>
      <c r="BPI89" s="64"/>
      <c r="BPJ89" s="64"/>
      <c r="BPK89" s="64"/>
      <c r="BPL89" s="33"/>
      <c r="BPM89" s="137"/>
      <c r="BPN89" s="33"/>
      <c r="BPO89" s="33"/>
      <c r="BPP89" s="33"/>
      <c r="BPQ89" s="33"/>
      <c r="BPR89" s="33"/>
      <c r="BPS89" s="74"/>
      <c r="BPT89" s="33"/>
      <c r="BPU89" s="33"/>
      <c r="BPV89" s="33"/>
      <c r="BPW89" s="33"/>
      <c r="BPX89" s="33"/>
      <c r="BPY89" s="137"/>
      <c r="BPZ89" s="33"/>
      <c r="BQA89" s="33"/>
      <c r="BQB89" s="33"/>
      <c r="BQC89" s="33"/>
      <c r="BQD89" s="33"/>
      <c r="BQE89" s="74"/>
      <c r="BQF89" s="33"/>
      <c r="BQG89" s="33"/>
      <c r="BQH89" s="33"/>
      <c r="BQI89" s="33"/>
      <c r="BQJ89" s="33"/>
      <c r="BQK89" s="34"/>
      <c r="BQL89" s="32"/>
      <c r="BQM89" s="64"/>
      <c r="BQN89" s="64"/>
      <c r="BQO89" s="64"/>
      <c r="BQP89" s="33"/>
      <c r="BQQ89" s="132"/>
      <c r="BQR89" s="33"/>
      <c r="BQS89" s="33"/>
      <c r="BQT89" s="33"/>
      <c r="BQU89" s="33"/>
      <c r="BQV89" s="33"/>
      <c r="BQW89" s="137"/>
      <c r="BQX89" s="33"/>
      <c r="BQY89" s="33"/>
      <c r="BQZ89" s="33"/>
      <c r="BRA89" s="33"/>
      <c r="BRB89" s="33"/>
      <c r="BRC89" s="74"/>
      <c r="BRD89" s="33"/>
      <c r="BRE89" s="33"/>
      <c r="BRF89" s="33"/>
      <c r="BRG89" s="33"/>
      <c r="BRH89" s="33"/>
      <c r="BRI89" s="137"/>
      <c r="BRJ89" s="33"/>
      <c r="BRK89" s="33"/>
      <c r="BRL89" s="33"/>
      <c r="BRM89" s="33"/>
      <c r="BRN89" s="33"/>
      <c r="BRO89" s="74"/>
      <c r="BRP89" s="64"/>
      <c r="BRQ89" s="64"/>
      <c r="BRR89" s="64"/>
      <c r="BRS89" s="64"/>
      <c r="BRT89" s="33"/>
      <c r="BRU89" s="137"/>
      <c r="BRV89" s="33"/>
      <c r="BRW89" s="33"/>
      <c r="BRX89" s="33"/>
      <c r="BRY89" s="33"/>
      <c r="BRZ89" s="33"/>
      <c r="BSA89" s="74"/>
      <c r="BSB89" s="33"/>
      <c r="BSC89" s="33"/>
      <c r="BSD89" s="33"/>
      <c r="BSE89" s="33"/>
      <c r="BSF89" s="33"/>
      <c r="BSG89" s="137"/>
      <c r="BSH89" s="33"/>
      <c r="BSI89" s="33"/>
      <c r="BSJ89" s="33"/>
      <c r="BSK89" s="33"/>
      <c r="BSL89" s="33"/>
      <c r="BSM89" s="74"/>
      <c r="BSN89" s="33"/>
      <c r="BSO89" s="33"/>
      <c r="BSP89" s="33"/>
      <c r="BSQ89" s="33"/>
      <c r="BSR89" s="33"/>
      <c r="BSS89" s="34"/>
      <c r="BST89" s="32"/>
      <c r="BSU89" s="64"/>
      <c r="BSV89" s="64"/>
      <c r="BSW89" s="64"/>
      <c r="BSX89" s="33"/>
      <c r="BSY89" s="132"/>
      <c r="BSZ89" s="33"/>
      <c r="BTA89" s="33"/>
      <c r="BTB89" s="33"/>
      <c r="BTC89" s="33"/>
      <c r="BTD89" s="33"/>
      <c r="BTE89" s="137"/>
      <c r="BTF89" s="33"/>
      <c r="BTG89" s="33"/>
      <c r="BTH89" s="33"/>
      <c r="BTI89" s="33"/>
      <c r="BTJ89" s="33"/>
      <c r="BTK89" s="74"/>
      <c r="BTL89" s="33"/>
      <c r="BTM89" s="33"/>
      <c r="BTN89" s="33"/>
      <c r="BTO89" s="33"/>
      <c r="BTP89" s="33"/>
      <c r="BTQ89" s="137"/>
      <c r="BTR89" s="33"/>
      <c r="BTS89" s="33"/>
      <c r="BTT89" s="33"/>
      <c r="BTU89" s="33"/>
      <c r="BTV89" s="33"/>
      <c r="BTW89" s="74"/>
      <c r="BTX89" s="64"/>
      <c r="BTY89" s="64"/>
      <c r="BTZ89" s="64"/>
      <c r="BUA89" s="64"/>
      <c r="BUB89" s="33"/>
      <c r="BUC89" s="137"/>
      <c r="BUD89" s="33"/>
      <c r="BUE89" s="33"/>
      <c r="BUF89" s="33"/>
      <c r="BUG89" s="33"/>
      <c r="BUH89" s="33"/>
      <c r="BUI89" s="74"/>
      <c r="BUJ89" s="33"/>
      <c r="BUK89" s="33"/>
      <c r="BUL89" s="33"/>
      <c r="BUM89" s="33"/>
      <c r="BUN89" s="33"/>
      <c r="BUO89" s="137"/>
      <c r="BUP89" s="33"/>
      <c r="BUQ89" s="33"/>
      <c r="BUR89" s="33"/>
      <c r="BUS89" s="33"/>
      <c r="BUT89" s="33"/>
      <c r="BUU89" s="74"/>
      <c r="BUV89" s="33"/>
      <c r="BUW89" s="33"/>
      <c r="BUX89" s="33"/>
      <c r="BUY89" s="33"/>
      <c r="BUZ89" s="33"/>
      <c r="BVA89" s="34"/>
      <c r="BVB89" s="32"/>
      <c r="BVC89" s="64"/>
      <c r="BVD89" s="64"/>
      <c r="BVE89" s="64"/>
      <c r="BVF89" s="33"/>
      <c r="BVG89" s="132"/>
      <c r="BVH89" s="33"/>
      <c r="BVI89" s="33"/>
      <c r="BVJ89" s="33"/>
      <c r="BVK89" s="33"/>
      <c r="BVL89" s="33"/>
      <c r="BVM89" s="137"/>
      <c r="BVN89" s="33"/>
      <c r="BVO89" s="33"/>
      <c r="BVP89" s="33"/>
      <c r="BVQ89" s="33"/>
      <c r="BVR89" s="33"/>
      <c r="BVS89" s="74"/>
      <c r="BVT89" s="33"/>
      <c r="BVU89" s="33"/>
      <c r="BVV89" s="33"/>
      <c r="BVW89" s="33"/>
      <c r="BVX89" s="33"/>
      <c r="BVY89" s="137"/>
      <c r="BVZ89" s="33"/>
      <c r="BWA89" s="33"/>
      <c r="BWB89" s="33"/>
      <c r="BWC89" s="33"/>
      <c r="BWD89" s="33"/>
      <c r="BWE89" s="74"/>
      <c r="BWF89" s="64"/>
      <c r="BWG89" s="64"/>
      <c r="BWH89" s="64"/>
      <c r="BWI89" s="64"/>
      <c r="BWJ89" s="33"/>
      <c r="BWK89" s="137"/>
      <c r="BWL89" s="33"/>
      <c r="BWM89" s="33"/>
      <c r="BWN89" s="33"/>
      <c r="BWO89" s="33"/>
      <c r="BWP89" s="33"/>
      <c r="BWQ89" s="74"/>
      <c r="BWR89" s="33"/>
      <c r="BWS89" s="33"/>
      <c r="BWT89" s="33"/>
      <c r="BWU89" s="33"/>
      <c r="BWV89" s="33"/>
      <c r="BWW89" s="137"/>
      <c r="BWX89" s="33"/>
      <c r="BWY89" s="33"/>
      <c r="BWZ89" s="33"/>
      <c r="BXA89" s="33"/>
      <c r="BXB89" s="33"/>
      <c r="BXC89" s="74"/>
      <c r="BXD89" s="33"/>
      <c r="BXE89" s="33"/>
      <c r="BXF89" s="33"/>
      <c r="BXG89" s="33"/>
      <c r="BXH89" s="33"/>
      <c r="BXI89" s="34"/>
      <c r="BXJ89" s="32"/>
      <c r="BXK89" s="64"/>
      <c r="BXL89" s="64"/>
      <c r="BXM89" s="64"/>
      <c r="BXN89" s="33"/>
      <c r="BXO89" s="132"/>
      <c r="BXP89" s="33"/>
      <c r="BXQ89" s="33"/>
      <c r="BXR89" s="33"/>
      <c r="BXS89" s="33"/>
      <c r="BXT89" s="33"/>
      <c r="BXU89" s="137"/>
      <c r="BXV89" s="33"/>
      <c r="BXW89" s="33"/>
      <c r="BXX89" s="33"/>
      <c r="BXY89" s="33"/>
      <c r="BXZ89" s="33"/>
      <c r="BYA89" s="74"/>
      <c r="BYB89" s="33"/>
      <c r="BYC89" s="33"/>
      <c r="BYD89" s="33"/>
      <c r="BYE89" s="33"/>
      <c r="BYF89" s="33"/>
      <c r="BYG89" s="137"/>
      <c r="BYH89" s="33"/>
      <c r="BYI89" s="33"/>
      <c r="BYJ89" s="33"/>
      <c r="BYK89" s="33"/>
      <c r="BYL89" s="33"/>
      <c r="BYM89" s="74"/>
      <c r="BYN89" s="64"/>
      <c r="BYO89" s="64"/>
      <c r="BYP89" s="64"/>
      <c r="BYQ89" s="64"/>
      <c r="BYR89" s="33"/>
      <c r="BYS89" s="137"/>
      <c r="BYT89" s="33"/>
      <c r="BYU89" s="33"/>
      <c r="BYV89" s="33"/>
      <c r="BYW89" s="33"/>
      <c r="BYX89" s="33"/>
      <c r="BYY89" s="74"/>
      <c r="BYZ89" s="33"/>
      <c r="BZA89" s="33"/>
      <c r="BZB89" s="33"/>
      <c r="BZC89" s="33"/>
      <c r="BZD89" s="33"/>
      <c r="BZE89" s="137"/>
      <c r="BZF89" s="33"/>
      <c r="BZG89" s="33"/>
      <c r="BZH89" s="33"/>
      <c r="BZI89" s="33"/>
      <c r="BZJ89" s="33"/>
      <c r="BZK89" s="74"/>
      <c r="BZL89" s="33"/>
      <c r="BZM89" s="33"/>
      <c r="BZN89" s="33"/>
      <c r="BZO89" s="33"/>
      <c r="BZP89" s="33"/>
      <c r="BZQ89" s="34"/>
      <c r="BZR89" s="32"/>
      <c r="BZS89" s="64"/>
      <c r="BZT89" s="64"/>
      <c r="BZU89" s="64"/>
      <c r="BZV89" s="33"/>
      <c r="BZW89" s="132"/>
      <c r="BZX89" s="33"/>
      <c r="BZY89" s="33"/>
      <c r="BZZ89" s="33"/>
      <c r="CAA89" s="33"/>
      <c r="CAB89" s="33"/>
      <c r="CAC89" s="137"/>
      <c r="CAD89" s="33"/>
      <c r="CAE89" s="33"/>
      <c r="CAF89" s="33"/>
      <c r="CAG89" s="33"/>
      <c r="CAH89" s="33"/>
      <c r="CAI89" s="74"/>
      <c r="CAJ89" s="33"/>
      <c r="CAK89" s="33"/>
      <c r="CAL89" s="33"/>
      <c r="CAM89" s="33"/>
      <c r="CAN89" s="33"/>
      <c r="CAO89" s="137"/>
      <c r="CAP89" s="33"/>
      <c r="CAQ89" s="33"/>
      <c r="CAR89" s="33"/>
      <c r="CAS89" s="33"/>
      <c r="CAT89" s="33"/>
      <c r="CAU89" s="74"/>
      <c r="CAV89" s="64"/>
      <c r="CAW89" s="64"/>
      <c r="CAX89" s="64"/>
      <c r="CAY89" s="64"/>
      <c r="CAZ89" s="33"/>
      <c r="CBA89" s="137"/>
      <c r="CBB89" s="33"/>
      <c r="CBC89" s="33"/>
      <c r="CBD89" s="33"/>
      <c r="CBE89" s="33"/>
      <c r="CBF89" s="33"/>
      <c r="CBG89" s="74"/>
      <c r="CBH89" s="33"/>
      <c r="CBI89" s="33"/>
      <c r="CBJ89" s="33"/>
      <c r="CBK89" s="33"/>
      <c r="CBL89" s="33"/>
      <c r="CBM89" s="137"/>
      <c r="CBN89" s="33"/>
      <c r="CBO89" s="33"/>
      <c r="CBP89" s="33"/>
      <c r="CBQ89" s="33"/>
      <c r="CBR89" s="33"/>
      <c r="CBS89" s="74"/>
      <c r="CBT89" s="33"/>
      <c r="CBU89" s="33"/>
      <c r="CBV89" s="33"/>
      <c r="CBW89" s="33"/>
      <c r="CBX89" s="33"/>
      <c r="CBY89" s="34"/>
      <c r="CBZ89" s="90"/>
    </row>
    <row r="90" spans="1:2106" ht="20.100000000000001" customHeight="1" x14ac:dyDescent="0.3">
      <c r="A90" s="100" t="s">
        <v>23</v>
      </c>
      <c r="B90" s="63"/>
      <c r="C90" s="171"/>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36"/>
      <c r="BLW90" s="65"/>
      <c r="BLX90" s="65"/>
      <c r="BLY90" s="65"/>
      <c r="BLZ90" s="37"/>
      <c r="BMA90" s="133"/>
      <c r="BMB90" s="37"/>
      <c r="BMC90" s="37"/>
      <c r="BMD90" s="37"/>
      <c r="BME90" s="37"/>
      <c r="BMF90" s="37"/>
      <c r="BMG90" s="138"/>
      <c r="BMH90" s="37"/>
      <c r="BMI90" s="37"/>
      <c r="BMJ90" s="37"/>
      <c r="BMK90" s="37"/>
      <c r="BML90" s="37"/>
      <c r="BMM90" s="75"/>
      <c r="BMN90" s="37"/>
      <c r="BMO90" s="37"/>
      <c r="BMP90" s="37"/>
      <c r="BMQ90" s="37"/>
      <c r="BMR90" s="37"/>
      <c r="BMS90" s="138"/>
      <c r="BMT90" s="37"/>
      <c r="BMU90" s="37"/>
      <c r="BMV90" s="37"/>
      <c r="BMW90" s="37"/>
      <c r="BMX90" s="37"/>
      <c r="BMY90" s="75"/>
      <c r="BMZ90" s="65"/>
      <c r="BNA90" s="65"/>
      <c r="BNB90" s="65"/>
      <c r="BNC90" s="65"/>
      <c r="BND90" s="37"/>
      <c r="BNE90" s="138"/>
      <c r="BNF90" s="37"/>
      <c r="BNG90" s="37"/>
      <c r="BNH90" s="37"/>
      <c r="BNI90" s="37"/>
      <c r="BNJ90" s="37"/>
      <c r="BNK90" s="75"/>
      <c r="BNL90" s="37"/>
      <c r="BNM90" s="37"/>
      <c r="BNN90" s="37"/>
      <c r="BNO90" s="37"/>
      <c r="BNP90" s="37"/>
      <c r="BNQ90" s="138"/>
      <c r="BNR90" s="37"/>
      <c r="BNS90" s="37"/>
      <c r="BNT90" s="37"/>
      <c r="BNU90" s="37"/>
      <c r="BNV90" s="37"/>
      <c r="BNW90" s="75"/>
      <c r="BNX90" s="37"/>
      <c r="BNY90" s="37"/>
      <c r="BNZ90" s="37"/>
      <c r="BOA90" s="37"/>
      <c r="BOB90" s="37"/>
      <c r="BOC90" s="38"/>
      <c r="BOD90" s="36"/>
      <c r="BOE90" s="65"/>
      <c r="BOF90" s="65"/>
      <c r="BOG90" s="65"/>
      <c r="BOH90" s="37"/>
      <c r="BOI90" s="133"/>
      <c r="BOJ90" s="37"/>
      <c r="BOK90" s="37"/>
      <c r="BOL90" s="37"/>
      <c r="BOM90" s="37"/>
      <c r="BON90" s="37"/>
      <c r="BOO90" s="138"/>
      <c r="BOP90" s="37"/>
      <c r="BOQ90" s="37"/>
      <c r="BOR90" s="37"/>
      <c r="BOS90" s="37"/>
      <c r="BOT90" s="37"/>
      <c r="BOU90" s="75"/>
      <c r="BOV90" s="37"/>
      <c r="BOW90" s="37"/>
      <c r="BOX90" s="37"/>
      <c r="BOY90" s="37"/>
      <c r="BOZ90" s="37"/>
      <c r="BPA90" s="138"/>
      <c r="BPB90" s="37"/>
      <c r="BPC90" s="37"/>
      <c r="BPD90" s="37"/>
      <c r="BPE90" s="37"/>
      <c r="BPF90" s="37"/>
      <c r="BPG90" s="75"/>
      <c r="BPH90" s="65"/>
      <c r="BPI90" s="65"/>
      <c r="BPJ90" s="65"/>
      <c r="BPK90" s="65"/>
      <c r="BPL90" s="37"/>
      <c r="BPM90" s="138"/>
      <c r="BPN90" s="37"/>
      <c r="BPO90" s="37"/>
      <c r="BPP90" s="37"/>
      <c r="BPQ90" s="37"/>
      <c r="BPR90" s="37"/>
      <c r="BPS90" s="75"/>
      <c r="BPT90" s="37"/>
      <c r="BPU90" s="37"/>
      <c r="BPV90" s="37"/>
      <c r="BPW90" s="37"/>
      <c r="BPX90" s="37"/>
      <c r="BPY90" s="138"/>
      <c r="BPZ90" s="37"/>
      <c r="BQA90" s="37"/>
      <c r="BQB90" s="37"/>
      <c r="BQC90" s="37"/>
      <c r="BQD90" s="37"/>
      <c r="BQE90" s="75"/>
      <c r="BQF90" s="37"/>
      <c r="BQG90" s="37"/>
      <c r="BQH90" s="37"/>
      <c r="BQI90" s="37"/>
      <c r="BQJ90" s="37"/>
      <c r="BQK90" s="38"/>
      <c r="BQL90" s="36"/>
      <c r="BQM90" s="65"/>
      <c r="BQN90" s="65"/>
      <c r="BQO90" s="65"/>
      <c r="BQP90" s="37"/>
      <c r="BQQ90" s="133"/>
      <c r="BQR90" s="37"/>
      <c r="BQS90" s="37"/>
      <c r="BQT90" s="37"/>
      <c r="BQU90" s="37"/>
      <c r="BQV90" s="37"/>
      <c r="BQW90" s="138"/>
      <c r="BQX90" s="37"/>
      <c r="BQY90" s="37"/>
      <c r="BQZ90" s="37"/>
      <c r="BRA90" s="37"/>
      <c r="BRB90" s="37"/>
      <c r="BRC90" s="75"/>
      <c r="BRD90" s="37"/>
      <c r="BRE90" s="37"/>
      <c r="BRF90" s="37"/>
      <c r="BRG90" s="37"/>
      <c r="BRH90" s="37"/>
      <c r="BRI90" s="138"/>
      <c r="BRJ90" s="37"/>
      <c r="BRK90" s="37"/>
      <c r="BRL90" s="37"/>
      <c r="BRM90" s="37"/>
      <c r="BRN90" s="37"/>
      <c r="BRO90" s="75"/>
      <c r="BRP90" s="65"/>
      <c r="BRQ90" s="65"/>
      <c r="BRR90" s="65"/>
      <c r="BRS90" s="65"/>
      <c r="BRT90" s="37"/>
      <c r="BRU90" s="138"/>
      <c r="BRV90" s="37"/>
      <c r="BRW90" s="37"/>
      <c r="BRX90" s="37"/>
      <c r="BRY90" s="37"/>
      <c r="BRZ90" s="37"/>
      <c r="BSA90" s="75"/>
      <c r="BSB90" s="37"/>
      <c r="BSC90" s="37"/>
      <c r="BSD90" s="37"/>
      <c r="BSE90" s="37"/>
      <c r="BSF90" s="37"/>
      <c r="BSG90" s="138"/>
      <c r="BSH90" s="37"/>
      <c r="BSI90" s="37"/>
      <c r="BSJ90" s="37"/>
      <c r="BSK90" s="37"/>
      <c r="BSL90" s="37"/>
      <c r="BSM90" s="75"/>
      <c r="BSN90" s="37"/>
      <c r="BSO90" s="37"/>
      <c r="BSP90" s="37"/>
      <c r="BSQ90" s="37"/>
      <c r="BSR90" s="37"/>
      <c r="BSS90" s="38"/>
      <c r="BST90" s="36"/>
      <c r="BSU90" s="65"/>
      <c r="BSV90" s="65"/>
      <c r="BSW90" s="65"/>
      <c r="BSX90" s="37"/>
      <c r="BSY90" s="133"/>
      <c r="BSZ90" s="37"/>
      <c r="BTA90" s="37"/>
      <c r="BTB90" s="37"/>
      <c r="BTC90" s="37"/>
      <c r="BTD90" s="37"/>
      <c r="BTE90" s="138"/>
      <c r="BTF90" s="37"/>
      <c r="BTG90" s="37"/>
      <c r="BTH90" s="37"/>
      <c r="BTI90" s="37"/>
      <c r="BTJ90" s="37"/>
      <c r="BTK90" s="75"/>
      <c r="BTL90" s="37"/>
      <c r="BTM90" s="37"/>
      <c r="BTN90" s="37"/>
      <c r="BTO90" s="37"/>
      <c r="BTP90" s="37"/>
      <c r="BTQ90" s="138"/>
      <c r="BTR90" s="37"/>
      <c r="BTS90" s="37"/>
      <c r="BTT90" s="37"/>
      <c r="BTU90" s="37"/>
      <c r="BTV90" s="37"/>
      <c r="BTW90" s="75"/>
      <c r="BTX90" s="65"/>
      <c r="BTY90" s="65"/>
      <c r="BTZ90" s="65"/>
      <c r="BUA90" s="65"/>
      <c r="BUB90" s="37"/>
      <c r="BUC90" s="138"/>
      <c r="BUD90" s="37"/>
      <c r="BUE90" s="37"/>
      <c r="BUF90" s="37"/>
      <c r="BUG90" s="37"/>
      <c r="BUH90" s="37"/>
      <c r="BUI90" s="75"/>
      <c r="BUJ90" s="37"/>
      <c r="BUK90" s="37"/>
      <c r="BUL90" s="37"/>
      <c r="BUM90" s="37"/>
      <c r="BUN90" s="37"/>
      <c r="BUO90" s="138"/>
      <c r="BUP90" s="37"/>
      <c r="BUQ90" s="37"/>
      <c r="BUR90" s="37"/>
      <c r="BUS90" s="37"/>
      <c r="BUT90" s="37"/>
      <c r="BUU90" s="75"/>
      <c r="BUV90" s="37"/>
      <c r="BUW90" s="37"/>
      <c r="BUX90" s="37"/>
      <c r="BUY90" s="37"/>
      <c r="BUZ90" s="37"/>
      <c r="BVA90" s="38"/>
      <c r="BVB90" s="36"/>
      <c r="BVC90" s="65"/>
      <c r="BVD90" s="65"/>
      <c r="BVE90" s="65"/>
      <c r="BVF90" s="37"/>
      <c r="BVG90" s="133"/>
      <c r="BVH90" s="37"/>
      <c r="BVI90" s="37"/>
      <c r="BVJ90" s="37"/>
      <c r="BVK90" s="37"/>
      <c r="BVL90" s="37"/>
      <c r="BVM90" s="138"/>
      <c r="BVN90" s="37"/>
      <c r="BVO90" s="37"/>
      <c r="BVP90" s="37"/>
      <c r="BVQ90" s="37"/>
      <c r="BVR90" s="37"/>
      <c r="BVS90" s="75"/>
      <c r="BVT90" s="37"/>
      <c r="BVU90" s="37"/>
      <c r="BVV90" s="37"/>
      <c r="BVW90" s="37"/>
      <c r="BVX90" s="37"/>
      <c r="BVY90" s="138"/>
      <c r="BVZ90" s="37"/>
      <c r="BWA90" s="37"/>
      <c r="BWB90" s="37"/>
      <c r="BWC90" s="37"/>
      <c r="BWD90" s="37"/>
      <c r="BWE90" s="75"/>
      <c r="BWF90" s="65"/>
      <c r="BWG90" s="65"/>
      <c r="BWH90" s="65"/>
      <c r="BWI90" s="65"/>
      <c r="BWJ90" s="37"/>
      <c r="BWK90" s="138"/>
      <c r="BWL90" s="37"/>
      <c r="BWM90" s="37"/>
      <c r="BWN90" s="37"/>
      <c r="BWO90" s="37"/>
      <c r="BWP90" s="37"/>
      <c r="BWQ90" s="75"/>
      <c r="BWR90" s="37"/>
      <c r="BWS90" s="37"/>
      <c r="BWT90" s="37"/>
      <c r="BWU90" s="37"/>
      <c r="BWV90" s="37"/>
      <c r="BWW90" s="138"/>
      <c r="BWX90" s="37"/>
      <c r="BWY90" s="37"/>
      <c r="BWZ90" s="37"/>
      <c r="BXA90" s="37"/>
      <c r="BXB90" s="37"/>
      <c r="BXC90" s="75"/>
      <c r="BXD90" s="37"/>
      <c r="BXE90" s="37"/>
      <c r="BXF90" s="37"/>
      <c r="BXG90" s="37"/>
      <c r="BXH90" s="37"/>
      <c r="BXI90" s="38"/>
      <c r="BXJ90" s="36"/>
      <c r="BXK90" s="65"/>
      <c r="BXL90" s="65"/>
      <c r="BXM90" s="65"/>
      <c r="BXN90" s="37"/>
      <c r="BXO90" s="133"/>
      <c r="BXP90" s="37"/>
      <c r="BXQ90" s="37"/>
      <c r="BXR90" s="37"/>
      <c r="BXS90" s="37"/>
      <c r="BXT90" s="37"/>
      <c r="BXU90" s="138"/>
      <c r="BXV90" s="37"/>
      <c r="BXW90" s="37"/>
      <c r="BXX90" s="37"/>
      <c r="BXY90" s="37"/>
      <c r="BXZ90" s="37"/>
      <c r="BYA90" s="75"/>
      <c r="BYB90" s="37"/>
      <c r="BYC90" s="37"/>
      <c r="BYD90" s="37"/>
      <c r="BYE90" s="37"/>
      <c r="BYF90" s="37"/>
      <c r="BYG90" s="138"/>
      <c r="BYH90" s="37"/>
      <c r="BYI90" s="37"/>
      <c r="BYJ90" s="37"/>
      <c r="BYK90" s="37"/>
      <c r="BYL90" s="37"/>
      <c r="BYM90" s="75"/>
      <c r="BYN90" s="65"/>
      <c r="BYO90" s="65"/>
      <c r="BYP90" s="65"/>
      <c r="BYQ90" s="65"/>
      <c r="BYR90" s="37"/>
      <c r="BYS90" s="138"/>
      <c r="BYT90" s="37"/>
      <c r="BYU90" s="37"/>
      <c r="BYV90" s="37"/>
      <c r="BYW90" s="37"/>
      <c r="BYX90" s="37"/>
      <c r="BYY90" s="75"/>
      <c r="BYZ90" s="37"/>
      <c r="BZA90" s="37"/>
      <c r="BZB90" s="37"/>
      <c r="BZC90" s="37"/>
      <c r="BZD90" s="37"/>
      <c r="BZE90" s="138"/>
      <c r="BZF90" s="37"/>
      <c r="BZG90" s="37"/>
      <c r="BZH90" s="37"/>
      <c r="BZI90" s="37"/>
      <c r="BZJ90" s="37"/>
      <c r="BZK90" s="75"/>
      <c r="BZL90" s="37"/>
      <c r="BZM90" s="37"/>
      <c r="BZN90" s="37"/>
      <c r="BZO90" s="37"/>
      <c r="BZP90" s="37"/>
      <c r="BZQ90" s="38"/>
      <c r="BZR90" s="36"/>
      <c r="BZS90" s="65"/>
      <c r="BZT90" s="65"/>
      <c r="BZU90" s="65"/>
      <c r="BZV90" s="37"/>
      <c r="BZW90" s="133"/>
      <c r="BZX90" s="37"/>
      <c r="BZY90" s="37"/>
      <c r="BZZ90" s="37"/>
      <c r="CAA90" s="37"/>
      <c r="CAB90" s="37"/>
      <c r="CAC90" s="138"/>
      <c r="CAD90" s="37"/>
      <c r="CAE90" s="37"/>
      <c r="CAF90" s="37"/>
      <c r="CAG90" s="37"/>
      <c r="CAH90" s="37"/>
      <c r="CAI90" s="75"/>
      <c r="CAJ90" s="37"/>
      <c r="CAK90" s="37"/>
      <c r="CAL90" s="37"/>
      <c r="CAM90" s="37"/>
      <c r="CAN90" s="37"/>
      <c r="CAO90" s="138"/>
      <c r="CAP90" s="37"/>
      <c r="CAQ90" s="37"/>
      <c r="CAR90" s="37"/>
      <c r="CAS90" s="37"/>
      <c r="CAT90" s="37"/>
      <c r="CAU90" s="75"/>
      <c r="CAV90" s="65"/>
      <c r="CAW90" s="65"/>
      <c r="CAX90" s="65"/>
      <c r="CAY90" s="65"/>
      <c r="CAZ90" s="37"/>
      <c r="CBA90" s="138"/>
      <c r="CBB90" s="37"/>
      <c r="CBC90" s="37"/>
      <c r="CBD90" s="37"/>
      <c r="CBE90" s="37"/>
      <c r="CBF90" s="37"/>
      <c r="CBG90" s="75"/>
      <c r="CBH90" s="37"/>
      <c r="CBI90" s="37"/>
      <c r="CBJ90" s="37"/>
      <c r="CBK90" s="37"/>
      <c r="CBL90" s="37"/>
      <c r="CBM90" s="138"/>
      <c r="CBN90" s="37"/>
      <c r="CBO90" s="37"/>
      <c r="CBP90" s="37"/>
      <c r="CBQ90" s="37"/>
      <c r="CBR90" s="37"/>
      <c r="CBS90" s="75"/>
      <c r="CBT90" s="37"/>
      <c r="CBU90" s="37"/>
      <c r="CBV90" s="37"/>
      <c r="CBW90" s="37"/>
      <c r="CBX90" s="37"/>
      <c r="CBY90" s="38"/>
      <c r="CBZ90" s="90"/>
    </row>
    <row r="91" spans="1:2106" ht="20.100000000000001" customHeight="1" x14ac:dyDescent="0.25">
      <c r="A91" s="100" t="s">
        <v>22</v>
      </c>
      <c r="B91" s="63"/>
      <c r="C91" s="170"/>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40"/>
      <c r="BLW91" s="66"/>
      <c r="BLX91" s="66"/>
      <c r="BLY91" s="66"/>
      <c r="BLZ91" s="41"/>
      <c r="BMA91" s="134"/>
      <c r="BMB91" s="41"/>
      <c r="BMC91" s="41"/>
      <c r="BMD91" s="41"/>
      <c r="BME91" s="41"/>
      <c r="BMF91" s="41"/>
      <c r="BMG91" s="139"/>
      <c r="BMH91" s="41"/>
      <c r="BMI91" s="41"/>
      <c r="BMJ91" s="41"/>
      <c r="BMK91" s="41"/>
      <c r="BML91" s="41"/>
      <c r="BMM91" s="76"/>
      <c r="BMN91" s="41"/>
      <c r="BMO91" s="41"/>
      <c r="BMP91" s="41"/>
      <c r="BMQ91" s="41"/>
      <c r="BMR91" s="41"/>
      <c r="BMS91" s="139"/>
      <c r="BMT91" s="41"/>
      <c r="BMU91" s="41"/>
      <c r="BMV91" s="41"/>
      <c r="BMW91" s="41"/>
      <c r="BMX91" s="41"/>
      <c r="BMY91" s="76"/>
      <c r="BMZ91" s="66"/>
      <c r="BNA91" s="66"/>
      <c r="BNB91" s="66"/>
      <c r="BNC91" s="66"/>
      <c r="BND91" s="41"/>
      <c r="BNE91" s="139"/>
      <c r="BNF91" s="41"/>
      <c r="BNG91" s="41"/>
      <c r="BNH91" s="41"/>
      <c r="BNI91" s="41"/>
      <c r="BNJ91" s="41"/>
      <c r="BNK91" s="76"/>
      <c r="BNL91" s="41"/>
      <c r="BNM91" s="41"/>
      <c r="BNN91" s="41"/>
      <c r="BNO91" s="41"/>
      <c r="BNP91" s="41"/>
      <c r="BNQ91" s="139"/>
      <c r="BNR91" s="41"/>
      <c r="BNS91" s="41"/>
      <c r="BNT91" s="41"/>
      <c r="BNU91" s="41"/>
      <c r="BNV91" s="41"/>
      <c r="BNW91" s="76"/>
      <c r="BNX91" s="41"/>
      <c r="BNY91" s="41"/>
      <c r="BNZ91" s="41"/>
      <c r="BOA91" s="41"/>
      <c r="BOB91" s="41"/>
      <c r="BOC91" s="42"/>
      <c r="BOD91" s="40"/>
      <c r="BOE91" s="66"/>
      <c r="BOF91" s="66"/>
      <c r="BOG91" s="66"/>
      <c r="BOH91" s="41"/>
      <c r="BOI91" s="134"/>
      <c r="BOJ91" s="41"/>
      <c r="BOK91" s="41"/>
      <c r="BOL91" s="41"/>
      <c r="BOM91" s="41"/>
      <c r="BON91" s="41"/>
      <c r="BOO91" s="139"/>
      <c r="BOP91" s="41"/>
      <c r="BOQ91" s="41"/>
      <c r="BOR91" s="41"/>
      <c r="BOS91" s="41"/>
      <c r="BOT91" s="41"/>
      <c r="BOU91" s="76"/>
      <c r="BOV91" s="41"/>
      <c r="BOW91" s="41"/>
      <c r="BOX91" s="41"/>
      <c r="BOY91" s="41"/>
      <c r="BOZ91" s="41"/>
      <c r="BPA91" s="139"/>
      <c r="BPB91" s="41"/>
      <c r="BPC91" s="41"/>
      <c r="BPD91" s="41"/>
      <c r="BPE91" s="41"/>
      <c r="BPF91" s="41"/>
      <c r="BPG91" s="76"/>
      <c r="BPH91" s="66"/>
      <c r="BPI91" s="66"/>
      <c r="BPJ91" s="66"/>
      <c r="BPK91" s="66"/>
      <c r="BPL91" s="41"/>
      <c r="BPM91" s="139"/>
      <c r="BPN91" s="41"/>
      <c r="BPO91" s="41"/>
      <c r="BPP91" s="41"/>
      <c r="BPQ91" s="41"/>
      <c r="BPR91" s="41"/>
      <c r="BPS91" s="76"/>
      <c r="BPT91" s="41"/>
      <c r="BPU91" s="41"/>
      <c r="BPV91" s="41"/>
      <c r="BPW91" s="41"/>
      <c r="BPX91" s="41"/>
      <c r="BPY91" s="139"/>
      <c r="BPZ91" s="41"/>
      <c r="BQA91" s="41"/>
      <c r="BQB91" s="41"/>
      <c r="BQC91" s="41"/>
      <c r="BQD91" s="41"/>
      <c r="BQE91" s="76"/>
      <c r="BQF91" s="41"/>
      <c r="BQG91" s="41"/>
      <c r="BQH91" s="41"/>
      <c r="BQI91" s="41"/>
      <c r="BQJ91" s="41"/>
      <c r="BQK91" s="42"/>
      <c r="BQL91" s="40"/>
      <c r="BQM91" s="66"/>
      <c r="BQN91" s="66"/>
      <c r="BQO91" s="66"/>
      <c r="BQP91" s="41"/>
      <c r="BQQ91" s="134"/>
      <c r="BQR91" s="41"/>
      <c r="BQS91" s="41"/>
      <c r="BQT91" s="41"/>
      <c r="BQU91" s="41"/>
      <c r="BQV91" s="41"/>
      <c r="BQW91" s="139"/>
      <c r="BQX91" s="41"/>
      <c r="BQY91" s="41"/>
      <c r="BQZ91" s="41"/>
      <c r="BRA91" s="41"/>
      <c r="BRB91" s="41"/>
      <c r="BRC91" s="76"/>
      <c r="BRD91" s="41"/>
      <c r="BRE91" s="41"/>
      <c r="BRF91" s="41"/>
      <c r="BRG91" s="41"/>
      <c r="BRH91" s="41"/>
      <c r="BRI91" s="139"/>
      <c r="BRJ91" s="41"/>
      <c r="BRK91" s="41"/>
      <c r="BRL91" s="41"/>
      <c r="BRM91" s="41"/>
      <c r="BRN91" s="41"/>
      <c r="BRO91" s="76"/>
      <c r="BRP91" s="66"/>
      <c r="BRQ91" s="66"/>
      <c r="BRR91" s="66"/>
      <c r="BRS91" s="66"/>
      <c r="BRT91" s="41"/>
      <c r="BRU91" s="139"/>
      <c r="BRV91" s="41"/>
      <c r="BRW91" s="41"/>
      <c r="BRX91" s="41"/>
      <c r="BRY91" s="41"/>
      <c r="BRZ91" s="41"/>
      <c r="BSA91" s="76"/>
      <c r="BSB91" s="41"/>
      <c r="BSC91" s="41"/>
      <c r="BSD91" s="41"/>
      <c r="BSE91" s="41"/>
      <c r="BSF91" s="41"/>
      <c r="BSG91" s="139"/>
      <c r="BSH91" s="41"/>
      <c r="BSI91" s="41"/>
      <c r="BSJ91" s="41"/>
      <c r="BSK91" s="41"/>
      <c r="BSL91" s="41"/>
      <c r="BSM91" s="76"/>
      <c r="BSN91" s="41"/>
      <c r="BSO91" s="41"/>
      <c r="BSP91" s="41"/>
      <c r="BSQ91" s="41"/>
      <c r="BSR91" s="41"/>
      <c r="BSS91" s="42"/>
      <c r="BST91" s="40"/>
      <c r="BSU91" s="66"/>
      <c r="BSV91" s="66"/>
      <c r="BSW91" s="66"/>
      <c r="BSX91" s="41"/>
      <c r="BSY91" s="134"/>
      <c r="BSZ91" s="41"/>
      <c r="BTA91" s="41"/>
      <c r="BTB91" s="41"/>
      <c r="BTC91" s="41"/>
      <c r="BTD91" s="41"/>
      <c r="BTE91" s="139"/>
      <c r="BTF91" s="41"/>
      <c r="BTG91" s="41"/>
      <c r="BTH91" s="41"/>
      <c r="BTI91" s="41"/>
      <c r="BTJ91" s="41"/>
      <c r="BTK91" s="76"/>
      <c r="BTL91" s="41"/>
      <c r="BTM91" s="41"/>
      <c r="BTN91" s="41"/>
      <c r="BTO91" s="41"/>
      <c r="BTP91" s="41"/>
      <c r="BTQ91" s="139"/>
      <c r="BTR91" s="41"/>
      <c r="BTS91" s="41"/>
      <c r="BTT91" s="41"/>
      <c r="BTU91" s="41"/>
      <c r="BTV91" s="41"/>
      <c r="BTW91" s="76"/>
      <c r="BTX91" s="66"/>
      <c r="BTY91" s="66"/>
      <c r="BTZ91" s="66"/>
      <c r="BUA91" s="66"/>
      <c r="BUB91" s="41"/>
      <c r="BUC91" s="139"/>
      <c r="BUD91" s="41"/>
      <c r="BUE91" s="41"/>
      <c r="BUF91" s="41"/>
      <c r="BUG91" s="41"/>
      <c r="BUH91" s="41"/>
      <c r="BUI91" s="76"/>
      <c r="BUJ91" s="41"/>
      <c r="BUK91" s="41"/>
      <c r="BUL91" s="41"/>
      <c r="BUM91" s="41"/>
      <c r="BUN91" s="41"/>
      <c r="BUO91" s="139"/>
      <c r="BUP91" s="41"/>
      <c r="BUQ91" s="41"/>
      <c r="BUR91" s="41"/>
      <c r="BUS91" s="41"/>
      <c r="BUT91" s="41"/>
      <c r="BUU91" s="76"/>
      <c r="BUV91" s="41"/>
      <c r="BUW91" s="41"/>
      <c r="BUX91" s="41"/>
      <c r="BUY91" s="41"/>
      <c r="BUZ91" s="41"/>
      <c r="BVA91" s="42"/>
      <c r="BVB91" s="40"/>
      <c r="BVC91" s="66"/>
      <c r="BVD91" s="66"/>
      <c r="BVE91" s="66"/>
      <c r="BVF91" s="41"/>
      <c r="BVG91" s="134"/>
      <c r="BVH91" s="41"/>
      <c r="BVI91" s="41"/>
      <c r="BVJ91" s="41"/>
      <c r="BVK91" s="41"/>
      <c r="BVL91" s="41"/>
      <c r="BVM91" s="139"/>
      <c r="BVN91" s="41"/>
      <c r="BVO91" s="41"/>
      <c r="BVP91" s="41"/>
      <c r="BVQ91" s="41"/>
      <c r="BVR91" s="41"/>
      <c r="BVS91" s="76"/>
      <c r="BVT91" s="41"/>
      <c r="BVU91" s="41"/>
      <c r="BVV91" s="41"/>
      <c r="BVW91" s="41"/>
      <c r="BVX91" s="41"/>
      <c r="BVY91" s="139"/>
      <c r="BVZ91" s="41"/>
      <c r="BWA91" s="41"/>
      <c r="BWB91" s="41"/>
      <c r="BWC91" s="41"/>
      <c r="BWD91" s="41"/>
      <c r="BWE91" s="76"/>
      <c r="BWF91" s="66"/>
      <c r="BWG91" s="66"/>
      <c r="BWH91" s="66"/>
      <c r="BWI91" s="66"/>
      <c r="BWJ91" s="41"/>
      <c r="BWK91" s="139"/>
      <c r="BWL91" s="41"/>
      <c r="BWM91" s="41"/>
      <c r="BWN91" s="41"/>
      <c r="BWO91" s="41"/>
      <c r="BWP91" s="41"/>
      <c r="BWQ91" s="76"/>
      <c r="BWR91" s="41"/>
      <c r="BWS91" s="41"/>
      <c r="BWT91" s="41"/>
      <c r="BWU91" s="41"/>
      <c r="BWV91" s="41"/>
      <c r="BWW91" s="139"/>
      <c r="BWX91" s="41"/>
      <c r="BWY91" s="41"/>
      <c r="BWZ91" s="41"/>
      <c r="BXA91" s="41"/>
      <c r="BXB91" s="41"/>
      <c r="BXC91" s="76"/>
      <c r="BXD91" s="41"/>
      <c r="BXE91" s="41"/>
      <c r="BXF91" s="41"/>
      <c r="BXG91" s="41"/>
      <c r="BXH91" s="41"/>
      <c r="BXI91" s="42"/>
      <c r="BXJ91" s="40"/>
      <c r="BXK91" s="66"/>
      <c r="BXL91" s="66"/>
      <c r="BXM91" s="66"/>
      <c r="BXN91" s="41"/>
      <c r="BXO91" s="134"/>
      <c r="BXP91" s="41"/>
      <c r="BXQ91" s="41"/>
      <c r="BXR91" s="41"/>
      <c r="BXS91" s="41"/>
      <c r="BXT91" s="41"/>
      <c r="BXU91" s="139"/>
      <c r="BXV91" s="41"/>
      <c r="BXW91" s="41"/>
      <c r="BXX91" s="41"/>
      <c r="BXY91" s="41"/>
      <c r="BXZ91" s="41"/>
      <c r="BYA91" s="76"/>
      <c r="BYB91" s="41"/>
      <c r="BYC91" s="41"/>
      <c r="BYD91" s="41"/>
      <c r="BYE91" s="41"/>
      <c r="BYF91" s="41"/>
      <c r="BYG91" s="139"/>
      <c r="BYH91" s="41"/>
      <c r="BYI91" s="41"/>
      <c r="BYJ91" s="41"/>
      <c r="BYK91" s="41"/>
      <c r="BYL91" s="41"/>
      <c r="BYM91" s="76"/>
      <c r="BYN91" s="66"/>
      <c r="BYO91" s="66"/>
      <c r="BYP91" s="66"/>
      <c r="BYQ91" s="66"/>
      <c r="BYR91" s="41"/>
      <c r="BYS91" s="139"/>
      <c r="BYT91" s="41"/>
      <c r="BYU91" s="41"/>
      <c r="BYV91" s="41"/>
      <c r="BYW91" s="41"/>
      <c r="BYX91" s="41"/>
      <c r="BYY91" s="76"/>
      <c r="BYZ91" s="41"/>
      <c r="BZA91" s="41"/>
      <c r="BZB91" s="41"/>
      <c r="BZC91" s="41"/>
      <c r="BZD91" s="41"/>
      <c r="BZE91" s="139"/>
      <c r="BZF91" s="41"/>
      <c r="BZG91" s="41"/>
      <c r="BZH91" s="41"/>
      <c r="BZI91" s="41"/>
      <c r="BZJ91" s="41"/>
      <c r="BZK91" s="76"/>
      <c r="BZL91" s="41"/>
      <c r="BZM91" s="41"/>
      <c r="BZN91" s="41"/>
      <c r="BZO91" s="41"/>
      <c r="BZP91" s="41"/>
      <c r="BZQ91" s="42"/>
      <c r="BZR91" s="40"/>
      <c r="BZS91" s="66"/>
      <c r="BZT91" s="66"/>
      <c r="BZU91" s="66"/>
      <c r="BZV91" s="41"/>
      <c r="BZW91" s="134"/>
      <c r="BZX91" s="41"/>
      <c r="BZY91" s="41"/>
      <c r="BZZ91" s="41"/>
      <c r="CAA91" s="41"/>
      <c r="CAB91" s="41"/>
      <c r="CAC91" s="139"/>
      <c r="CAD91" s="41"/>
      <c r="CAE91" s="41"/>
      <c r="CAF91" s="41"/>
      <c r="CAG91" s="41"/>
      <c r="CAH91" s="41"/>
      <c r="CAI91" s="76"/>
      <c r="CAJ91" s="41"/>
      <c r="CAK91" s="41"/>
      <c r="CAL91" s="41"/>
      <c r="CAM91" s="41"/>
      <c r="CAN91" s="41"/>
      <c r="CAO91" s="139"/>
      <c r="CAP91" s="41"/>
      <c r="CAQ91" s="41"/>
      <c r="CAR91" s="41"/>
      <c r="CAS91" s="41"/>
      <c r="CAT91" s="41"/>
      <c r="CAU91" s="76"/>
      <c r="CAV91" s="66"/>
      <c r="CAW91" s="66"/>
      <c r="CAX91" s="66"/>
      <c r="CAY91" s="66"/>
      <c r="CAZ91" s="41"/>
      <c r="CBA91" s="139"/>
      <c r="CBB91" s="41"/>
      <c r="CBC91" s="41"/>
      <c r="CBD91" s="41"/>
      <c r="CBE91" s="41"/>
      <c r="CBF91" s="41"/>
      <c r="CBG91" s="76"/>
      <c r="CBH91" s="41"/>
      <c r="CBI91" s="41"/>
      <c r="CBJ91" s="41"/>
      <c r="CBK91" s="41"/>
      <c r="CBL91" s="41"/>
      <c r="CBM91" s="139"/>
      <c r="CBN91" s="41"/>
      <c r="CBO91" s="41"/>
      <c r="CBP91" s="41"/>
      <c r="CBQ91" s="41"/>
      <c r="CBR91" s="41"/>
      <c r="CBS91" s="76"/>
      <c r="CBT91" s="41"/>
      <c r="CBU91" s="41"/>
      <c r="CBV91" s="41"/>
      <c r="CBW91" s="41"/>
      <c r="CBX91" s="41"/>
      <c r="CBY91" s="42"/>
      <c r="CBZ91" s="90"/>
    </row>
    <row r="92" spans="1:2106" ht="20.100000000000001" customHeight="1" x14ac:dyDescent="0.3">
      <c r="A92" s="100" t="s">
        <v>23</v>
      </c>
      <c r="B92" s="63"/>
      <c r="C92" s="171"/>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28"/>
      <c r="BLW92" s="67"/>
      <c r="BLX92" s="67"/>
      <c r="BLY92" s="67"/>
      <c r="BLZ92" s="29"/>
      <c r="BMA92" s="133"/>
      <c r="BMB92" s="29"/>
      <c r="BMC92" s="29"/>
      <c r="BMD92" s="29"/>
      <c r="BME92" s="29"/>
      <c r="BMF92" s="29"/>
      <c r="BMG92" s="138"/>
      <c r="BMH92" s="29"/>
      <c r="BMI92" s="29"/>
      <c r="BMJ92" s="29"/>
      <c r="BMK92" s="29"/>
      <c r="BML92" s="29"/>
      <c r="BMM92" s="75"/>
      <c r="BMN92" s="29"/>
      <c r="BMO92" s="29"/>
      <c r="BMP92" s="29"/>
      <c r="BMQ92" s="29"/>
      <c r="BMR92" s="29"/>
      <c r="BMS92" s="138"/>
      <c r="BMT92" s="29"/>
      <c r="BMU92" s="29"/>
      <c r="BMV92" s="29"/>
      <c r="BMW92" s="29"/>
      <c r="BMX92" s="29"/>
      <c r="BMY92" s="75"/>
      <c r="BMZ92" s="67"/>
      <c r="BNA92" s="67"/>
      <c r="BNB92" s="67"/>
      <c r="BNC92" s="67"/>
      <c r="BND92" s="29"/>
      <c r="BNE92" s="138"/>
      <c r="BNF92" s="29"/>
      <c r="BNG92" s="29"/>
      <c r="BNH92" s="29"/>
      <c r="BNI92" s="29"/>
      <c r="BNJ92" s="29"/>
      <c r="BNK92" s="75"/>
      <c r="BNL92" s="29"/>
      <c r="BNM92" s="29"/>
      <c r="BNN92" s="29"/>
      <c r="BNO92" s="29"/>
      <c r="BNP92" s="29"/>
      <c r="BNQ92" s="138"/>
      <c r="BNR92" s="29"/>
      <c r="BNS92" s="29"/>
      <c r="BNT92" s="29"/>
      <c r="BNU92" s="29"/>
      <c r="BNV92" s="29"/>
      <c r="BNW92" s="75"/>
      <c r="BNX92" s="29"/>
      <c r="BNY92" s="29"/>
      <c r="BNZ92" s="29"/>
      <c r="BOA92" s="29"/>
      <c r="BOB92" s="29"/>
      <c r="BOC92" s="30"/>
      <c r="BOD92" s="28"/>
      <c r="BOE92" s="67"/>
      <c r="BOF92" s="67"/>
      <c r="BOG92" s="67"/>
      <c r="BOH92" s="29"/>
      <c r="BOI92" s="133"/>
      <c r="BOJ92" s="29"/>
      <c r="BOK92" s="29"/>
      <c r="BOL92" s="29"/>
      <c r="BOM92" s="29"/>
      <c r="BON92" s="29"/>
      <c r="BOO92" s="138"/>
      <c r="BOP92" s="29"/>
      <c r="BOQ92" s="29"/>
      <c r="BOR92" s="29"/>
      <c r="BOS92" s="29"/>
      <c r="BOT92" s="29"/>
      <c r="BOU92" s="75"/>
      <c r="BOV92" s="29"/>
      <c r="BOW92" s="29"/>
      <c r="BOX92" s="29"/>
      <c r="BOY92" s="29"/>
      <c r="BOZ92" s="29"/>
      <c r="BPA92" s="138"/>
      <c r="BPB92" s="29"/>
      <c r="BPC92" s="29"/>
      <c r="BPD92" s="29"/>
      <c r="BPE92" s="29"/>
      <c r="BPF92" s="29"/>
      <c r="BPG92" s="75"/>
      <c r="BPH92" s="67"/>
      <c r="BPI92" s="67"/>
      <c r="BPJ92" s="67"/>
      <c r="BPK92" s="67"/>
      <c r="BPL92" s="29"/>
      <c r="BPM92" s="138"/>
      <c r="BPN92" s="29"/>
      <c r="BPO92" s="29"/>
      <c r="BPP92" s="29"/>
      <c r="BPQ92" s="29"/>
      <c r="BPR92" s="29"/>
      <c r="BPS92" s="75"/>
      <c r="BPT92" s="29"/>
      <c r="BPU92" s="29"/>
      <c r="BPV92" s="29"/>
      <c r="BPW92" s="29"/>
      <c r="BPX92" s="29"/>
      <c r="BPY92" s="138"/>
      <c r="BPZ92" s="29"/>
      <c r="BQA92" s="29"/>
      <c r="BQB92" s="29"/>
      <c r="BQC92" s="29"/>
      <c r="BQD92" s="29"/>
      <c r="BQE92" s="75"/>
      <c r="BQF92" s="29"/>
      <c r="BQG92" s="29"/>
      <c r="BQH92" s="29"/>
      <c r="BQI92" s="29"/>
      <c r="BQJ92" s="29"/>
      <c r="BQK92" s="30"/>
      <c r="BQL92" s="28"/>
      <c r="BQM92" s="67"/>
      <c r="BQN92" s="67"/>
      <c r="BQO92" s="67"/>
      <c r="BQP92" s="29"/>
      <c r="BQQ92" s="133"/>
      <c r="BQR92" s="29"/>
      <c r="BQS92" s="29"/>
      <c r="BQT92" s="29"/>
      <c r="BQU92" s="29"/>
      <c r="BQV92" s="29"/>
      <c r="BQW92" s="138"/>
      <c r="BQX92" s="29"/>
      <c r="BQY92" s="29"/>
      <c r="BQZ92" s="29"/>
      <c r="BRA92" s="29"/>
      <c r="BRB92" s="29"/>
      <c r="BRC92" s="75"/>
      <c r="BRD92" s="29"/>
      <c r="BRE92" s="29"/>
      <c r="BRF92" s="29"/>
      <c r="BRG92" s="29"/>
      <c r="BRH92" s="29"/>
      <c r="BRI92" s="138"/>
      <c r="BRJ92" s="29"/>
      <c r="BRK92" s="29"/>
      <c r="BRL92" s="29"/>
      <c r="BRM92" s="29"/>
      <c r="BRN92" s="29"/>
      <c r="BRO92" s="75"/>
      <c r="BRP92" s="67"/>
      <c r="BRQ92" s="67"/>
      <c r="BRR92" s="67"/>
      <c r="BRS92" s="67"/>
      <c r="BRT92" s="29"/>
      <c r="BRU92" s="138"/>
      <c r="BRV92" s="29"/>
      <c r="BRW92" s="29"/>
      <c r="BRX92" s="29"/>
      <c r="BRY92" s="29"/>
      <c r="BRZ92" s="29"/>
      <c r="BSA92" s="75"/>
      <c r="BSB92" s="29"/>
      <c r="BSC92" s="29"/>
      <c r="BSD92" s="29"/>
      <c r="BSE92" s="29"/>
      <c r="BSF92" s="29"/>
      <c r="BSG92" s="138"/>
      <c r="BSH92" s="29"/>
      <c r="BSI92" s="29"/>
      <c r="BSJ92" s="29"/>
      <c r="BSK92" s="29"/>
      <c r="BSL92" s="29"/>
      <c r="BSM92" s="75"/>
      <c r="BSN92" s="29"/>
      <c r="BSO92" s="29"/>
      <c r="BSP92" s="29"/>
      <c r="BSQ92" s="29"/>
      <c r="BSR92" s="29"/>
      <c r="BSS92" s="30"/>
      <c r="BST92" s="28"/>
      <c r="BSU92" s="67"/>
      <c r="BSV92" s="67"/>
      <c r="BSW92" s="67"/>
      <c r="BSX92" s="29"/>
      <c r="BSY92" s="133"/>
      <c r="BSZ92" s="29"/>
      <c r="BTA92" s="29"/>
      <c r="BTB92" s="29"/>
      <c r="BTC92" s="29"/>
      <c r="BTD92" s="29"/>
      <c r="BTE92" s="138"/>
      <c r="BTF92" s="29"/>
      <c r="BTG92" s="29"/>
      <c r="BTH92" s="29"/>
      <c r="BTI92" s="29"/>
      <c r="BTJ92" s="29"/>
      <c r="BTK92" s="75"/>
      <c r="BTL92" s="29"/>
      <c r="BTM92" s="29"/>
      <c r="BTN92" s="29"/>
      <c r="BTO92" s="29"/>
      <c r="BTP92" s="29"/>
      <c r="BTQ92" s="138"/>
      <c r="BTR92" s="29"/>
      <c r="BTS92" s="29"/>
      <c r="BTT92" s="29"/>
      <c r="BTU92" s="29"/>
      <c r="BTV92" s="29"/>
      <c r="BTW92" s="75"/>
      <c r="BTX92" s="67"/>
      <c r="BTY92" s="67"/>
      <c r="BTZ92" s="67"/>
      <c r="BUA92" s="67"/>
      <c r="BUB92" s="29"/>
      <c r="BUC92" s="138"/>
      <c r="BUD92" s="29"/>
      <c r="BUE92" s="29"/>
      <c r="BUF92" s="29"/>
      <c r="BUG92" s="29"/>
      <c r="BUH92" s="29"/>
      <c r="BUI92" s="75"/>
      <c r="BUJ92" s="29"/>
      <c r="BUK92" s="29"/>
      <c r="BUL92" s="29"/>
      <c r="BUM92" s="29"/>
      <c r="BUN92" s="29"/>
      <c r="BUO92" s="138"/>
      <c r="BUP92" s="29"/>
      <c r="BUQ92" s="29"/>
      <c r="BUR92" s="29"/>
      <c r="BUS92" s="29"/>
      <c r="BUT92" s="29"/>
      <c r="BUU92" s="75"/>
      <c r="BUV92" s="29"/>
      <c r="BUW92" s="29"/>
      <c r="BUX92" s="29"/>
      <c r="BUY92" s="29"/>
      <c r="BUZ92" s="29"/>
      <c r="BVA92" s="30"/>
      <c r="BVB92" s="28"/>
      <c r="BVC92" s="67"/>
      <c r="BVD92" s="67"/>
      <c r="BVE92" s="67"/>
      <c r="BVF92" s="29"/>
      <c r="BVG92" s="133"/>
      <c r="BVH92" s="29"/>
      <c r="BVI92" s="29"/>
      <c r="BVJ92" s="29"/>
      <c r="BVK92" s="29"/>
      <c r="BVL92" s="29"/>
      <c r="BVM92" s="138"/>
      <c r="BVN92" s="29"/>
      <c r="BVO92" s="29"/>
      <c r="BVP92" s="29"/>
      <c r="BVQ92" s="29"/>
      <c r="BVR92" s="29"/>
      <c r="BVS92" s="75"/>
      <c r="BVT92" s="29"/>
      <c r="BVU92" s="29"/>
      <c r="BVV92" s="29"/>
      <c r="BVW92" s="29"/>
      <c r="BVX92" s="29"/>
      <c r="BVY92" s="138"/>
      <c r="BVZ92" s="29"/>
      <c r="BWA92" s="29"/>
      <c r="BWB92" s="29"/>
      <c r="BWC92" s="29"/>
      <c r="BWD92" s="29"/>
      <c r="BWE92" s="75"/>
      <c r="BWF92" s="67"/>
      <c r="BWG92" s="67"/>
      <c r="BWH92" s="67"/>
      <c r="BWI92" s="67"/>
      <c r="BWJ92" s="29"/>
      <c r="BWK92" s="138"/>
      <c r="BWL92" s="29"/>
      <c r="BWM92" s="29"/>
      <c r="BWN92" s="29"/>
      <c r="BWO92" s="29"/>
      <c r="BWP92" s="29"/>
      <c r="BWQ92" s="75"/>
      <c r="BWR92" s="29"/>
      <c r="BWS92" s="29"/>
      <c r="BWT92" s="29"/>
      <c r="BWU92" s="29"/>
      <c r="BWV92" s="29"/>
      <c r="BWW92" s="138"/>
      <c r="BWX92" s="29"/>
      <c r="BWY92" s="29"/>
      <c r="BWZ92" s="29"/>
      <c r="BXA92" s="29"/>
      <c r="BXB92" s="29"/>
      <c r="BXC92" s="75"/>
      <c r="BXD92" s="29"/>
      <c r="BXE92" s="29"/>
      <c r="BXF92" s="29"/>
      <c r="BXG92" s="29"/>
      <c r="BXH92" s="29"/>
      <c r="BXI92" s="30"/>
      <c r="BXJ92" s="28"/>
      <c r="BXK92" s="67"/>
      <c r="BXL92" s="67"/>
      <c r="BXM92" s="67"/>
      <c r="BXN92" s="29"/>
      <c r="BXO92" s="133"/>
      <c r="BXP92" s="29"/>
      <c r="BXQ92" s="29"/>
      <c r="BXR92" s="29"/>
      <c r="BXS92" s="29"/>
      <c r="BXT92" s="29"/>
      <c r="BXU92" s="138"/>
      <c r="BXV92" s="29"/>
      <c r="BXW92" s="29"/>
      <c r="BXX92" s="29"/>
      <c r="BXY92" s="29"/>
      <c r="BXZ92" s="29"/>
      <c r="BYA92" s="75"/>
      <c r="BYB92" s="29"/>
      <c r="BYC92" s="29"/>
      <c r="BYD92" s="29"/>
      <c r="BYE92" s="29"/>
      <c r="BYF92" s="29"/>
      <c r="BYG92" s="138"/>
      <c r="BYH92" s="29"/>
      <c r="BYI92" s="29"/>
      <c r="BYJ92" s="29"/>
      <c r="BYK92" s="29"/>
      <c r="BYL92" s="29"/>
      <c r="BYM92" s="75"/>
      <c r="BYN92" s="67"/>
      <c r="BYO92" s="67"/>
      <c r="BYP92" s="67"/>
      <c r="BYQ92" s="67"/>
      <c r="BYR92" s="29"/>
      <c r="BYS92" s="138"/>
      <c r="BYT92" s="29"/>
      <c r="BYU92" s="29"/>
      <c r="BYV92" s="29"/>
      <c r="BYW92" s="29"/>
      <c r="BYX92" s="29"/>
      <c r="BYY92" s="75"/>
      <c r="BYZ92" s="29"/>
      <c r="BZA92" s="29"/>
      <c r="BZB92" s="29"/>
      <c r="BZC92" s="29"/>
      <c r="BZD92" s="29"/>
      <c r="BZE92" s="138"/>
      <c r="BZF92" s="29"/>
      <c r="BZG92" s="29"/>
      <c r="BZH92" s="29"/>
      <c r="BZI92" s="29"/>
      <c r="BZJ92" s="29"/>
      <c r="BZK92" s="75"/>
      <c r="BZL92" s="29"/>
      <c r="BZM92" s="29"/>
      <c r="BZN92" s="29"/>
      <c r="BZO92" s="29"/>
      <c r="BZP92" s="29"/>
      <c r="BZQ92" s="30"/>
      <c r="BZR92" s="28"/>
      <c r="BZS92" s="67"/>
      <c r="BZT92" s="67"/>
      <c r="BZU92" s="67"/>
      <c r="BZV92" s="29"/>
      <c r="BZW92" s="133"/>
      <c r="BZX92" s="29"/>
      <c r="BZY92" s="29"/>
      <c r="BZZ92" s="29"/>
      <c r="CAA92" s="29"/>
      <c r="CAB92" s="29"/>
      <c r="CAC92" s="138"/>
      <c r="CAD92" s="29"/>
      <c r="CAE92" s="29"/>
      <c r="CAF92" s="29"/>
      <c r="CAG92" s="29"/>
      <c r="CAH92" s="29"/>
      <c r="CAI92" s="75"/>
      <c r="CAJ92" s="29"/>
      <c r="CAK92" s="29"/>
      <c r="CAL92" s="29"/>
      <c r="CAM92" s="29"/>
      <c r="CAN92" s="29"/>
      <c r="CAO92" s="138"/>
      <c r="CAP92" s="29"/>
      <c r="CAQ92" s="29"/>
      <c r="CAR92" s="29"/>
      <c r="CAS92" s="29"/>
      <c r="CAT92" s="29"/>
      <c r="CAU92" s="75"/>
      <c r="CAV92" s="67"/>
      <c r="CAW92" s="67"/>
      <c r="CAX92" s="67"/>
      <c r="CAY92" s="67"/>
      <c r="CAZ92" s="29"/>
      <c r="CBA92" s="138"/>
      <c r="CBB92" s="29"/>
      <c r="CBC92" s="29"/>
      <c r="CBD92" s="29"/>
      <c r="CBE92" s="29"/>
      <c r="CBF92" s="29"/>
      <c r="CBG92" s="75"/>
      <c r="CBH92" s="29"/>
      <c r="CBI92" s="29"/>
      <c r="CBJ92" s="29"/>
      <c r="CBK92" s="29"/>
      <c r="CBL92" s="29"/>
      <c r="CBM92" s="138"/>
      <c r="CBN92" s="29"/>
      <c r="CBO92" s="29"/>
      <c r="CBP92" s="29"/>
      <c r="CBQ92" s="29"/>
      <c r="CBR92" s="29"/>
      <c r="CBS92" s="75"/>
      <c r="CBT92" s="29"/>
      <c r="CBU92" s="29"/>
      <c r="CBV92" s="29"/>
      <c r="CBW92" s="29"/>
      <c r="CBX92" s="29"/>
      <c r="CBY92" s="30"/>
      <c r="CBZ92" s="90"/>
    </row>
    <row r="93" spans="1:2106" ht="20.100000000000001" customHeight="1" x14ac:dyDescent="0.25">
      <c r="A93" s="100" t="s">
        <v>22</v>
      </c>
      <c r="B93" s="63"/>
      <c r="C93" s="170"/>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32"/>
      <c r="BLW93" s="64"/>
      <c r="BLX93" s="64"/>
      <c r="BLY93" s="64"/>
      <c r="BLZ93" s="33"/>
      <c r="BMA93" s="132"/>
      <c r="BMB93" s="33"/>
      <c r="BMC93" s="33"/>
      <c r="BMD93" s="33"/>
      <c r="BME93" s="33"/>
      <c r="BMF93" s="33"/>
      <c r="BMG93" s="137"/>
      <c r="BMH93" s="33"/>
      <c r="BMI93" s="33"/>
      <c r="BMJ93" s="33"/>
      <c r="BMK93" s="33"/>
      <c r="BML93" s="33"/>
      <c r="BMM93" s="74"/>
      <c r="BMN93" s="33"/>
      <c r="BMO93" s="33"/>
      <c r="BMP93" s="33"/>
      <c r="BMQ93" s="33"/>
      <c r="BMR93" s="33"/>
      <c r="BMS93" s="137"/>
      <c r="BMT93" s="33"/>
      <c r="BMU93" s="33"/>
      <c r="BMV93" s="33"/>
      <c r="BMW93" s="33"/>
      <c r="BMX93" s="33"/>
      <c r="BMY93" s="74"/>
      <c r="BMZ93" s="64"/>
      <c r="BNA93" s="64"/>
      <c r="BNB93" s="64"/>
      <c r="BNC93" s="64"/>
      <c r="BND93" s="33"/>
      <c r="BNE93" s="137"/>
      <c r="BNF93" s="33"/>
      <c r="BNG93" s="33"/>
      <c r="BNH93" s="33"/>
      <c r="BNI93" s="33"/>
      <c r="BNJ93" s="33"/>
      <c r="BNK93" s="74"/>
      <c r="BNL93" s="33"/>
      <c r="BNM93" s="33"/>
      <c r="BNN93" s="33"/>
      <c r="BNO93" s="33"/>
      <c r="BNP93" s="33"/>
      <c r="BNQ93" s="137"/>
      <c r="BNR93" s="33"/>
      <c r="BNS93" s="33"/>
      <c r="BNT93" s="33"/>
      <c r="BNU93" s="33"/>
      <c r="BNV93" s="33"/>
      <c r="BNW93" s="74"/>
      <c r="BNX93" s="33"/>
      <c r="BNY93" s="33"/>
      <c r="BNZ93" s="33"/>
      <c r="BOA93" s="33"/>
      <c r="BOB93" s="33"/>
      <c r="BOC93" s="34"/>
      <c r="BOD93" s="32"/>
      <c r="BOE93" s="64"/>
      <c r="BOF93" s="64"/>
      <c r="BOG93" s="64"/>
      <c r="BOH93" s="33"/>
      <c r="BOI93" s="132"/>
      <c r="BOJ93" s="33"/>
      <c r="BOK93" s="33"/>
      <c r="BOL93" s="33"/>
      <c r="BOM93" s="33"/>
      <c r="BON93" s="33"/>
      <c r="BOO93" s="137"/>
      <c r="BOP93" s="33"/>
      <c r="BOQ93" s="33"/>
      <c r="BOR93" s="33"/>
      <c r="BOS93" s="33"/>
      <c r="BOT93" s="33"/>
      <c r="BOU93" s="74"/>
      <c r="BOV93" s="33"/>
      <c r="BOW93" s="33"/>
      <c r="BOX93" s="33"/>
      <c r="BOY93" s="33"/>
      <c r="BOZ93" s="33"/>
      <c r="BPA93" s="137"/>
      <c r="BPB93" s="33"/>
      <c r="BPC93" s="33"/>
      <c r="BPD93" s="33"/>
      <c r="BPE93" s="33"/>
      <c r="BPF93" s="33"/>
      <c r="BPG93" s="74"/>
      <c r="BPH93" s="64"/>
      <c r="BPI93" s="64"/>
      <c r="BPJ93" s="64"/>
      <c r="BPK93" s="64"/>
      <c r="BPL93" s="33"/>
      <c r="BPM93" s="137"/>
      <c r="BPN93" s="33"/>
      <c r="BPO93" s="33"/>
      <c r="BPP93" s="33"/>
      <c r="BPQ93" s="33"/>
      <c r="BPR93" s="33"/>
      <c r="BPS93" s="74"/>
      <c r="BPT93" s="33"/>
      <c r="BPU93" s="33"/>
      <c r="BPV93" s="33"/>
      <c r="BPW93" s="33"/>
      <c r="BPX93" s="33"/>
      <c r="BPY93" s="137"/>
      <c r="BPZ93" s="33"/>
      <c r="BQA93" s="33"/>
      <c r="BQB93" s="33"/>
      <c r="BQC93" s="33"/>
      <c r="BQD93" s="33"/>
      <c r="BQE93" s="74"/>
      <c r="BQF93" s="33"/>
      <c r="BQG93" s="33"/>
      <c r="BQH93" s="33"/>
      <c r="BQI93" s="33"/>
      <c r="BQJ93" s="33"/>
      <c r="BQK93" s="34"/>
      <c r="BQL93" s="32"/>
      <c r="BQM93" s="64"/>
      <c r="BQN93" s="64"/>
      <c r="BQO93" s="64"/>
      <c r="BQP93" s="33"/>
      <c r="BQQ93" s="132"/>
      <c r="BQR93" s="33"/>
      <c r="BQS93" s="33"/>
      <c r="BQT93" s="33"/>
      <c r="BQU93" s="33"/>
      <c r="BQV93" s="33"/>
      <c r="BQW93" s="137"/>
      <c r="BQX93" s="33"/>
      <c r="BQY93" s="33"/>
      <c r="BQZ93" s="33"/>
      <c r="BRA93" s="33"/>
      <c r="BRB93" s="33"/>
      <c r="BRC93" s="74"/>
      <c r="BRD93" s="33"/>
      <c r="BRE93" s="33"/>
      <c r="BRF93" s="33"/>
      <c r="BRG93" s="33"/>
      <c r="BRH93" s="33"/>
      <c r="BRI93" s="137"/>
      <c r="BRJ93" s="33"/>
      <c r="BRK93" s="33"/>
      <c r="BRL93" s="33"/>
      <c r="BRM93" s="33"/>
      <c r="BRN93" s="33"/>
      <c r="BRO93" s="74"/>
      <c r="BRP93" s="64"/>
      <c r="BRQ93" s="64"/>
      <c r="BRR93" s="64"/>
      <c r="BRS93" s="64"/>
      <c r="BRT93" s="33"/>
      <c r="BRU93" s="137"/>
      <c r="BRV93" s="33"/>
      <c r="BRW93" s="33"/>
      <c r="BRX93" s="33"/>
      <c r="BRY93" s="33"/>
      <c r="BRZ93" s="33"/>
      <c r="BSA93" s="74"/>
      <c r="BSB93" s="33"/>
      <c r="BSC93" s="33"/>
      <c r="BSD93" s="33"/>
      <c r="BSE93" s="33"/>
      <c r="BSF93" s="33"/>
      <c r="BSG93" s="137"/>
      <c r="BSH93" s="33"/>
      <c r="BSI93" s="33"/>
      <c r="BSJ93" s="33"/>
      <c r="BSK93" s="33"/>
      <c r="BSL93" s="33"/>
      <c r="BSM93" s="74"/>
      <c r="BSN93" s="33"/>
      <c r="BSO93" s="33"/>
      <c r="BSP93" s="33"/>
      <c r="BSQ93" s="33"/>
      <c r="BSR93" s="33"/>
      <c r="BSS93" s="34"/>
      <c r="BST93" s="32"/>
      <c r="BSU93" s="64"/>
      <c r="BSV93" s="64"/>
      <c r="BSW93" s="64"/>
      <c r="BSX93" s="33"/>
      <c r="BSY93" s="132"/>
      <c r="BSZ93" s="33"/>
      <c r="BTA93" s="33"/>
      <c r="BTB93" s="33"/>
      <c r="BTC93" s="33"/>
      <c r="BTD93" s="33"/>
      <c r="BTE93" s="137"/>
      <c r="BTF93" s="33"/>
      <c r="BTG93" s="33"/>
      <c r="BTH93" s="33"/>
      <c r="BTI93" s="33"/>
      <c r="BTJ93" s="33"/>
      <c r="BTK93" s="74"/>
      <c r="BTL93" s="33"/>
      <c r="BTM93" s="33"/>
      <c r="BTN93" s="33"/>
      <c r="BTO93" s="33"/>
      <c r="BTP93" s="33"/>
      <c r="BTQ93" s="137"/>
      <c r="BTR93" s="33"/>
      <c r="BTS93" s="33"/>
      <c r="BTT93" s="33"/>
      <c r="BTU93" s="33"/>
      <c r="BTV93" s="33"/>
      <c r="BTW93" s="74"/>
      <c r="BTX93" s="64"/>
      <c r="BTY93" s="64"/>
      <c r="BTZ93" s="64"/>
      <c r="BUA93" s="64"/>
      <c r="BUB93" s="33"/>
      <c r="BUC93" s="137"/>
      <c r="BUD93" s="33"/>
      <c r="BUE93" s="33"/>
      <c r="BUF93" s="33"/>
      <c r="BUG93" s="33"/>
      <c r="BUH93" s="33"/>
      <c r="BUI93" s="74"/>
      <c r="BUJ93" s="33"/>
      <c r="BUK93" s="33"/>
      <c r="BUL93" s="33"/>
      <c r="BUM93" s="33"/>
      <c r="BUN93" s="33"/>
      <c r="BUO93" s="137"/>
      <c r="BUP93" s="33"/>
      <c r="BUQ93" s="33"/>
      <c r="BUR93" s="33"/>
      <c r="BUS93" s="33"/>
      <c r="BUT93" s="33"/>
      <c r="BUU93" s="74"/>
      <c r="BUV93" s="33"/>
      <c r="BUW93" s="33"/>
      <c r="BUX93" s="33"/>
      <c r="BUY93" s="33"/>
      <c r="BUZ93" s="33"/>
      <c r="BVA93" s="34"/>
      <c r="BVB93" s="32"/>
      <c r="BVC93" s="64"/>
      <c r="BVD93" s="64"/>
      <c r="BVE93" s="64"/>
      <c r="BVF93" s="33"/>
      <c r="BVG93" s="132"/>
      <c r="BVH93" s="33"/>
      <c r="BVI93" s="33"/>
      <c r="BVJ93" s="33"/>
      <c r="BVK93" s="33"/>
      <c r="BVL93" s="33"/>
      <c r="BVM93" s="137"/>
      <c r="BVN93" s="33"/>
      <c r="BVO93" s="33"/>
      <c r="BVP93" s="33"/>
      <c r="BVQ93" s="33"/>
      <c r="BVR93" s="33"/>
      <c r="BVS93" s="74"/>
      <c r="BVT93" s="33"/>
      <c r="BVU93" s="33"/>
      <c r="BVV93" s="33"/>
      <c r="BVW93" s="33"/>
      <c r="BVX93" s="33"/>
      <c r="BVY93" s="137"/>
      <c r="BVZ93" s="33"/>
      <c r="BWA93" s="33"/>
      <c r="BWB93" s="33"/>
      <c r="BWC93" s="33"/>
      <c r="BWD93" s="33"/>
      <c r="BWE93" s="74"/>
      <c r="BWF93" s="64"/>
      <c r="BWG93" s="64"/>
      <c r="BWH93" s="64"/>
      <c r="BWI93" s="64"/>
      <c r="BWJ93" s="33"/>
      <c r="BWK93" s="137"/>
      <c r="BWL93" s="33"/>
      <c r="BWM93" s="33"/>
      <c r="BWN93" s="33"/>
      <c r="BWO93" s="33"/>
      <c r="BWP93" s="33"/>
      <c r="BWQ93" s="74"/>
      <c r="BWR93" s="33"/>
      <c r="BWS93" s="33"/>
      <c r="BWT93" s="33"/>
      <c r="BWU93" s="33"/>
      <c r="BWV93" s="33"/>
      <c r="BWW93" s="137"/>
      <c r="BWX93" s="33"/>
      <c r="BWY93" s="33"/>
      <c r="BWZ93" s="33"/>
      <c r="BXA93" s="33"/>
      <c r="BXB93" s="33"/>
      <c r="BXC93" s="74"/>
      <c r="BXD93" s="33"/>
      <c r="BXE93" s="33"/>
      <c r="BXF93" s="33"/>
      <c r="BXG93" s="33"/>
      <c r="BXH93" s="33"/>
      <c r="BXI93" s="34"/>
      <c r="BXJ93" s="32"/>
      <c r="BXK93" s="64"/>
      <c r="BXL93" s="64"/>
      <c r="BXM93" s="64"/>
      <c r="BXN93" s="33"/>
      <c r="BXO93" s="132"/>
      <c r="BXP93" s="33"/>
      <c r="BXQ93" s="33"/>
      <c r="BXR93" s="33"/>
      <c r="BXS93" s="33"/>
      <c r="BXT93" s="33"/>
      <c r="BXU93" s="137"/>
      <c r="BXV93" s="33"/>
      <c r="BXW93" s="33"/>
      <c r="BXX93" s="33"/>
      <c r="BXY93" s="33"/>
      <c r="BXZ93" s="33"/>
      <c r="BYA93" s="74"/>
      <c r="BYB93" s="33"/>
      <c r="BYC93" s="33"/>
      <c r="BYD93" s="33"/>
      <c r="BYE93" s="33"/>
      <c r="BYF93" s="33"/>
      <c r="BYG93" s="137"/>
      <c r="BYH93" s="33"/>
      <c r="BYI93" s="33"/>
      <c r="BYJ93" s="33"/>
      <c r="BYK93" s="33"/>
      <c r="BYL93" s="33"/>
      <c r="BYM93" s="74"/>
      <c r="BYN93" s="64"/>
      <c r="BYO93" s="64"/>
      <c r="BYP93" s="64"/>
      <c r="BYQ93" s="64"/>
      <c r="BYR93" s="33"/>
      <c r="BYS93" s="137"/>
      <c r="BYT93" s="33"/>
      <c r="BYU93" s="33"/>
      <c r="BYV93" s="33"/>
      <c r="BYW93" s="33"/>
      <c r="BYX93" s="33"/>
      <c r="BYY93" s="74"/>
      <c r="BYZ93" s="33"/>
      <c r="BZA93" s="33"/>
      <c r="BZB93" s="33"/>
      <c r="BZC93" s="33"/>
      <c r="BZD93" s="33"/>
      <c r="BZE93" s="137"/>
      <c r="BZF93" s="33"/>
      <c r="BZG93" s="33"/>
      <c r="BZH93" s="33"/>
      <c r="BZI93" s="33"/>
      <c r="BZJ93" s="33"/>
      <c r="BZK93" s="74"/>
      <c r="BZL93" s="33"/>
      <c r="BZM93" s="33"/>
      <c r="BZN93" s="33"/>
      <c r="BZO93" s="33"/>
      <c r="BZP93" s="33"/>
      <c r="BZQ93" s="34"/>
      <c r="BZR93" s="32"/>
      <c r="BZS93" s="64"/>
      <c r="BZT93" s="64"/>
      <c r="BZU93" s="64"/>
      <c r="BZV93" s="33"/>
      <c r="BZW93" s="132"/>
      <c r="BZX93" s="33"/>
      <c r="BZY93" s="33"/>
      <c r="BZZ93" s="33"/>
      <c r="CAA93" s="33"/>
      <c r="CAB93" s="33"/>
      <c r="CAC93" s="137"/>
      <c r="CAD93" s="33"/>
      <c r="CAE93" s="33"/>
      <c r="CAF93" s="33"/>
      <c r="CAG93" s="33"/>
      <c r="CAH93" s="33"/>
      <c r="CAI93" s="74"/>
      <c r="CAJ93" s="33"/>
      <c r="CAK93" s="33"/>
      <c r="CAL93" s="33"/>
      <c r="CAM93" s="33"/>
      <c r="CAN93" s="33"/>
      <c r="CAO93" s="137"/>
      <c r="CAP93" s="33"/>
      <c r="CAQ93" s="33"/>
      <c r="CAR93" s="33"/>
      <c r="CAS93" s="33"/>
      <c r="CAT93" s="33"/>
      <c r="CAU93" s="74"/>
      <c r="CAV93" s="64"/>
      <c r="CAW93" s="64"/>
      <c r="CAX93" s="64"/>
      <c r="CAY93" s="64"/>
      <c r="CAZ93" s="33"/>
      <c r="CBA93" s="137"/>
      <c r="CBB93" s="33"/>
      <c r="CBC93" s="33"/>
      <c r="CBD93" s="33"/>
      <c r="CBE93" s="33"/>
      <c r="CBF93" s="33"/>
      <c r="CBG93" s="74"/>
      <c r="CBH93" s="33"/>
      <c r="CBI93" s="33"/>
      <c r="CBJ93" s="33"/>
      <c r="CBK93" s="33"/>
      <c r="CBL93" s="33"/>
      <c r="CBM93" s="137"/>
      <c r="CBN93" s="33"/>
      <c r="CBO93" s="33"/>
      <c r="CBP93" s="33"/>
      <c r="CBQ93" s="33"/>
      <c r="CBR93" s="33"/>
      <c r="CBS93" s="74"/>
      <c r="CBT93" s="33"/>
      <c r="CBU93" s="33"/>
      <c r="CBV93" s="33"/>
      <c r="CBW93" s="33"/>
      <c r="CBX93" s="33"/>
      <c r="CBY93" s="34"/>
      <c r="CBZ93" s="90"/>
    </row>
    <row r="94" spans="1:2106" ht="20.100000000000001" customHeight="1" x14ac:dyDescent="0.25">
      <c r="A94" s="100" t="s">
        <v>23</v>
      </c>
      <c r="B94" s="63"/>
      <c r="C94" s="172"/>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36"/>
      <c r="BLW94" s="65"/>
      <c r="BLX94" s="65"/>
      <c r="BLY94" s="65"/>
      <c r="BLZ94" s="37"/>
      <c r="BMA94" s="133"/>
      <c r="BMB94" s="37"/>
      <c r="BMC94" s="37"/>
      <c r="BMD94" s="37"/>
      <c r="BME94" s="37"/>
      <c r="BMF94" s="37"/>
      <c r="BMG94" s="138"/>
      <c r="BMH94" s="37"/>
      <c r="BMI94" s="37"/>
      <c r="BMJ94" s="37"/>
      <c r="BMK94" s="37"/>
      <c r="BML94" s="37"/>
      <c r="BMM94" s="75"/>
      <c r="BMN94" s="37"/>
      <c r="BMO94" s="37"/>
      <c r="BMP94" s="37"/>
      <c r="BMQ94" s="37"/>
      <c r="BMR94" s="37"/>
      <c r="BMS94" s="138"/>
      <c r="BMT94" s="37"/>
      <c r="BMU94" s="37"/>
      <c r="BMV94" s="37"/>
      <c r="BMW94" s="37"/>
      <c r="BMX94" s="37"/>
      <c r="BMY94" s="75"/>
      <c r="BMZ94" s="65"/>
      <c r="BNA94" s="65"/>
      <c r="BNB94" s="65"/>
      <c r="BNC94" s="65"/>
      <c r="BND94" s="37"/>
      <c r="BNE94" s="138"/>
      <c r="BNF94" s="37"/>
      <c r="BNG94" s="37"/>
      <c r="BNH94" s="37"/>
      <c r="BNI94" s="37"/>
      <c r="BNJ94" s="37"/>
      <c r="BNK94" s="75"/>
      <c r="BNL94" s="37"/>
      <c r="BNM94" s="37"/>
      <c r="BNN94" s="37"/>
      <c r="BNO94" s="37"/>
      <c r="BNP94" s="37"/>
      <c r="BNQ94" s="138"/>
      <c r="BNR94" s="37"/>
      <c r="BNS94" s="37"/>
      <c r="BNT94" s="37"/>
      <c r="BNU94" s="37"/>
      <c r="BNV94" s="37"/>
      <c r="BNW94" s="75"/>
      <c r="BNX94" s="37"/>
      <c r="BNY94" s="37"/>
      <c r="BNZ94" s="37"/>
      <c r="BOA94" s="37"/>
      <c r="BOB94" s="37"/>
      <c r="BOC94" s="38"/>
      <c r="BOD94" s="36"/>
      <c r="BOE94" s="65"/>
      <c r="BOF94" s="65"/>
      <c r="BOG94" s="65"/>
      <c r="BOH94" s="37"/>
      <c r="BOI94" s="133"/>
      <c r="BOJ94" s="37"/>
      <c r="BOK94" s="37"/>
      <c r="BOL94" s="37"/>
      <c r="BOM94" s="37"/>
      <c r="BON94" s="37"/>
      <c r="BOO94" s="138"/>
      <c r="BOP94" s="37"/>
      <c r="BOQ94" s="37"/>
      <c r="BOR94" s="37"/>
      <c r="BOS94" s="37"/>
      <c r="BOT94" s="37"/>
      <c r="BOU94" s="75"/>
      <c r="BOV94" s="37"/>
      <c r="BOW94" s="37"/>
      <c r="BOX94" s="37"/>
      <c r="BOY94" s="37"/>
      <c r="BOZ94" s="37"/>
      <c r="BPA94" s="138"/>
      <c r="BPB94" s="37"/>
      <c r="BPC94" s="37"/>
      <c r="BPD94" s="37"/>
      <c r="BPE94" s="37"/>
      <c r="BPF94" s="37"/>
      <c r="BPG94" s="75"/>
      <c r="BPH94" s="65"/>
      <c r="BPI94" s="65"/>
      <c r="BPJ94" s="65"/>
      <c r="BPK94" s="65"/>
      <c r="BPL94" s="37"/>
      <c r="BPM94" s="138"/>
      <c r="BPN94" s="37"/>
      <c r="BPO94" s="37"/>
      <c r="BPP94" s="37"/>
      <c r="BPQ94" s="37"/>
      <c r="BPR94" s="37"/>
      <c r="BPS94" s="75"/>
      <c r="BPT94" s="37"/>
      <c r="BPU94" s="37"/>
      <c r="BPV94" s="37"/>
      <c r="BPW94" s="37"/>
      <c r="BPX94" s="37"/>
      <c r="BPY94" s="138"/>
      <c r="BPZ94" s="37"/>
      <c r="BQA94" s="37"/>
      <c r="BQB94" s="37"/>
      <c r="BQC94" s="37"/>
      <c r="BQD94" s="37"/>
      <c r="BQE94" s="75"/>
      <c r="BQF94" s="37"/>
      <c r="BQG94" s="37"/>
      <c r="BQH94" s="37"/>
      <c r="BQI94" s="37"/>
      <c r="BQJ94" s="37"/>
      <c r="BQK94" s="38"/>
      <c r="BQL94" s="36"/>
      <c r="BQM94" s="65"/>
      <c r="BQN94" s="65"/>
      <c r="BQO94" s="65"/>
      <c r="BQP94" s="37"/>
      <c r="BQQ94" s="133"/>
      <c r="BQR94" s="37"/>
      <c r="BQS94" s="37"/>
      <c r="BQT94" s="37"/>
      <c r="BQU94" s="37"/>
      <c r="BQV94" s="37"/>
      <c r="BQW94" s="138"/>
      <c r="BQX94" s="37"/>
      <c r="BQY94" s="37"/>
      <c r="BQZ94" s="37"/>
      <c r="BRA94" s="37"/>
      <c r="BRB94" s="37"/>
      <c r="BRC94" s="75"/>
      <c r="BRD94" s="37"/>
      <c r="BRE94" s="37"/>
      <c r="BRF94" s="37"/>
      <c r="BRG94" s="37"/>
      <c r="BRH94" s="37"/>
      <c r="BRI94" s="138"/>
      <c r="BRJ94" s="37"/>
      <c r="BRK94" s="37"/>
      <c r="BRL94" s="37"/>
      <c r="BRM94" s="37"/>
      <c r="BRN94" s="37"/>
      <c r="BRO94" s="75"/>
      <c r="BRP94" s="65"/>
      <c r="BRQ94" s="65"/>
      <c r="BRR94" s="65"/>
      <c r="BRS94" s="65"/>
      <c r="BRT94" s="37"/>
      <c r="BRU94" s="138"/>
      <c r="BRV94" s="37"/>
      <c r="BRW94" s="37"/>
      <c r="BRX94" s="37"/>
      <c r="BRY94" s="37"/>
      <c r="BRZ94" s="37"/>
      <c r="BSA94" s="75"/>
      <c r="BSB94" s="37"/>
      <c r="BSC94" s="37"/>
      <c r="BSD94" s="37"/>
      <c r="BSE94" s="37"/>
      <c r="BSF94" s="37"/>
      <c r="BSG94" s="138"/>
      <c r="BSH94" s="37"/>
      <c r="BSI94" s="37"/>
      <c r="BSJ94" s="37"/>
      <c r="BSK94" s="37"/>
      <c r="BSL94" s="37"/>
      <c r="BSM94" s="75"/>
      <c r="BSN94" s="37"/>
      <c r="BSO94" s="37"/>
      <c r="BSP94" s="37"/>
      <c r="BSQ94" s="37"/>
      <c r="BSR94" s="37"/>
      <c r="BSS94" s="38"/>
      <c r="BST94" s="36"/>
      <c r="BSU94" s="65"/>
      <c r="BSV94" s="65"/>
      <c r="BSW94" s="65"/>
      <c r="BSX94" s="37"/>
      <c r="BSY94" s="133"/>
      <c r="BSZ94" s="37"/>
      <c r="BTA94" s="37"/>
      <c r="BTB94" s="37"/>
      <c r="BTC94" s="37"/>
      <c r="BTD94" s="37"/>
      <c r="BTE94" s="138"/>
      <c r="BTF94" s="37"/>
      <c r="BTG94" s="37"/>
      <c r="BTH94" s="37"/>
      <c r="BTI94" s="37"/>
      <c r="BTJ94" s="37"/>
      <c r="BTK94" s="75"/>
      <c r="BTL94" s="37"/>
      <c r="BTM94" s="37"/>
      <c r="BTN94" s="37"/>
      <c r="BTO94" s="37"/>
      <c r="BTP94" s="37"/>
      <c r="BTQ94" s="138"/>
      <c r="BTR94" s="37"/>
      <c r="BTS94" s="37"/>
      <c r="BTT94" s="37"/>
      <c r="BTU94" s="37"/>
      <c r="BTV94" s="37"/>
      <c r="BTW94" s="75"/>
      <c r="BTX94" s="65"/>
      <c r="BTY94" s="65"/>
      <c r="BTZ94" s="65"/>
      <c r="BUA94" s="65"/>
      <c r="BUB94" s="37"/>
      <c r="BUC94" s="138"/>
      <c r="BUD94" s="37"/>
      <c r="BUE94" s="37"/>
      <c r="BUF94" s="37"/>
      <c r="BUG94" s="37"/>
      <c r="BUH94" s="37"/>
      <c r="BUI94" s="75"/>
      <c r="BUJ94" s="37"/>
      <c r="BUK94" s="37"/>
      <c r="BUL94" s="37"/>
      <c r="BUM94" s="37"/>
      <c r="BUN94" s="37"/>
      <c r="BUO94" s="138"/>
      <c r="BUP94" s="37"/>
      <c r="BUQ94" s="37"/>
      <c r="BUR94" s="37"/>
      <c r="BUS94" s="37"/>
      <c r="BUT94" s="37"/>
      <c r="BUU94" s="75"/>
      <c r="BUV94" s="37"/>
      <c r="BUW94" s="37"/>
      <c r="BUX94" s="37"/>
      <c r="BUY94" s="37"/>
      <c r="BUZ94" s="37"/>
      <c r="BVA94" s="38"/>
      <c r="BVB94" s="36"/>
      <c r="BVC94" s="65"/>
      <c r="BVD94" s="65"/>
      <c r="BVE94" s="65"/>
      <c r="BVF94" s="37"/>
      <c r="BVG94" s="133"/>
      <c r="BVH94" s="37"/>
      <c r="BVI94" s="37"/>
      <c r="BVJ94" s="37"/>
      <c r="BVK94" s="37"/>
      <c r="BVL94" s="37"/>
      <c r="BVM94" s="138"/>
      <c r="BVN94" s="37"/>
      <c r="BVO94" s="37"/>
      <c r="BVP94" s="37"/>
      <c r="BVQ94" s="37"/>
      <c r="BVR94" s="37"/>
      <c r="BVS94" s="75"/>
      <c r="BVT94" s="37"/>
      <c r="BVU94" s="37"/>
      <c r="BVV94" s="37"/>
      <c r="BVW94" s="37"/>
      <c r="BVX94" s="37"/>
      <c r="BVY94" s="138"/>
      <c r="BVZ94" s="37"/>
      <c r="BWA94" s="37"/>
      <c r="BWB94" s="37"/>
      <c r="BWC94" s="37"/>
      <c r="BWD94" s="37"/>
      <c r="BWE94" s="75"/>
      <c r="BWF94" s="65"/>
      <c r="BWG94" s="65"/>
      <c r="BWH94" s="65"/>
      <c r="BWI94" s="65"/>
      <c r="BWJ94" s="37"/>
      <c r="BWK94" s="138"/>
      <c r="BWL94" s="37"/>
      <c r="BWM94" s="37"/>
      <c r="BWN94" s="37"/>
      <c r="BWO94" s="37"/>
      <c r="BWP94" s="37"/>
      <c r="BWQ94" s="75"/>
      <c r="BWR94" s="37"/>
      <c r="BWS94" s="37"/>
      <c r="BWT94" s="37"/>
      <c r="BWU94" s="37"/>
      <c r="BWV94" s="37"/>
      <c r="BWW94" s="138"/>
      <c r="BWX94" s="37"/>
      <c r="BWY94" s="37"/>
      <c r="BWZ94" s="37"/>
      <c r="BXA94" s="37"/>
      <c r="BXB94" s="37"/>
      <c r="BXC94" s="75"/>
      <c r="BXD94" s="37"/>
      <c r="BXE94" s="37"/>
      <c r="BXF94" s="37"/>
      <c r="BXG94" s="37"/>
      <c r="BXH94" s="37"/>
      <c r="BXI94" s="38"/>
      <c r="BXJ94" s="36"/>
      <c r="BXK94" s="65"/>
      <c r="BXL94" s="65"/>
      <c r="BXM94" s="65"/>
      <c r="BXN94" s="37"/>
      <c r="BXO94" s="133"/>
      <c r="BXP94" s="37"/>
      <c r="BXQ94" s="37"/>
      <c r="BXR94" s="37"/>
      <c r="BXS94" s="37"/>
      <c r="BXT94" s="37"/>
      <c r="BXU94" s="138"/>
      <c r="BXV94" s="37"/>
      <c r="BXW94" s="37"/>
      <c r="BXX94" s="37"/>
      <c r="BXY94" s="37"/>
      <c r="BXZ94" s="37"/>
      <c r="BYA94" s="75"/>
      <c r="BYB94" s="37"/>
      <c r="BYC94" s="37"/>
      <c r="BYD94" s="37"/>
      <c r="BYE94" s="37"/>
      <c r="BYF94" s="37"/>
      <c r="BYG94" s="138"/>
      <c r="BYH94" s="37"/>
      <c r="BYI94" s="37"/>
      <c r="BYJ94" s="37"/>
      <c r="BYK94" s="37"/>
      <c r="BYL94" s="37"/>
      <c r="BYM94" s="75"/>
      <c r="BYN94" s="65"/>
      <c r="BYO94" s="65"/>
      <c r="BYP94" s="65"/>
      <c r="BYQ94" s="65"/>
      <c r="BYR94" s="37"/>
      <c r="BYS94" s="138"/>
      <c r="BYT94" s="37"/>
      <c r="BYU94" s="37"/>
      <c r="BYV94" s="37"/>
      <c r="BYW94" s="37"/>
      <c r="BYX94" s="37"/>
      <c r="BYY94" s="75"/>
      <c r="BYZ94" s="37"/>
      <c r="BZA94" s="37"/>
      <c r="BZB94" s="37"/>
      <c r="BZC94" s="37"/>
      <c r="BZD94" s="37"/>
      <c r="BZE94" s="138"/>
      <c r="BZF94" s="37"/>
      <c r="BZG94" s="37"/>
      <c r="BZH94" s="37"/>
      <c r="BZI94" s="37"/>
      <c r="BZJ94" s="37"/>
      <c r="BZK94" s="75"/>
      <c r="BZL94" s="37"/>
      <c r="BZM94" s="37"/>
      <c r="BZN94" s="37"/>
      <c r="BZO94" s="37"/>
      <c r="BZP94" s="37"/>
      <c r="BZQ94" s="38"/>
      <c r="BZR94" s="36"/>
      <c r="BZS94" s="65"/>
      <c r="BZT94" s="65"/>
      <c r="BZU94" s="65"/>
      <c r="BZV94" s="37"/>
      <c r="BZW94" s="133"/>
      <c r="BZX94" s="37"/>
      <c r="BZY94" s="37"/>
      <c r="BZZ94" s="37"/>
      <c r="CAA94" s="37"/>
      <c r="CAB94" s="37"/>
      <c r="CAC94" s="138"/>
      <c r="CAD94" s="37"/>
      <c r="CAE94" s="37"/>
      <c r="CAF94" s="37"/>
      <c r="CAG94" s="37"/>
      <c r="CAH94" s="37"/>
      <c r="CAI94" s="75"/>
      <c r="CAJ94" s="37"/>
      <c r="CAK94" s="37"/>
      <c r="CAL94" s="37"/>
      <c r="CAM94" s="37"/>
      <c r="CAN94" s="37"/>
      <c r="CAO94" s="138"/>
      <c r="CAP94" s="37"/>
      <c r="CAQ94" s="37"/>
      <c r="CAR94" s="37"/>
      <c r="CAS94" s="37"/>
      <c r="CAT94" s="37"/>
      <c r="CAU94" s="75"/>
      <c r="CAV94" s="65"/>
      <c r="CAW94" s="65"/>
      <c r="CAX94" s="65"/>
      <c r="CAY94" s="65"/>
      <c r="CAZ94" s="37"/>
      <c r="CBA94" s="138"/>
      <c r="CBB94" s="37"/>
      <c r="CBC94" s="37"/>
      <c r="CBD94" s="37"/>
      <c r="CBE94" s="37"/>
      <c r="CBF94" s="37"/>
      <c r="CBG94" s="75"/>
      <c r="CBH94" s="37"/>
      <c r="CBI94" s="37"/>
      <c r="CBJ94" s="37"/>
      <c r="CBK94" s="37"/>
      <c r="CBL94" s="37"/>
      <c r="CBM94" s="138"/>
      <c r="CBN94" s="37"/>
      <c r="CBO94" s="37"/>
      <c r="CBP94" s="37"/>
      <c r="CBQ94" s="37"/>
      <c r="CBR94" s="37"/>
      <c r="CBS94" s="75"/>
      <c r="CBT94" s="37"/>
      <c r="CBU94" s="37"/>
      <c r="CBV94" s="37"/>
      <c r="CBW94" s="37"/>
      <c r="CBX94" s="37"/>
      <c r="CBY94" s="38"/>
      <c r="CBZ94" s="90"/>
    </row>
    <row r="95" spans="1:2106" ht="20.100000000000001" customHeight="1" x14ac:dyDescent="0.25">
      <c r="B95" s="96"/>
      <c r="C95" s="192" t="s">
        <v>9</v>
      </c>
      <c r="D95" s="193"/>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70"/>
      <c r="BLW95" s="69"/>
      <c r="BLX95" s="69"/>
      <c r="BLY95" s="69"/>
      <c r="BLZ95" s="69"/>
      <c r="BMA95" s="69"/>
      <c r="BMB95" s="69"/>
      <c r="BMC95" s="69"/>
      <c r="BMD95" s="69"/>
      <c r="BME95" s="69"/>
      <c r="BMF95" s="69"/>
      <c r="BMG95" s="69"/>
      <c r="BMH95" s="69"/>
      <c r="BMI95" s="69"/>
      <c r="BMJ95" s="69"/>
      <c r="BMK95" s="69"/>
      <c r="BML95" s="69"/>
      <c r="BMM95" s="69"/>
      <c r="BMN95" s="69"/>
      <c r="BMO95" s="69"/>
      <c r="BMP95" s="69"/>
      <c r="BMQ95" s="69"/>
      <c r="BMR95" s="69"/>
      <c r="BMS95" s="69"/>
      <c r="BMT95" s="69"/>
      <c r="BMU95" s="69"/>
      <c r="BMV95" s="69"/>
      <c r="BMW95" s="69"/>
      <c r="BMX95" s="69"/>
      <c r="BMY95" s="69"/>
      <c r="BMZ95" s="69"/>
      <c r="BNA95" s="69"/>
      <c r="BNB95" s="69"/>
      <c r="BNC95" s="69"/>
      <c r="BND95" s="69"/>
      <c r="BNE95" s="69"/>
      <c r="BNF95" s="69"/>
      <c r="BNG95" s="69"/>
      <c r="BNH95" s="69"/>
      <c r="BNI95" s="69"/>
      <c r="BNJ95" s="69"/>
      <c r="BNK95" s="69"/>
      <c r="BNL95" s="69"/>
      <c r="BNM95" s="69"/>
      <c r="BNN95" s="69"/>
      <c r="BNO95" s="69"/>
      <c r="BNP95" s="69"/>
      <c r="BNQ95" s="69"/>
      <c r="BNR95" s="69"/>
      <c r="BNS95" s="69"/>
      <c r="BNT95" s="69"/>
      <c r="BNU95" s="69"/>
      <c r="BNV95" s="69"/>
      <c r="BNW95" s="69"/>
      <c r="BNX95" s="69"/>
      <c r="BNY95" s="69"/>
      <c r="BNZ95" s="69"/>
      <c r="BOA95" s="69"/>
      <c r="BOB95" s="69"/>
      <c r="BOC95" s="85"/>
      <c r="BOD95" s="70"/>
      <c r="BOE95" s="69"/>
      <c r="BOF95" s="69"/>
      <c r="BOG95" s="69"/>
      <c r="BOH95" s="69"/>
      <c r="BOI95" s="69"/>
      <c r="BOJ95" s="69"/>
      <c r="BOK95" s="69"/>
      <c r="BOL95" s="69"/>
      <c r="BOM95" s="69"/>
      <c r="BON95" s="69"/>
      <c r="BOO95" s="69"/>
      <c r="BOP95" s="69"/>
      <c r="BOQ95" s="69"/>
      <c r="BOR95" s="69"/>
      <c r="BOS95" s="69"/>
      <c r="BOT95" s="69"/>
      <c r="BOU95" s="69"/>
      <c r="BOV95" s="69"/>
      <c r="BOW95" s="69"/>
      <c r="BOX95" s="69"/>
      <c r="BOY95" s="69"/>
      <c r="BOZ95" s="69"/>
      <c r="BPA95" s="69"/>
      <c r="BPB95" s="69"/>
      <c r="BPC95" s="69"/>
      <c r="BPD95" s="69"/>
      <c r="BPE95" s="69"/>
      <c r="BPF95" s="69"/>
      <c r="BPG95" s="69"/>
      <c r="BPH95" s="69"/>
      <c r="BPI95" s="69"/>
      <c r="BPJ95" s="69"/>
      <c r="BPK95" s="69"/>
      <c r="BPL95" s="69"/>
      <c r="BPM95" s="69"/>
      <c r="BPN95" s="69"/>
      <c r="BPO95" s="69"/>
      <c r="BPP95" s="69"/>
      <c r="BPQ95" s="69"/>
      <c r="BPR95" s="69"/>
      <c r="BPS95" s="69"/>
      <c r="BPT95" s="69"/>
      <c r="BPU95" s="69"/>
      <c r="BPV95" s="69"/>
      <c r="BPW95" s="69"/>
      <c r="BPX95" s="69"/>
      <c r="BPY95" s="69"/>
      <c r="BPZ95" s="69"/>
      <c r="BQA95" s="69"/>
      <c r="BQB95" s="69"/>
      <c r="BQC95" s="69"/>
      <c r="BQD95" s="69"/>
      <c r="BQE95" s="69"/>
      <c r="BQF95" s="69"/>
      <c r="BQG95" s="69"/>
      <c r="BQH95" s="69"/>
      <c r="BQI95" s="69"/>
      <c r="BQJ95" s="69"/>
      <c r="BQK95" s="85"/>
      <c r="BQL95" s="70"/>
      <c r="BQM95" s="69"/>
      <c r="BQN95" s="69"/>
      <c r="BQO95" s="69"/>
      <c r="BQP95" s="69"/>
      <c r="BQQ95" s="69"/>
      <c r="BQR95" s="69"/>
      <c r="BQS95" s="69"/>
      <c r="BQT95" s="69"/>
      <c r="BQU95" s="69"/>
      <c r="BQV95" s="69"/>
      <c r="BQW95" s="69"/>
      <c r="BQX95" s="69"/>
      <c r="BQY95" s="69"/>
      <c r="BQZ95" s="69"/>
      <c r="BRA95" s="69"/>
      <c r="BRB95" s="69"/>
      <c r="BRC95" s="69"/>
      <c r="BRD95" s="69"/>
      <c r="BRE95" s="69"/>
      <c r="BRF95" s="69"/>
      <c r="BRG95" s="69"/>
      <c r="BRH95" s="69"/>
      <c r="BRI95" s="69"/>
      <c r="BRJ95" s="69"/>
      <c r="BRK95" s="69"/>
      <c r="BRL95" s="69"/>
      <c r="BRM95" s="69"/>
      <c r="BRN95" s="69"/>
      <c r="BRO95" s="69"/>
      <c r="BRP95" s="69"/>
      <c r="BRQ95" s="69"/>
      <c r="BRR95" s="69"/>
      <c r="BRS95" s="69"/>
      <c r="BRT95" s="69"/>
      <c r="BRU95" s="69"/>
      <c r="BRV95" s="69"/>
      <c r="BRW95" s="69"/>
      <c r="BRX95" s="69"/>
      <c r="BRY95" s="69"/>
      <c r="BRZ95" s="69"/>
      <c r="BSA95" s="69"/>
      <c r="BSB95" s="69"/>
      <c r="BSC95" s="69"/>
      <c r="BSD95" s="69"/>
      <c r="BSE95" s="69"/>
      <c r="BSF95" s="69"/>
      <c r="BSG95" s="69"/>
      <c r="BSH95" s="69"/>
      <c r="BSI95" s="69"/>
      <c r="BSJ95" s="69"/>
      <c r="BSK95" s="69"/>
      <c r="BSL95" s="69"/>
      <c r="BSM95" s="69"/>
      <c r="BSN95" s="69"/>
      <c r="BSO95" s="69"/>
      <c r="BSP95" s="69"/>
      <c r="BSQ95" s="69"/>
      <c r="BSR95" s="69"/>
      <c r="BSS95" s="85"/>
      <c r="BST95" s="70"/>
      <c r="BSU95" s="69"/>
      <c r="BSV95" s="69"/>
      <c r="BSW95" s="69"/>
      <c r="BSX95" s="69"/>
      <c r="BSY95" s="69"/>
      <c r="BSZ95" s="69"/>
      <c r="BTA95" s="69"/>
      <c r="BTB95" s="69"/>
      <c r="BTC95" s="69"/>
      <c r="BTD95" s="69"/>
      <c r="BTE95" s="69"/>
      <c r="BTF95" s="69"/>
      <c r="BTG95" s="69"/>
      <c r="BTH95" s="69"/>
      <c r="BTI95" s="69"/>
      <c r="BTJ95" s="69"/>
      <c r="BTK95" s="69"/>
      <c r="BTL95" s="69"/>
      <c r="BTM95" s="69"/>
      <c r="BTN95" s="69"/>
      <c r="BTO95" s="69"/>
      <c r="BTP95" s="69"/>
      <c r="BTQ95" s="69"/>
      <c r="BTR95" s="69"/>
      <c r="BTS95" s="69"/>
      <c r="BTT95" s="69"/>
      <c r="BTU95" s="69"/>
      <c r="BTV95" s="69"/>
      <c r="BTW95" s="69"/>
      <c r="BTX95" s="69"/>
      <c r="BTY95" s="69"/>
      <c r="BTZ95" s="69"/>
      <c r="BUA95" s="69"/>
      <c r="BUB95" s="69"/>
      <c r="BUC95" s="69"/>
      <c r="BUD95" s="69"/>
      <c r="BUE95" s="69"/>
      <c r="BUF95" s="69"/>
      <c r="BUG95" s="69"/>
      <c r="BUH95" s="69"/>
      <c r="BUI95" s="69"/>
      <c r="BUJ95" s="69"/>
      <c r="BUK95" s="69"/>
      <c r="BUL95" s="69"/>
      <c r="BUM95" s="69"/>
      <c r="BUN95" s="69"/>
      <c r="BUO95" s="69"/>
      <c r="BUP95" s="69"/>
      <c r="BUQ95" s="69"/>
      <c r="BUR95" s="69"/>
      <c r="BUS95" s="69"/>
      <c r="BUT95" s="69"/>
      <c r="BUU95" s="69"/>
      <c r="BUV95" s="69"/>
      <c r="BUW95" s="69"/>
      <c r="BUX95" s="69"/>
      <c r="BUY95" s="69"/>
      <c r="BUZ95" s="69"/>
      <c r="BVA95" s="85"/>
      <c r="BVB95" s="70"/>
      <c r="BVC95" s="69"/>
      <c r="BVD95" s="69"/>
      <c r="BVE95" s="69"/>
      <c r="BVF95" s="69"/>
      <c r="BVG95" s="69"/>
      <c r="BVH95" s="69"/>
      <c r="BVI95" s="69"/>
      <c r="BVJ95" s="69"/>
      <c r="BVK95" s="69"/>
      <c r="BVL95" s="69"/>
      <c r="BVM95" s="69"/>
      <c r="BVN95" s="69"/>
      <c r="BVO95" s="69"/>
      <c r="BVP95" s="69"/>
      <c r="BVQ95" s="69"/>
      <c r="BVR95" s="69"/>
      <c r="BVS95" s="69"/>
      <c r="BVT95" s="69"/>
      <c r="BVU95" s="69"/>
      <c r="BVV95" s="69"/>
      <c r="BVW95" s="69"/>
      <c r="BVX95" s="69"/>
      <c r="BVY95" s="69"/>
      <c r="BVZ95" s="69"/>
      <c r="BWA95" s="69"/>
      <c r="BWB95" s="69"/>
      <c r="BWC95" s="69"/>
      <c r="BWD95" s="69"/>
      <c r="BWE95" s="69"/>
      <c r="BWF95" s="69"/>
      <c r="BWG95" s="69"/>
      <c r="BWH95" s="69"/>
      <c r="BWI95" s="69"/>
      <c r="BWJ95" s="69"/>
      <c r="BWK95" s="69"/>
      <c r="BWL95" s="69"/>
      <c r="BWM95" s="69"/>
      <c r="BWN95" s="69"/>
      <c r="BWO95" s="69"/>
      <c r="BWP95" s="69"/>
      <c r="BWQ95" s="69"/>
      <c r="BWR95" s="69"/>
      <c r="BWS95" s="69"/>
      <c r="BWT95" s="69"/>
      <c r="BWU95" s="69"/>
      <c r="BWV95" s="69"/>
      <c r="BWW95" s="69"/>
      <c r="BWX95" s="69"/>
      <c r="BWY95" s="69"/>
      <c r="BWZ95" s="69"/>
      <c r="BXA95" s="69"/>
      <c r="BXB95" s="69"/>
      <c r="BXC95" s="69"/>
      <c r="BXD95" s="69"/>
      <c r="BXE95" s="69"/>
      <c r="BXF95" s="69"/>
      <c r="BXG95" s="69"/>
      <c r="BXH95" s="69"/>
      <c r="BXI95" s="85"/>
      <c r="BXJ95" s="70"/>
      <c r="BXK95" s="69"/>
      <c r="BXL95" s="69"/>
      <c r="BXM95" s="69"/>
      <c r="BXN95" s="69"/>
      <c r="BXO95" s="69"/>
      <c r="BXP95" s="69"/>
      <c r="BXQ95" s="69"/>
      <c r="BXR95" s="69"/>
      <c r="BXS95" s="69"/>
      <c r="BXT95" s="69"/>
      <c r="BXU95" s="69"/>
      <c r="BXV95" s="69"/>
      <c r="BXW95" s="69"/>
      <c r="BXX95" s="69"/>
      <c r="BXY95" s="69"/>
      <c r="BXZ95" s="69"/>
      <c r="BYA95" s="69"/>
      <c r="BYB95" s="69"/>
      <c r="BYC95" s="69"/>
      <c r="BYD95" s="69"/>
      <c r="BYE95" s="69"/>
      <c r="BYF95" s="69"/>
      <c r="BYG95" s="69"/>
      <c r="BYH95" s="69"/>
      <c r="BYI95" s="69"/>
      <c r="BYJ95" s="69"/>
      <c r="BYK95" s="69"/>
      <c r="BYL95" s="69"/>
      <c r="BYM95" s="69"/>
      <c r="BYN95" s="69"/>
      <c r="BYO95" s="69"/>
      <c r="BYP95" s="69"/>
      <c r="BYQ95" s="69"/>
      <c r="BYR95" s="69"/>
      <c r="BYS95" s="69"/>
      <c r="BYT95" s="69"/>
      <c r="BYU95" s="69"/>
      <c r="BYV95" s="69"/>
      <c r="BYW95" s="69"/>
      <c r="BYX95" s="69"/>
      <c r="BYY95" s="69"/>
      <c r="BYZ95" s="69"/>
      <c r="BZA95" s="69"/>
      <c r="BZB95" s="69"/>
      <c r="BZC95" s="69"/>
      <c r="BZD95" s="69"/>
      <c r="BZE95" s="69"/>
      <c r="BZF95" s="69"/>
      <c r="BZG95" s="69"/>
      <c r="BZH95" s="69"/>
      <c r="BZI95" s="69"/>
      <c r="BZJ95" s="69"/>
      <c r="BZK95" s="69"/>
      <c r="BZL95" s="69"/>
      <c r="BZM95" s="69"/>
      <c r="BZN95" s="69"/>
      <c r="BZO95" s="69"/>
      <c r="BZP95" s="69"/>
      <c r="BZQ95" s="85"/>
      <c r="BZR95" s="70"/>
      <c r="BZS95" s="69"/>
      <c r="BZT95" s="69"/>
      <c r="BZU95" s="69"/>
      <c r="BZV95" s="69"/>
      <c r="BZW95" s="69"/>
      <c r="BZX95" s="69"/>
      <c r="BZY95" s="69"/>
      <c r="BZZ95" s="69"/>
      <c r="CAA95" s="69"/>
      <c r="CAB95" s="69"/>
      <c r="CAC95" s="69"/>
      <c r="CAD95" s="69"/>
      <c r="CAE95" s="69"/>
      <c r="CAF95" s="69"/>
      <c r="CAG95" s="69"/>
      <c r="CAH95" s="69"/>
      <c r="CAI95" s="69"/>
      <c r="CAJ95" s="69"/>
      <c r="CAK95" s="69"/>
      <c r="CAL95" s="69"/>
      <c r="CAM95" s="69"/>
      <c r="CAN95" s="69"/>
      <c r="CAO95" s="69"/>
      <c r="CAP95" s="69"/>
      <c r="CAQ95" s="69"/>
      <c r="CAR95" s="69"/>
      <c r="CAS95" s="69"/>
      <c r="CAT95" s="69"/>
      <c r="CAU95" s="69"/>
      <c r="CAV95" s="69"/>
      <c r="CAW95" s="69"/>
      <c r="CAX95" s="69"/>
      <c r="CAY95" s="69"/>
      <c r="CAZ95" s="69"/>
      <c r="CBA95" s="69"/>
      <c r="CBB95" s="69"/>
      <c r="CBC95" s="69"/>
      <c r="CBD95" s="69"/>
      <c r="CBE95" s="69"/>
      <c r="CBF95" s="69"/>
      <c r="CBG95" s="69"/>
      <c r="CBH95" s="69"/>
      <c r="CBI95" s="69"/>
      <c r="CBJ95" s="69"/>
      <c r="CBK95" s="69"/>
      <c r="CBL95" s="69"/>
      <c r="CBM95" s="69"/>
      <c r="CBN95" s="69"/>
      <c r="CBO95" s="69"/>
      <c r="CBP95" s="69"/>
      <c r="CBQ95" s="69"/>
      <c r="CBR95" s="69"/>
      <c r="CBS95" s="69"/>
      <c r="CBT95" s="69"/>
      <c r="CBU95" s="69"/>
      <c r="CBV95" s="69"/>
      <c r="CBW95" s="69"/>
      <c r="CBX95" s="69"/>
      <c r="CBY95" s="85"/>
      <c r="CBZ95" s="90"/>
    </row>
    <row r="96" spans="1:2106" ht="20.100000000000001" customHeight="1" thickBot="1" x14ac:dyDescent="0.3">
      <c r="B96" s="96"/>
      <c r="C96" s="194"/>
      <c r="D96" s="195"/>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112"/>
      <c r="BLW96" s="113"/>
      <c r="BLX96" s="113"/>
      <c r="BLY96" s="113"/>
      <c r="BLZ96" s="113"/>
      <c r="BMA96" s="113"/>
      <c r="BMB96" s="113"/>
      <c r="BMC96" s="113"/>
      <c r="BMD96" s="113"/>
      <c r="BME96" s="113"/>
      <c r="BMF96" s="113"/>
      <c r="BMG96" s="113"/>
      <c r="BMH96" s="113"/>
      <c r="BMI96" s="113"/>
      <c r="BMJ96" s="113"/>
      <c r="BMK96" s="113"/>
      <c r="BML96" s="113"/>
      <c r="BMM96" s="113"/>
      <c r="BMN96" s="113"/>
      <c r="BMO96" s="113"/>
      <c r="BMP96" s="113"/>
      <c r="BMQ96" s="113"/>
      <c r="BMR96" s="113"/>
      <c r="BMS96" s="113"/>
      <c r="BMT96" s="113"/>
      <c r="BMU96" s="113"/>
      <c r="BMV96" s="113"/>
      <c r="BMW96" s="113"/>
      <c r="BMX96" s="113"/>
      <c r="BMY96" s="113"/>
      <c r="BMZ96" s="113"/>
      <c r="BNA96" s="113"/>
      <c r="BNB96" s="113"/>
      <c r="BNC96" s="113"/>
      <c r="BND96" s="113"/>
      <c r="BNE96" s="113"/>
      <c r="BNF96" s="113"/>
      <c r="BNG96" s="113"/>
      <c r="BNH96" s="113"/>
      <c r="BNI96" s="113"/>
      <c r="BNJ96" s="113"/>
      <c r="BNK96" s="113"/>
      <c r="BNL96" s="113"/>
      <c r="BNM96" s="113"/>
      <c r="BNN96" s="113"/>
      <c r="BNO96" s="113"/>
      <c r="BNP96" s="113"/>
      <c r="BNQ96" s="113"/>
      <c r="BNR96" s="113"/>
      <c r="BNS96" s="113"/>
      <c r="BNT96" s="113"/>
      <c r="BNU96" s="113"/>
      <c r="BNV96" s="113"/>
      <c r="BNW96" s="113"/>
      <c r="BNX96" s="113"/>
      <c r="BNY96" s="113"/>
      <c r="BNZ96" s="113"/>
      <c r="BOA96" s="113"/>
      <c r="BOB96" s="113"/>
      <c r="BOC96" s="114"/>
      <c r="BOD96" s="112"/>
      <c r="BOE96" s="113"/>
      <c r="BOF96" s="113"/>
      <c r="BOG96" s="113"/>
      <c r="BOH96" s="113"/>
      <c r="BOI96" s="113"/>
      <c r="BOJ96" s="113"/>
      <c r="BOK96" s="113"/>
      <c r="BOL96" s="113"/>
      <c r="BOM96" s="113"/>
      <c r="BON96" s="113"/>
      <c r="BOO96" s="113"/>
      <c r="BOP96" s="113"/>
      <c r="BOQ96" s="113"/>
      <c r="BOR96" s="113"/>
      <c r="BOS96" s="113"/>
      <c r="BOT96" s="113"/>
      <c r="BOU96" s="113"/>
      <c r="BOV96" s="113"/>
      <c r="BOW96" s="113"/>
      <c r="BOX96" s="113"/>
      <c r="BOY96" s="113"/>
      <c r="BOZ96" s="113"/>
      <c r="BPA96" s="113"/>
      <c r="BPB96" s="113"/>
      <c r="BPC96" s="113"/>
      <c r="BPD96" s="113"/>
      <c r="BPE96" s="113"/>
      <c r="BPF96" s="113"/>
      <c r="BPG96" s="113"/>
      <c r="BPH96" s="113"/>
      <c r="BPI96" s="113"/>
      <c r="BPJ96" s="113"/>
      <c r="BPK96" s="113"/>
      <c r="BPL96" s="113"/>
      <c r="BPM96" s="113"/>
      <c r="BPN96" s="113"/>
      <c r="BPO96" s="113"/>
      <c r="BPP96" s="113"/>
      <c r="BPQ96" s="113"/>
      <c r="BPR96" s="113"/>
      <c r="BPS96" s="113"/>
      <c r="BPT96" s="113"/>
      <c r="BPU96" s="113"/>
      <c r="BPV96" s="113"/>
      <c r="BPW96" s="113"/>
      <c r="BPX96" s="113"/>
      <c r="BPY96" s="113"/>
      <c r="BPZ96" s="113"/>
      <c r="BQA96" s="113"/>
      <c r="BQB96" s="113"/>
      <c r="BQC96" s="113"/>
      <c r="BQD96" s="113"/>
      <c r="BQE96" s="113"/>
      <c r="BQF96" s="113"/>
      <c r="BQG96" s="113"/>
      <c r="BQH96" s="113"/>
      <c r="BQI96" s="113"/>
      <c r="BQJ96" s="113"/>
      <c r="BQK96" s="114"/>
      <c r="BQL96" s="112"/>
      <c r="BQM96" s="113"/>
      <c r="BQN96" s="113"/>
      <c r="BQO96" s="113"/>
      <c r="BQP96" s="113"/>
      <c r="BQQ96" s="113"/>
      <c r="BQR96" s="113"/>
      <c r="BQS96" s="113"/>
      <c r="BQT96" s="113"/>
      <c r="BQU96" s="113"/>
      <c r="BQV96" s="113"/>
      <c r="BQW96" s="113"/>
      <c r="BQX96" s="113"/>
      <c r="BQY96" s="113"/>
      <c r="BQZ96" s="113"/>
      <c r="BRA96" s="113"/>
      <c r="BRB96" s="113"/>
      <c r="BRC96" s="113"/>
      <c r="BRD96" s="113"/>
      <c r="BRE96" s="113"/>
      <c r="BRF96" s="113"/>
      <c r="BRG96" s="113"/>
      <c r="BRH96" s="113"/>
      <c r="BRI96" s="113"/>
      <c r="BRJ96" s="113"/>
      <c r="BRK96" s="113"/>
      <c r="BRL96" s="113"/>
      <c r="BRM96" s="113"/>
      <c r="BRN96" s="113"/>
      <c r="BRO96" s="113"/>
      <c r="BRP96" s="113"/>
      <c r="BRQ96" s="113"/>
      <c r="BRR96" s="113"/>
      <c r="BRS96" s="113"/>
      <c r="BRT96" s="113"/>
      <c r="BRU96" s="113"/>
      <c r="BRV96" s="113"/>
      <c r="BRW96" s="113"/>
      <c r="BRX96" s="113"/>
      <c r="BRY96" s="113"/>
      <c r="BRZ96" s="113"/>
      <c r="BSA96" s="113"/>
      <c r="BSB96" s="113"/>
      <c r="BSC96" s="113"/>
      <c r="BSD96" s="113"/>
      <c r="BSE96" s="113"/>
      <c r="BSF96" s="113"/>
      <c r="BSG96" s="113"/>
      <c r="BSH96" s="113"/>
      <c r="BSI96" s="113"/>
      <c r="BSJ96" s="113"/>
      <c r="BSK96" s="113"/>
      <c r="BSL96" s="113"/>
      <c r="BSM96" s="113"/>
      <c r="BSN96" s="113"/>
      <c r="BSO96" s="113"/>
      <c r="BSP96" s="113"/>
      <c r="BSQ96" s="113"/>
      <c r="BSR96" s="113"/>
      <c r="BSS96" s="114"/>
      <c r="BST96" s="112"/>
      <c r="BSU96" s="113"/>
      <c r="BSV96" s="113"/>
      <c r="BSW96" s="113"/>
      <c r="BSX96" s="113"/>
      <c r="BSY96" s="113"/>
      <c r="BSZ96" s="113"/>
      <c r="BTA96" s="113"/>
      <c r="BTB96" s="113"/>
      <c r="BTC96" s="113"/>
      <c r="BTD96" s="113"/>
      <c r="BTE96" s="113"/>
      <c r="BTF96" s="113"/>
      <c r="BTG96" s="113"/>
      <c r="BTH96" s="113"/>
      <c r="BTI96" s="113"/>
      <c r="BTJ96" s="113"/>
      <c r="BTK96" s="113"/>
      <c r="BTL96" s="113"/>
      <c r="BTM96" s="113"/>
      <c r="BTN96" s="113"/>
      <c r="BTO96" s="113"/>
      <c r="BTP96" s="113"/>
      <c r="BTQ96" s="113"/>
      <c r="BTR96" s="113"/>
      <c r="BTS96" s="113"/>
      <c r="BTT96" s="113"/>
      <c r="BTU96" s="113"/>
      <c r="BTV96" s="113"/>
      <c r="BTW96" s="113"/>
      <c r="BTX96" s="113"/>
      <c r="BTY96" s="113"/>
      <c r="BTZ96" s="113"/>
      <c r="BUA96" s="113"/>
      <c r="BUB96" s="113"/>
      <c r="BUC96" s="113"/>
      <c r="BUD96" s="113"/>
      <c r="BUE96" s="113"/>
      <c r="BUF96" s="113"/>
      <c r="BUG96" s="113"/>
      <c r="BUH96" s="113"/>
      <c r="BUI96" s="113"/>
      <c r="BUJ96" s="113"/>
      <c r="BUK96" s="113"/>
      <c r="BUL96" s="113"/>
      <c r="BUM96" s="113"/>
      <c r="BUN96" s="113"/>
      <c r="BUO96" s="113"/>
      <c r="BUP96" s="113"/>
      <c r="BUQ96" s="113"/>
      <c r="BUR96" s="113"/>
      <c r="BUS96" s="113"/>
      <c r="BUT96" s="113"/>
      <c r="BUU96" s="113"/>
      <c r="BUV96" s="113"/>
      <c r="BUW96" s="113"/>
      <c r="BUX96" s="113"/>
      <c r="BUY96" s="113"/>
      <c r="BUZ96" s="113"/>
      <c r="BVA96" s="114"/>
      <c r="BVB96" s="112"/>
      <c r="BVC96" s="113"/>
      <c r="BVD96" s="113"/>
      <c r="BVE96" s="113"/>
      <c r="BVF96" s="113"/>
      <c r="BVG96" s="113"/>
      <c r="BVH96" s="113"/>
      <c r="BVI96" s="113"/>
      <c r="BVJ96" s="113"/>
      <c r="BVK96" s="113"/>
      <c r="BVL96" s="113"/>
      <c r="BVM96" s="113"/>
      <c r="BVN96" s="113"/>
      <c r="BVO96" s="113"/>
      <c r="BVP96" s="113"/>
      <c r="BVQ96" s="113"/>
      <c r="BVR96" s="113"/>
      <c r="BVS96" s="113"/>
      <c r="BVT96" s="113"/>
      <c r="BVU96" s="113"/>
      <c r="BVV96" s="113"/>
      <c r="BVW96" s="113"/>
      <c r="BVX96" s="113"/>
      <c r="BVY96" s="113"/>
      <c r="BVZ96" s="113"/>
      <c r="BWA96" s="113"/>
      <c r="BWB96" s="113"/>
      <c r="BWC96" s="113"/>
      <c r="BWD96" s="113"/>
      <c r="BWE96" s="113"/>
      <c r="BWF96" s="113"/>
      <c r="BWG96" s="113"/>
      <c r="BWH96" s="113"/>
      <c r="BWI96" s="113"/>
      <c r="BWJ96" s="113"/>
      <c r="BWK96" s="113"/>
      <c r="BWL96" s="113"/>
      <c r="BWM96" s="113"/>
      <c r="BWN96" s="113"/>
      <c r="BWO96" s="113"/>
      <c r="BWP96" s="113"/>
      <c r="BWQ96" s="113"/>
      <c r="BWR96" s="113"/>
      <c r="BWS96" s="113"/>
      <c r="BWT96" s="113"/>
      <c r="BWU96" s="113"/>
      <c r="BWV96" s="113"/>
      <c r="BWW96" s="113"/>
      <c r="BWX96" s="113"/>
      <c r="BWY96" s="113"/>
      <c r="BWZ96" s="113"/>
      <c r="BXA96" s="113"/>
      <c r="BXB96" s="113"/>
      <c r="BXC96" s="113"/>
      <c r="BXD96" s="113"/>
      <c r="BXE96" s="113"/>
      <c r="BXF96" s="113"/>
      <c r="BXG96" s="113"/>
      <c r="BXH96" s="113"/>
      <c r="BXI96" s="114"/>
      <c r="BXJ96" s="112"/>
      <c r="BXK96" s="113"/>
      <c r="BXL96" s="113"/>
      <c r="BXM96" s="113"/>
      <c r="BXN96" s="113"/>
      <c r="BXO96" s="113"/>
      <c r="BXP96" s="113"/>
      <c r="BXQ96" s="113"/>
      <c r="BXR96" s="113"/>
      <c r="BXS96" s="113"/>
      <c r="BXT96" s="113"/>
      <c r="BXU96" s="113"/>
      <c r="BXV96" s="113"/>
      <c r="BXW96" s="113"/>
      <c r="BXX96" s="113"/>
      <c r="BXY96" s="113"/>
      <c r="BXZ96" s="113"/>
      <c r="BYA96" s="113"/>
      <c r="BYB96" s="113"/>
      <c r="BYC96" s="113"/>
      <c r="BYD96" s="113"/>
      <c r="BYE96" s="113"/>
      <c r="BYF96" s="113"/>
      <c r="BYG96" s="113"/>
      <c r="BYH96" s="113"/>
      <c r="BYI96" s="113"/>
      <c r="BYJ96" s="113"/>
      <c r="BYK96" s="113"/>
      <c r="BYL96" s="113"/>
      <c r="BYM96" s="113"/>
      <c r="BYN96" s="113"/>
      <c r="BYO96" s="113"/>
      <c r="BYP96" s="113"/>
      <c r="BYQ96" s="113"/>
      <c r="BYR96" s="113"/>
      <c r="BYS96" s="113"/>
      <c r="BYT96" s="113"/>
      <c r="BYU96" s="113"/>
      <c r="BYV96" s="113"/>
      <c r="BYW96" s="113"/>
      <c r="BYX96" s="113"/>
      <c r="BYY96" s="113"/>
      <c r="BYZ96" s="113"/>
      <c r="BZA96" s="113"/>
      <c r="BZB96" s="113"/>
      <c r="BZC96" s="113"/>
      <c r="BZD96" s="113"/>
      <c r="BZE96" s="113"/>
      <c r="BZF96" s="113"/>
      <c r="BZG96" s="113"/>
      <c r="BZH96" s="113"/>
      <c r="BZI96" s="113"/>
      <c r="BZJ96" s="113"/>
      <c r="BZK96" s="113"/>
      <c r="BZL96" s="113"/>
      <c r="BZM96" s="113"/>
      <c r="BZN96" s="113"/>
      <c r="BZO96" s="113"/>
      <c r="BZP96" s="113"/>
      <c r="BZQ96" s="114"/>
      <c r="BZR96" s="112"/>
      <c r="BZS96" s="113"/>
      <c r="BZT96" s="113"/>
      <c r="BZU96" s="113"/>
      <c r="BZV96" s="113"/>
      <c r="BZW96" s="113"/>
      <c r="BZX96" s="113"/>
      <c r="BZY96" s="113"/>
      <c r="BZZ96" s="113"/>
      <c r="CAA96" s="113"/>
      <c r="CAB96" s="113"/>
      <c r="CAC96" s="113"/>
      <c r="CAD96" s="113"/>
      <c r="CAE96" s="113"/>
      <c r="CAF96" s="113"/>
      <c r="CAG96" s="113"/>
      <c r="CAH96" s="113"/>
      <c r="CAI96" s="113"/>
      <c r="CAJ96" s="113"/>
      <c r="CAK96" s="113"/>
      <c r="CAL96" s="113"/>
      <c r="CAM96" s="113"/>
      <c r="CAN96" s="113"/>
      <c r="CAO96" s="113"/>
      <c r="CAP96" s="113"/>
      <c r="CAQ96" s="113"/>
      <c r="CAR96" s="113"/>
      <c r="CAS96" s="113"/>
      <c r="CAT96" s="113"/>
      <c r="CAU96" s="113"/>
      <c r="CAV96" s="113"/>
      <c r="CAW96" s="113"/>
      <c r="CAX96" s="113"/>
      <c r="CAY96" s="113"/>
      <c r="CAZ96" s="113"/>
      <c r="CBA96" s="113"/>
      <c r="CBB96" s="113"/>
      <c r="CBC96" s="113"/>
      <c r="CBD96" s="113"/>
      <c r="CBE96" s="113"/>
      <c r="CBF96" s="113"/>
      <c r="CBG96" s="113"/>
      <c r="CBH96" s="113"/>
      <c r="CBI96" s="113"/>
      <c r="CBJ96" s="113"/>
      <c r="CBK96" s="113"/>
      <c r="CBL96" s="113"/>
      <c r="CBM96" s="113"/>
      <c r="CBN96" s="113"/>
      <c r="CBO96" s="113"/>
      <c r="CBP96" s="113"/>
      <c r="CBQ96" s="113"/>
      <c r="CBR96" s="113"/>
      <c r="CBS96" s="113"/>
      <c r="CBT96" s="113"/>
      <c r="CBU96" s="113"/>
      <c r="CBV96" s="113"/>
      <c r="CBW96" s="113"/>
      <c r="CBX96" s="113"/>
      <c r="CBY96" s="114"/>
      <c r="CBZ96" s="90"/>
    </row>
    <row r="97" spans="2:2106" ht="20.100000000000001" customHeight="1" x14ac:dyDescent="0.25">
      <c r="B97" s="96"/>
      <c r="C97" s="196" t="s">
        <v>10</v>
      </c>
      <c r="D97" s="197"/>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15"/>
      <c r="BLW97" s="115"/>
      <c r="BLX97" s="115"/>
      <c r="BLY97" s="115"/>
      <c r="BLZ97" s="115"/>
      <c r="BMA97" s="115"/>
      <c r="BMB97" s="115"/>
      <c r="BMC97" s="115"/>
      <c r="BMD97" s="115"/>
      <c r="BME97" s="115"/>
      <c r="BMF97" s="115"/>
      <c r="BMG97" s="115"/>
      <c r="BMH97" s="115"/>
      <c r="BMI97" s="115"/>
      <c r="BMJ97" s="115"/>
      <c r="BMK97" s="115"/>
      <c r="BML97" s="115"/>
      <c r="BMM97" s="115"/>
      <c r="BMN97" s="115"/>
      <c r="BMO97" s="115"/>
      <c r="BMP97" s="115"/>
      <c r="BMQ97" s="115"/>
      <c r="BMR97" s="115"/>
      <c r="BMS97" s="115"/>
      <c r="BMT97" s="115"/>
      <c r="BMU97" s="115"/>
      <c r="BMV97" s="115"/>
      <c r="BMW97" s="115"/>
      <c r="BMX97" s="115"/>
      <c r="BMY97" s="115"/>
      <c r="BMZ97" s="115"/>
      <c r="BNA97" s="115"/>
      <c r="BNB97" s="115"/>
      <c r="BNC97" s="115"/>
      <c r="BND97" s="115"/>
      <c r="BNE97" s="115"/>
      <c r="BNF97" s="115"/>
      <c r="BNG97" s="115"/>
      <c r="BNH97" s="115"/>
      <c r="BNI97" s="115"/>
      <c r="BNJ97" s="115"/>
      <c r="BNK97" s="115"/>
      <c r="BNL97" s="115"/>
      <c r="BNM97" s="115"/>
      <c r="BNN97" s="115"/>
      <c r="BNO97" s="115"/>
      <c r="BNP97" s="115"/>
      <c r="BNQ97" s="115"/>
      <c r="BNR97" s="115"/>
      <c r="BNS97" s="115"/>
      <c r="BNT97" s="115"/>
      <c r="BNU97" s="115"/>
      <c r="BNV97" s="115"/>
      <c r="BNW97" s="115"/>
      <c r="BNX97" s="115"/>
      <c r="BNY97" s="115"/>
      <c r="BNZ97" s="115"/>
      <c r="BOA97" s="115"/>
      <c r="BOB97" s="115"/>
      <c r="BOC97" s="116"/>
      <c r="BOD97" s="115"/>
      <c r="BOE97" s="115"/>
      <c r="BOF97" s="115"/>
      <c r="BOG97" s="115"/>
      <c r="BOH97" s="115"/>
      <c r="BOI97" s="115"/>
      <c r="BOJ97" s="115"/>
      <c r="BOK97" s="115"/>
      <c r="BOL97" s="115"/>
      <c r="BOM97" s="115"/>
      <c r="BON97" s="115"/>
      <c r="BOO97" s="115"/>
      <c r="BOP97" s="115"/>
      <c r="BOQ97" s="115"/>
      <c r="BOR97" s="115"/>
      <c r="BOS97" s="115"/>
      <c r="BOT97" s="115"/>
      <c r="BOU97" s="115"/>
      <c r="BOV97" s="115"/>
      <c r="BOW97" s="115"/>
      <c r="BOX97" s="115"/>
      <c r="BOY97" s="115"/>
      <c r="BOZ97" s="115"/>
      <c r="BPA97" s="115"/>
      <c r="BPB97" s="115"/>
      <c r="BPC97" s="115"/>
      <c r="BPD97" s="115"/>
      <c r="BPE97" s="115"/>
      <c r="BPF97" s="115"/>
      <c r="BPG97" s="115"/>
      <c r="BPH97" s="115"/>
      <c r="BPI97" s="115"/>
      <c r="BPJ97" s="115"/>
      <c r="BPK97" s="115"/>
      <c r="BPL97" s="115"/>
      <c r="BPM97" s="115"/>
      <c r="BPN97" s="115"/>
      <c r="BPO97" s="115"/>
      <c r="BPP97" s="115"/>
      <c r="BPQ97" s="115"/>
      <c r="BPR97" s="115"/>
      <c r="BPS97" s="115"/>
      <c r="BPT97" s="115"/>
      <c r="BPU97" s="115"/>
      <c r="BPV97" s="115"/>
      <c r="BPW97" s="115"/>
      <c r="BPX97" s="115"/>
      <c r="BPY97" s="115"/>
      <c r="BPZ97" s="115"/>
      <c r="BQA97" s="115"/>
      <c r="BQB97" s="115"/>
      <c r="BQC97" s="115"/>
      <c r="BQD97" s="115"/>
      <c r="BQE97" s="115"/>
      <c r="BQF97" s="115"/>
      <c r="BQG97" s="115"/>
      <c r="BQH97" s="115"/>
      <c r="BQI97" s="115"/>
      <c r="BQJ97" s="115"/>
      <c r="BQK97" s="116"/>
      <c r="BQL97" s="115"/>
      <c r="BQM97" s="115"/>
      <c r="BQN97" s="115"/>
      <c r="BQO97" s="115"/>
      <c r="BQP97" s="115"/>
      <c r="BQQ97" s="115"/>
      <c r="BQR97" s="115"/>
      <c r="BQS97" s="115"/>
      <c r="BQT97" s="115"/>
      <c r="BQU97" s="115"/>
      <c r="BQV97" s="115"/>
      <c r="BQW97" s="115"/>
      <c r="BQX97" s="115"/>
      <c r="BQY97" s="115"/>
      <c r="BQZ97" s="115"/>
      <c r="BRA97" s="115"/>
      <c r="BRB97" s="115"/>
      <c r="BRC97" s="115"/>
      <c r="BRD97" s="115"/>
      <c r="BRE97" s="115"/>
      <c r="BRF97" s="115"/>
      <c r="BRG97" s="115"/>
      <c r="BRH97" s="115"/>
      <c r="BRI97" s="115"/>
      <c r="BRJ97" s="115"/>
      <c r="BRK97" s="115"/>
      <c r="BRL97" s="115"/>
      <c r="BRM97" s="115"/>
      <c r="BRN97" s="115"/>
      <c r="BRO97" s="115"/>
      <c r="BRP97" s="115"/>
      <c r="BRQ97" s="115"/>
      <c r="BRR97" s="115"/>
      <c r="BRS97" s="115"/>
      <c r="BRT97" s="115"/>
      <c r="BRU97" s="115"/>
      <c r="BRV97" s="115"/>
      <c r="BRW97" s="115"/>
      <c r="BRX97" s="115"/>
      <c r="BRY97" s="115"/>
      <c r="BRZ97" s="115"/>
      <c r="BSA97" s="115"/>
      <c r="BSB97" s="115"/>
      <c r="BSC97" s="115"/>
      <c r="BSD97" s="115"/>
      <c r="BSE97" s="115"/>
      <c r="BSF97" s="115"/>
      <c r="BSG97" s="115"/>
      <c r="BSH97" s="115"/>
      <c r="BSI97" s="115"/>
      <c r="BSJ97" s="115"/>
      <c r="BSK97" s="115"/>
      <c r="BSL97" s="115"/>
      <c r="BSM97" s="115"/>
      <c r="BSN97" s="115"/>
      <c r="BSO97" s="115"/>
      <c r="BSP97" s="115"/>
      <c r="BSQ97" s="115"/>
      <c r="BSR97" s="115"/>
      <c r="BSS97" s="116"/>
      <c r="BST97" s="115"/>
      <c r="BSU97" s="115"/>
      <c r="BSV97" s="115"/>
      <c r="BSW97" s="115"/>
      <c r="BSX97" s="115"/>
      <c r="BSY97" s="115"/>
      <c r="BSZ97" s="115"/>
      <c r="BTA97" s="115"/>
      <c r="BTB97" s="115"/>
      <c r="BTC97" s="115"/>
      <c r="BTD97" s="115"/>
      <c r="BTE97" s="115"/>
      <c r="BTF97" s="115"/>
      <c r="BTG97" s="115"/>
      <c r="BTH97" s="115"/>
      <c r="BTI97" s="115"/>
      <c r="BTJ97" s="115"/>
      <c r="BTK97" s="115"/>
      <c r="BTL97" s="115"/>
      <c r="BTM97" s="115"/>
      <c r="BTN97" s="115"/>
      <c r="BTO97" s="115"/>
      <c r="BTP97" s="115"/>
      <c r="BTQ97" s="115"/>
      <c r="BTR97" s="115"/>
      <c r="BTS97" s="115"/>
      <c r="BTT97" s="115"/>
      <c r="BTU97" s="115"/>
      <c r="BTV97" s="115"/>
      <c r="BTW97" s="115"/>
      <c r="BTX97" s="115"/>
      <c r="BTY97" s="115"/>
      <c r="BTZ97" s="115"/>
      <c r="BUA97" s="115"/>
      <c r="BUB97" s="115"/>
      <c r="BUC97" s="115"/>
      <c r="BUD97" s="115"/>
      <c r="BUE97" s="115"/>
      <c r="BUF97" s="115"/>
      <c r="BUG97" s="115"/>
      <c r="BUH97" s="115"/>
      <c r="BUI97" s="115"/>
      <c r="BUJ97" s="115"/>
      <c r="BUK97" s="115"/>
      <c r="BUL97" s="115"/>
      <c r="BUM97" s="115"/>
      <c r="BUN97" s="115"/>
      <c r="BUO97" s="115"/>
      <c r="BUP97" s="115"/>
      <c r="BUQ97" s="115"/>
      <c r="BUR97" s="115"/>
      <c r="BUS97" s="115"/>
      <c r="BUT97" s="115"/>
      <c r="BUU97" s="115"/>
      <c r="BUV97" s="115"/>
      <c r="BUW97" s="115"/>
      <c r="BUX97" s="115"/>
      <c r="BUY97" s="115"/>
      <c r="BUZ97" s="115"/>
      <c r="BVA97" s="116"/>
      <c r="BVB97" s="115"/>
      <c r="BVC97" s="115"/>
      <c r="BVD97" s="115"/>
      <c r="BVE97" s="115"/>
      <c r="BVF97" s="115"/>
      <c r="BVG97" s="115"/>
      <c r="BVH97" s="115"/>
      <c r="BVI97" s="115"/>
      <c r="BVJ97" s="115"/>
      <c r="BVK97" s="115"/>
      <c r="BVL97" s="115"/>
      <c r="BVM97" s="115"/>
      <c r="BVN97" s="115"/>
      <c r="BVO97" s="115"/>
      <c r="BVP97" s="115"/>
      <c r="BVQ97" s="115"/>
      <c r="BVR97" s="115"/>
      <c r="BVS97" s="115"/>
      <c r="BVT97" s="115"/>
      <c r="BVU97" s="115"/>
      <c r="BVV97" s="115"/>
      <c r="BVW97" s="115"/>
      <c r="BVX97" s="115"/>
      <c r="BVY97" s="115"/>
      <c r="BVZ97" s="115"/>
      <c r="BWA97" s="115"/>
      <c r="BWB97" s="115"/>
      <c r="BWC97" s="115"/>
      <c r="BWD97" s="115"/>
      <c r="BWE97" s="115"/>
      <c r="BWF97" s="115"/>
      <c r="BWG97" s="115"/>
      <c r="BWH97" s="115"/>
      <c r="BWI97" s="115"/>
      <c r="BWJ97" s="115"/>
      <c r="BWK97" s="115"/>
      <c r="BWL97" s="115"/>
      <c r="BWM97" s="115"/>
      <c r="BWN97" s="115"/>
      <c r="BWO97" s="115"/>
      <c r="BWP97" s="115"/>
      <c r="BWQ97" s="115"/>
      <c r="BWR97" s="115"/>
      <c r="BWS97" s="115"/>
      <c r="BWT97" s="115"/>
      <c r="BWU97" s="115"/>
      <c r="BWV97" s="115"/>
      <c r="BWW97" s="115"/>
      <c r="BWX97" s="115"/>
      <c r="BWY97" s="115"/>
      <c r="BWZ97" s="115"/>
      <c r="BXA97" s="115"/>
      <c r="BXB97" s="115"/>
      <c r="BXC97" s="115"/>
      <c r="BXD97" s="115"/>
      <c r="BXE97" s="115"/>
      <c r="BXF97" s="115"/>
      <c r="BXG97" s="115"/>
      <c r="BXH97" s="115"/>
      <c r="BXI97" s="116"/>
      <c r="BXJ97" s="115"/>
      <c r="BXK97" s="115"/>
      <c r="BXL97" s="115"/>
      <c r="BXM97" s="115"/>
      <c r="BXN97" s="115"/>
      <c r="BXO97" s="115"/>
      <c r="BXP97" s="115"/>
      <c r="BXQ97" s="115"/>
      <c r="BXR97" s="115"/>
      <c r="BXS97" s="115"/>
      <c r="BXT97" s="115"/>
      <c r="BXU97" s="115"/>
      <c r="BXV97" s="115"/>
      <c r="BXW97" s="115"/>
      <c r="BXX97" s="115"/>
      <c r="BXY97" s="115"/>
      <c r="BXZ97" s="115"/>
      <c r="BYA97" s="115"/>
      <c r="BYB97" s="115"/>
      <c r="BYC97" s="115"/>
      <c r="BYD97" s="115"/>
      <c r="BYE97" s="115"/>
      <c r="BYF97" s="115"/>
      <c r="BYG97" s="115"/>
      <c r="BYH97" s="115"/>
      <c r="BYI97" s="115"/>
      <c r="BYJ97" s="115"/>
      <c r="BYK97" s="115"/>
      <c r="BYL97" s="115"/>
      <c r="BYM97" s="115"/>
      <c r="BYN97" s="115"/>
      <c r="BYO97" s="115"/>
      <c r="BYP97" s="115"/>
      <c r="BYQ97" s="115"/>
      <c r="BYR97" s="115"/>
      <c r="BYS97" s="115"/>
      <c r="BYT97" s="115"/>
      <c r="BYU97" s="115"/>
      <c r="BYV97" s="115"/>
      <c r="BYW97" s="115"/>
      <c r="BYX97" s="115"/>
      <c r="BYY97" s="115"/>
      <c r="BYZ97" s="115"/>
      <c r="BZA97" s="115"/>
      <c r="BZB97" s="115"/>
      <c r="BZC97" s="115"/>
      <c r="BZD97" s="115"/>
      <c r="BZE97" s="115"/>
      <c r="BZF97" s="115"/>
      <c r="BZG97" s="115"/>
      <c r="BZH97" s="115"/>
      <c r="BZI97" s="115"/>
      <c r="BZJ97" s="115"/>
      <c r="BZK97" s="115"/>
      <c r="BZL97" s="115"/>
      <c r="BZM97" s="115"/>
      <c r="BZN97" s="115"/>
      <c r="BZO97" s="115"/>
      <c r="BZP97" s="115"/>
      <c r="BZQ97" s="116"/>
      <c r="BZR97" s="115"/>
      <c r="BZS97" s="115"/>
      <c r="BZT97" s="115"/>
      <c r="BZU97" s="115"/>
      <c r="BZV97" s="115"/>
      <c r="BZW97" s="115"/>
      <c r="BZX97" s="115"/>
      <c r="BZY97" s="115"/>
      <c r="BZZ97" s="115"/>
      <c r="CAA97" s="115"/>
      <c r="CAB97" s="115"/>
      <c r="CAC97" s="115"/>
      <c r="CAD97" s="115"/>
      <c r="CAE97" s="115"/>
      <c r="CAF97" s="115"/>
      <c r="CAG97" s="115"/>
      <c r="CAH97" s="115"/>
      <c r="CAI97" s="115"/>
      <c r="CAJ97" s="115"/>
      <c r="CAK97" s="115"/>
      <c r="CAL97" s="115"/>
      <c r="CAM97" s="115"/>
      <c r="CAN97" s="115"/>
      <c r="CAO97" s="115"/>
      <c r="CAP97" s="115"/>
      <c r="CAQ97" s="115"/>
      <c r="CAR97" s="115"/>
      <c r="CAS97" s="115"/>
      <c r="CAT97" s="115"/>
      <c r="CAU97" s="115"/>
      <c r="CAV97" s="115"/>
      <c r="CAW97" s="115"/>
      <c r="CAX97" s="115"/>
      <c r="CAY97" s="115"/>
      <c r="CAZ97" s="115"/>
      <c r="CBA97" s="115"/>
      <c r="CBB97" s="115"/>
      <c r="CBC97" s="115"/>
      <c r="CBD97" s="115"/>
      <c r="CBE97" s="115"/>
      <c r="CBF97" s="115"/>
      <c r="CBG97" s="115"/>
      <c r="CBH97" s="115"/>
      <c r="CBI97" s="115"/>
      <c r="CBJ97" s="115"/>
      <c r="CBK97" s="115"/>
      <c r="CBL97" s="115"/>
      <c r="CBM97" s="115"/>
      <c r="CBN97" s="115"/>
      <c r="CBO97" s="115"/>
      <c r="CBP97" s="115"/>
      <c r="CBQ97" s="115"/>
      <c r="CBR97" s="115"/>
      <c r="CBS97" s="115"/>
      <c r="CBT97" s="115"/>
      <c r="CBU97" s="115"/>
      <c r="CBV97" s="115"/>
      <c r="CBW97" s="115"/>
      <c r="CBX97" s="115"/>
      <c r="CBY97" s="116"/>
      <c r="CBZ97" s="124"/>
    </row>
    <row r="98" spans="2:2106" ht="20.100000000000001" customHeight="1" thickBot="1" x14ac:dyDescent="0.3">
      <c r="B98" s="96"/>
      <c r="C98" s="198"/>
      <c r="D98" s="199"/>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71"/>
      <c r="BLW98" s="71"/>
      <c r="BLX98" s="71"/>
      <c r="BLY98" s="71"/>
      <c r="BLZ98" s="71"/>
      <c r="BMA98" s="71"/>
      <c r="BMB98" s="71"/>
      <c r="BMC98" s="71"/>
      <c r="BMD98" s="71"/>
      <c r="BME98" s="71"/>
      <c r="BMF98" s="71"/>
      <c r="BMG98" s="71"/>
      <c r="BMH98" s="71"/>
      <c r="BMI98" s="71"/>
      <c r="BMJ98" s="71"/>
      <c r="BMK98" s="71"/>
      <c r="BML98" s="71"/>
      <c r="BMM98" s="71"/>
      <c r="BMN98" s="71"/>
      <c r="BMO98" s="71"/>
      <c r="BMP98" s="71"/>
      <c r="BMQ98" s="71"/>
      <c r="BMR98" s="71"/>
      <c r="BMS98" s="71"/>
      <c r="BMT98" s="71"/>
      <c r="BMU98" s="71"/>
      <c r="BMV98" s="71"/>
      <c r="BMW98" s="71"/>
      <c r="BMX98" s="71"/>
      <c r="BMY98" s="71"/>
      <c r="BMZ98" s="71"/>
      <c r="BNA98" s="71"/>
      <c r="BNB98" s="71"/>
      <c r="BNC98" s="71"/>
      <c r="BND98" s="71"/>
      <c r="BNE98" s="71"/>
      <c r="BNF98" s="71"/>
      <c r="BNG98" s="71"/>
      <c r="BNH98" s="71"/>
      <c r="BNI98" s="71"/>
      <c r="BNJ98" s="71"/>
      <c r="BNK98" s="71"/>
      <c r="BNL98" s="71"/>
      <c r="BNM98" s="71"/>
      <c r="BNN98" s="71"/>
      <c r="BNO98" s="71"/>
      <c r="BNP98" s="71"/>
      <c r="BNQ98" s="71"/>
      <c r="BNR98" s="71"/>
      <c r="BNS98" s="71"/>
      <c r="BNT98" s="71"/>
      <c r="BNU98" s="71"/>
      <c r="BNV98" s="71"/>
      <c r="BNW98" s="71"/>
      <c r="BNX98" s="71"/>
      <c r="BNY98" s="71"/>
      <c r="BNZ98" s="71"/>
      <c r="BOA98" s="71"/>
      <c r="BOB98" s="71"/>
      <c r="BOC98" s="86"/>
      <c r="BOD98" s="71"/>
      <c r="BOE98" s="71"/>
      <c r="BOF98" s="71"/>
      <c r="BOG98" s="71"/>
      <c r="BOH98" s="71"/>
      <c r="BOI98" s="71"/>
      <c r="BOJ98" s="71"/>
      <c r="BOK98" s="71"/>
      <c r="BOL98" s="71"/>
      <c r="BOM98" s="71"/>
      <c r="BON98" s="71"/>
      <c r="BOO98" s="71"/>
      <c r="BOP98" s="71"/>
      <c r="BOQ98" s="71"/>
      <c r="BOR98" s="71"/>
      <c r="BOS98" s="71"/>
      <c r="BOT98" s="71"/>
      <c r="BOU98" s="71"/>
      <c r="BOV98" s="71"/>
      <c r="BOW98" s="71"/>
      <c r="BOX98" s="71"/>
      <c r="BOY98" s="71"/>
      <c r="BOZ98" s="71"/>
      <c r="BPA98" s="71"/>
      <c r="BPB98" s="71"/>
      <c r="BPC98" s="71"/>
      <c r="BPD98" s="71"/>
      <c r="BPE98" s="71"/>
      <c r="BPF98" s="71"/>
      <c r="BPG98" s="71"/>
      <c r="BPH98" s="71"/>
      <c r="BPI98" s="71"/>
      <c r="BPJ98" s="71"/>
      <c r="BPK98" s="71"/>
      <c r="BPL98" s="71"/>
      <c r="BPM98" s="71"/>
      <c r="BPN98" s="71"/>
      <c r="BPO98" s="71"/>
      <c r="BPP98" s="71"/>
      <c r="BPQ98" s="71"/>
      <c r="BPR98" s="71"/>
      <c r="BPS98" s="71"/>
      <c r="BPT98" s="71"/>
      <c r="BPU98" s="71"/>
      <c r="BPV98" s="71"/>
      <c r="BPW98" s="71"/>
      <c r="BPX98" s="71"/>
      <c r="BPY98" s="71"/>
      <c r="BPZ98" s="71"/>
      <c r="BQA98" s="71"/>
      <c r="BQB98" s="71"/>
      <c r="BQC98" s="71"/>
      <c r="BQD98" s="71"/>
      <c r="BQE98" s="71"/>
      <c r="BQF98" s="71"/>
      <c r="BQG98" s="71"/>
      <c r="BQH98" s="71"/>
      <c r="BQI98" s="71"/>
      <c r="BQJ98" s="71"/>
      <c r="BQK98" s="86"/>
      <c r="BQL98" s="71"/>
      <c r="BQM98" s="71"/>
      <c r="BQN98" s="71"/>
      <c r="BQO98" s="71"/>
      <c r="BQP98" s="71"/>
      <c r="BQQ98" s="71"/>
      <c r="BQR98" s="71"/>
      <c r="BQS98" s="71"/>
      <c r="BQT98" s="71"/>
      <c r="BQU98" s="71"/>
      <c r="BQV98" s="71"/>
      <c r="BQW98" s="71"/>
      <c r="BQX98" s="71"/>
      <c r="BQY98" s="71"/>
      <c r="BQZ98" s="71"/>
      <c r="BRA98" s="71"/>
      <c r="BRB98" s="71"/>
      <c r="BRC98" s="71"/>
      <c r="BRD98" s="71"/>
      <c r="BRE98" s="71"/>
      <c r="BRF98" s="71"/>
      <c r="BRG98" s="71"/>
      <c r="BRH98" s="71"/>
      <c r="BRI98" s="71"/>
      <c r="BRJ98" s="71"/>
      <c r="BRK98" s="71"/>
      <c r="BRL98" s="71"/>
      <c r="BRM98" s="71"/>
      <c r="BRN98" s="71"/>
      <c r="BRO98" s="71"/>
      <c r="BRP98" s="71"/>
      <c r="BRQ98" s="71"/>
      <c r="BRR98" s="71"/>
      <c r="BRS98" s="71"/>
      <c r="BRT98" s="71"/>
      <c r="BRU98" s="71"/>
      <c r="BRV98" s="71"/>
      <c r="BRW98" s="71"/>
      <c r="BRX98" s="71"/>
      <c r="BRY98" s="71"/>
      <c r="BRZ98" s="71"/>
      <c r="BSA98" s="71"/>
      <c r="BSB98" s="71"/>
      <c r="BSC98" s="71"/>
      <c r="BSD98" s="71"/>
      <c r="BSE98" s="71"/>
      <c r="BSF98" s="71"/>
      <c r="BSG98" s="71"/>
      <c r="BSH98" s="71"/>
      <c r="BSI98" s="71"/>
      <c r="BSJ98" s="71"/>
      <c r="BSK98" s="71"/>
      <c r="BSL98" s="71"/>
      <c r="BSM98" s="71"/>
      <c r="BSN98" s="71"/>
      <c r="BSO98" s="71"/>
      <c r="BSP98" s="71"/>
      <c r="BSQ98" s="71"/>
      <c r="BSR98" s="71"/>
      <c r="BSS98" s="86"/>
      <c r="BST98" s="71"/>
      <c r="BSU98" s="71"/>
      <c r="BSV98" s="71"/>
      <c r="BSW98" s="71"/>
      <c r="BSX98" s="71"/>
      <c r="BSY98" s="71"/>
      <c r="BSZ98" s="71"/>
      <c r="BTA98" s="71"/>
      <c r="BTB98" s="71"/>
      <c r="BTC98" s="71"/>
      <c r="BTD98" s="71"/>
      <c r="BTE98" s="71"/>
      <c r="BTF98" s="71"/>
      <c r="BTG98" s="71"/>
      <c r="BTH98" s="71"/>
      <c r="BTI98" s="71"/>
      <c r="BTJ98" s="71"/>
      <c r="BTK98" s="71"/>
      <c r="BTL98" s="71"/>
      <c r="BTM98" s="71"/>
      <c r="BTN98" s="71"/>
      <c r="BTO98" s="71"/>
      <c r="BTP98" s="71"/>
      <c r="BTQ98" s="71"/>
      <c r="BTR98" s="71"/>
      <c r="BTS98" s="71"/>
      <c r="BTT98" s="71"/>
      <c r="BTU98" s="71"/>
      <c r="BTV98" s="71"/>
      <c r="BTW98" s="71"/>
      <c r="BTX98" s="71"/>
      <c r="BTY98" s="71"/>
      <c r="BTZ98" s="71"/>
      <c r="BUA98" s="71"/>
      <c r="BUB98" s="71"/>
      <c r="BUC98" s="71"/>
      <c r="BUD98" s="71"/>
      <c r="BUE98" s="71"/>
      <c r="BUF98" s="71"/>
      <c r="BUG98" s="71"/>
      <c r="BUH98" s="71"/>
      <c r="BUI98" s="71"/>
      <c r="BUJ98" s="71"/>
      <c r="BUK98" s="71"/>
      <c r="BUL98" s="71"/>
      <c r="BUM98" s="71"/>
      <c r="BUN98" s="71"/>
      <c r="BUO98" s="71"/>
      <c r="BUP98" s="71"/>
      <c r="BUQ98" s="71"/>
      <c r="BUR98" s="71"/>
      <c r="BUS98" s="71"/>
      <c r="BUT98" s="71"/>
      <c r="BUU98" s="71"/>
      <c r="BUV98" s="71"/>
      <c r="BUW98" s="71"/>
      <c r="BUX98" s="71"/>
      <c r="BUY98" s="71"/>
      <c r="BUZ98" s="71"/>
      <c r="BVA98" s="86"/>
      <c r="BVB98" s="71"/>
      <c r="BVC98" s="71"/>
      <c r="BVD98" s="71"/>
      <c r="BVE98" s="71"/>
      <c r="BVF98" s="71"/>
      <c r="BVG98" s="71"/>
      <c r="BVH98" s="71"/>
      <c r="BVI98" s="71"/>
      <c r="BVJ98" s="71"/>
      <c r="BVK98" s="71"/>
      <c r="BVL98" s="71"/>
      <c r="BVM98" s="71"/>
      <c r="BVN98" s="71"/>
      <c r="BVO98" s="71"/>
      <c r="BVP98" s="71"/>
      <c r="BVQ98" s="71"/>
      <c r="BVR98" s="71"/>
      <c r="BVS98" s="71"/>
      <c r="BVT98" s="71"/>
      <c r="BVU98" s="71"/>
      <c r="BVV98" s="71"/>
      <c r="BVW98" s="71"/>
      <c r="BVX98" s="71"/>
      <c r="BVY98" s="71"/>
      <c r="BVZ98" s="71"/>
      <c r="BWA98" s="71"/>
      <c r="BWB98" s="71"/>
      <c r="BWC98" s="71"/>
      <c r="BWD98" s="71"/>
      <c r="BWE98" s="71"/>
      <c r="BWF98" s="71"/>
      <c r="BWG98" s="71"/>
      <c r="BWH98" s="71"/>
      <c r="BWI98" s="71"/>
      <c r="BWJ98" s="71"/>
      <c r="BWK98" s="71"/>
      <c r="BWL98" s="71"/>
      <c r="BWM98" s="71"/>
      <c r="BWN98" s="71"/>
      <c r="BWO98" s="71"/>
      <c r="BWP98" s="71"/>
      <c r="BWQ98" s="71"/>
      <c r="BWR98" s="71"/>
      <c r="BWS98" s="71"/>
      <c r="BWT98" s="71"/>
      <c r="BWU98" s="71"/>
      <c r="BWV98" s="71"/>
      <c r="BWW98" s="71"/>
      <c r="BWX98" s="71"/>
      <c r="BWY98" s="71"/>
      <c r="BWZ98" s="71"/>
      <c r="BXA98" s="71"/>
      <c r="BXB98" s="71"/>
      <c r="BXC98" s="71"/>
      <c r="BXD98" s="71"/>
      <c r="BXE98" s="71"/>
      <c r="BXF98" s="71"/>
      <c r="BXG98" s="71"/>
      <c r="BXH98" s="71"/>
      <c r="BXI98" s="86"/>
      <c r="BXJ98" s="71"/>
      <c r="BXK98" s="71"/>
      <c r="BXL98" s="71"/>
      <c r="BXM98" s="71"/>
      <c r="BXN98" s="71"/>
      <c r="BXO98" s="71"/>
      <c r="BXP98" s="71"/>
      <c r="BXQ98" s="71"/>
      <c r="BXR98" s="71"/>
      <c r="BXS98" s="71"/>
      <c r="BXT98" s="71"/>
      <c r="BXU98" s="71"/>
      <c r="BXV98" s="71"/>
      <c r="BXW98" s="71"/>
      <c r="BXX98" s="71"/>
      <c r="BXY98" s="71"/>
      <c r="BXZ98" s="71"/>
      <c r="BYA98" s="71"/>
      <c r="BYB98" s="71"/>
      <c r="BYC98" s="71"/>
      <c r="BYD98" s="71"/>
      <c r="BYE98" s="71"/>
      <c r="BYF98" s="71"/>
      <c r="BYG98" s="71"/>
      <c r="BYH98" s="71"/>
      <c r="BYI98" s="71"/>
      <c r="BYJ98" s="71"/>
      <c r="BYK98" s="71"/>
      <c r="BYL98" s="71"/>
      <c r="BYM98" s="71"/>
      <c r="BYN98" s="71"/>
      <c r="BYO98" s="71"/>
      <c r="BYP98" s="71"/>
      <c r="BYQ98" s="71"/>
      <c r="BYR98" s="71"/>
      <c r="BYS98" s="71"/>
      <c r="BYT98" s="71"/>
      <c r="BYU98" s="71"/>
      <c r="BYV98" s="71"/>
      <c r="BYW98" s="71"/>
      <c r="BYX98" s="71"/>
      <c r="BYY98" s="71"/>
      <c r="BYZ98" s="71"/>
      <c r="BZA98" s="71"/>
      <c r="BZB98" s="71"/>
      <c r="BZC98" s="71"/>
      <c r="BZD98" s="71"/>
      <c r="BZE98" s="71"/>
      <c r="BZF98" s="71"/>
      <c r="BZG98" s="71"/>
      <c r="BZH98" s="71"/>
      <c r="BZI98" s="71"/>
      <c r="BZJ98" s="71"/>
      <c r="BZK98" s="71"/>
      <c r="BZL98" s="71"/>
      <c r="BZM98" s="71"/>
      <c r="BZN98" s="71"/>
      <c r="BZO98" s="71"/>
      <c r="BZP98" s="71"/>
      <c r="BZQ98" s="86"/>
      <c r="BZR98" s="71"/>
      <c r="BZS98" s="71"/>
      <c r="BZT98" s="71"/>
      <c r="BZU98" s="71"/>
      <c r="BZV98" s="71"/>
      <c r="BZW98" s="71"/>
      <c r="BZX98" s="71"/>
      <c r="BZY98" s="71"/>
      <c r="BZZ98" s="71"/>
      <c r="CAA98" s="71"/>
      <c r="CAB98" s="71"/>
      <c r="CAC98" s="71"/>
      <c r="CAD98" s="71"/>
      <c r="CAE98" s="71"/>
      <c r="CAF98" s="71"/>
      <c r="CAG98" s="71"/>
      <c r="CAH98" s="71"/>
      <c r="CAI98" s="71"/>
      <c r="CAJ98" s="71"/>
      <c r="CAK98" s="71"/>
      <c r="CAL98" s="71"/>
      <c r="CAM98" s="71"/>
      <c r="CAN98" s="71"/>
      <c r="CAO98" s="71"/>
      <c r="CAP98" s="71"/>
      <c r="CAQ98" s="71"/>
      <c r="CAR98" s="71"/>
      <c r="CAS98" s="71"/>
      <c r="CAT98" s="71"/>
      <c r="CAU98" s="71"/>
      <c r="CAV98" s="71"/>
      <c r="CAW98" s="71"/>
      <c r="CAX98" s="71"/>
      <c r="CAY98" s="71"/>
      <c r="CAZ98" s="71"/>
      <c r="CBA98" s="71"/>
      <c r="CBB98" s="71"/>
      <c r="CBC98" s="71"/>
      <c r="CBD98" s="71"/>
      <c r="CBE98" s="71"/>
      <c r="CBF98" s="71"/>
      <c r="CBG98" s="71"/>
      <c r="CBH98" s="71"/>
      <c r="CBI98" s="71"/>
      <c r="CBJ98" s="71"/>
      <c r="CBK98" s="71"/>
      <c r="CBL98" s="71"/>
      <c r="CBM98" s="71"/>
      <c r="CBN98" s="71"/>
      <c r="CBO98" s="71"/>
      <c r="CBP98" s="71"/>
      <c r="CBQ98" s="71"/>
      <c r="CBR98" s="71"/>
      <c r="CBS98" s="71"/>
      <c r="CBT98" s="71"/>
      <c r="CBU98" s="71"/>
      <c r="CBV98" s="71"/>
      <c r="CBW98" s="71"/>
      <c r="CBX98" s="71"/>
      <c r="CBY98" s="86"/>
      <c r="CBZ98" s="90"/>
    </row>
    <row r="99" spans="2:21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89"/>
      <c r="BLW99" s="89"/>
      <c r="BLX99" s="89"/>
      <c r="BLY99" s="89"/>
      <c r="BLZ99" s="89"/>
      <c r="BMA99" s="89"/>
      <c r="BMB99" s="89"/>
      <c r="BMC99" s="89"/>
      <c r="BMD99" s="89"/>
      <c r="BME99" s="89"/>
      <c r="BMF99" s="89"/>
      <c r="BMG99" s="89"/>
      <c r="BMH99" s="89"/>
      <c r="BMI99" s="89"/>
      <c r="BMJ99" s="89"/>
      <c r="BMK99" s="89"/>
      <c r="BML99" s="89"/>
      <c r="BMM99" s="89"/>
      <c r="BMN99" s="89"/>
      <c r="BMO99" s="89"/>
      <c r="BMP99" s="89"/>
      <c r="BMQ99" s="89"/>
      <c r="BMR99" s="89"/>
      <c r="BMS99" s="89"/>
      <c r="BMT99" s="89"/>
      <c r="BMU99" s="89"/>
      <c r="BMV99" s="89"/>
      <c r="BMW99" s="89"/>
      <c r="BMX99" s="89"/>
      <c r="BMY99" s="89"/>
      <c r="BMZ99" s="89"/>
      <c r="BNA99" s="89"/>
      <c r="BNB99" s="89"/>
      <c r="BNC99" s="89"/>
      <c r="BND99" s="89"/>
      <c r="BNE99" s="89"/>
      <c r="BNF99" s="89"/>
      <c r="BNG99" s="89"/>
      <c r="BNH99" s="89"/>
      <c r="BNI99" s="89"/>
      <c r="BNJ99" s="89"/>
      <c r="BNK99" s="89"/>
      <c r="BNL99" s="89"/>
      <c r="BNM99" s="89"/>
      <c r="BNN99" s="89"/>
      <c r="BNO99" s="89"/>
      <c r="BNP99" s="89"/>
      <c r="BNQ99" s="89"/>
      <c r="BNR99" s="89"/>
      <c r="BNS99" s="89"/>
      <c r="BNT99" s="89"/>
      <c r="BNU99" s="89"/>
      <c r="BNV99" s="89"/>
      <c r="BNW99" s="89"/>
      <c r="BNX99" s="89"/>
      <c r="BNY99" s="89"/>
      <c r="BNZ99" s="89"/>
      <c r="BOA99" s="89"/>
      <c r="BOB99" s="89"/>
      <c r="BOC99" s="89"/>
      <c r="BOD99" s="89"/>
      <c r="BOE99" s="89"/>
      <c r="BOF99" s="89"/>
      <c r="BOG99" s="89"/>
      <c r="BOH99" s="89"/>
      <c r="BOI99" s="89"/>
      <c r="BOJ99" s="89"/>
      <c r="BOK99" s="89"/>
      <c r="BOL99" s="89"/>
      <c r="BOM99" s="89"/>
      <c r="BON99" s="89"/>
      <c r="BOO99" s="89"/>
      <c r="BOP99" s="89"/>
      <c r="BOQ99" s="89"/>
      <c r="BOR99" s="89"/>
      <c r="BOS99" s="89"/>
      <c r="BOT99" s="89"/>
      <c r="BOU99" s="89"/>
      <c r="BOV99" s="89"/>
      <c r="BOW99" s="89"/>
      <c r="BOX99" s="89"/>
      <c r="BOY99" s="89"/>
      <c r="BOZ99" s="89"/>
      <c r="BPA99" s="89"/>
      <c r="BPB99" s="89"/>
      <c r="BPC99" s="89"/>
      <c r="BPD99" s="89"/>
      <c r="BPE99" s="89"/>
      <c r="BPF99" s="89"/>
      <c r="BPG99" s="89"/>
      <c r="BPH99" s="89"/>
      <c r="BPI99" s="89"/>
      <c r="BPJ99" s="89"/>
      <c r="BPK99" s="89"/>
      <c r="BPL99" s="89"/>
      <c r="BPM99" s="89"/>
      <c r="BPN99" s="89"/>
      <c r="BPO99" s="89"/>
      <c r="BPP99" s="89"/>
      <c r="BPQ99" s="89"/>
      <c r="BPR99" s="89"/>
      <c r="BPS99" s="89"/>
      <c r="BPT99" s="89"/>
      <c r="BPU99" s="89"/>
      <c r="BPV99" s="89"/>
      <c r="BPW99" s="89"/>
      <c r="BPX99" s="89"/>
      <c r="BPY99" s="89"/>
      <c r="BPZ99" s="89"/>
      <c r="BQA99" s="89"/>
      <c r="BQB99" s="89"/>
      <c r="BQC99" s="89"/>
      <c r="BQD99" s="89"/>
      <c r="BQE99" s="89"/>
      <c r="BQF99" s="89"/>
      <c r="BQG99" s="89"/>
      <c r="BQH99" s="89"/>
      <c r="BQI99" s="89"/>
      <c r="BQJ99" s="89"/>
      <c r="BQK99" s="89"/>
      <c r="BQL99" s="89"/>
      <c r="BQM99" s="89"/>
      <c r="BQN99" s="89"/>
      <c r="BQO99" s="89"/>
      <c r="BQP99" s="89"/>
      <c r="BQQ99" s="89"/>
      <c r="BQR99" s="89"/>
      <c r="BQS99" s="89"/>
      <c r="BQT99" s="89"/>
      <c r="BQU99" s="89"/>
      <c r="BQV99" s="89"/>
      <c r="BQW99" s="89"/>
      <c r="BQX99" s="89"/>
      <c r="BQY99" s="89"/>
      <c r="BQZ99" s="89"/>
      <c r="BRA99" s="89"/>
      <c r="BRB99" s="89"/>
      <c r="BRC99" s="89"/>
      <c r="BRD99" s="89"/>
      <c r="BRE99" s="89"/>
      <c r="BRF99" s="89"/>
      <c r="BRG99" s="89"/>
      <c r="BRH99" s="89"/>
      <c r="BRI99" s="89"/>
      <c r="BRJ99" s="89"/>
      <c r="BRK99" s="89"/>
      <c r="BRL99" s="89"/>
      <c r="BRM99" s="89"/>
      <c r="BRN99" s="89"/>
      <c r="BRO99" s="89"/>
      <c r="BRP99" s="89"/>
      <c r="BRQ99" s="89"/>
      <c r="BRR99" s="89"/>
      <c r="BRS99" s="89"/>
      <c r="BRT99" s="89"/>
      <c r="BRU99" s="89"/>
      <c r="BRV99" s="89"/>
      <c r="BRW99" s="89"/>
      <c r="BRX99" s="89"/>
      <c r="BRY99" s="89"/>
      <c r="BRZ99" s="89"/>
      <c r="BSA99" s="89"/>
      <c r="BSB99" s="89"/>
      <c r="BSC99" s="89"/>
      <c r="BSD99" s="89"/>
      <c r="BSE99" s="89"/>
      <c r="BSF99" s="89"/>
      <c r="BSG99" s="89"/>
      <c r="BSH99" s="89"/>
      <c r="BSI99" s="89"/>
      <c r="BSJ99" s="89"/>
      <c r="BSK99" s="89"/>
      <c r="BSL99" s="89"/>
      <c r="BSM99" s="89"/>
      <c r="BSN99" s="89"/>
      <c r="BSO99" s="89"/>
      <c r="BSP99" s="89"/>
      <c r="BSQ99" s="89"/>
      <c r="BSR99" s="89"/>
      <c r="BSS99" s="89"/>
      <c r="BST99" s="89"/>
      <c r="BSU99" s="89"/>
      <c r="BSV99" s="89"/>
      <c r="BSW99" s="89"/>
      <c r="BSX99" s="89"/>
      <c r="BSY99" s="89"/>
      <c r="BSZ99" s="89"/>
      <c r="BTA99" s="89"/>
      <c r="BTB99" s="89"/>
      <c r="BTC99" s="89"/>
      <c r="BTD99" s="89"/>
      <c r="BTE99" s="89"/>
      <c r="BTF99" s="89"/>
      <c r="BTG99" s="89"/>
      <c r="BTH99" s="89"/>
      <c r="BTI99" s="89"/>
      <c r="BTJ99" s="89"/>
      <c r="BTK99" s="89"/>
      <c r="BTL99" s="89"/>
      <c r="BTM99" s="89"/>
      <c r="BTN99" s="89"/>
      <c r="BTO99" s="89"/>
      <c r="BTP99" s="89"/>
      <c r="BTQ99" s="89"/>
      <c r="BTR99" s="89"/>
      <c r="BTS99" s="89"/>
      <c r="BTT99" s="89"/>
      <c r="BTU99" s="89"/>
      <c r="BTV99" s="89"/>
      <c r="BTW99" s="89"/>
      <c r="BTX99" s="89"/>
      <c r="BTY99" s="89"/>
      <c r="BTZ99" s="89"/>
      <c r="BUA99" s="89"/>
      <c r="BUB99" s="89"/>
      <c r="BUC99" s="89"/>
      <c r="BUD99" s="89"/>
      <c r="BUE99" s="89"/>
      <c r="BUF99" s="89"/>
      <c r="BUG99" s="89"/>
      <c r="BUH99" s="89"/>
      <c r="BUI99" s="89"/>
      <c r="BUJ99" s="89"/>
      <c r="BUK99" s="89"/>
      <c r="BUL99" s="89"/>
      <c r="BUM99" s="89"/>
      <c r="BUN99" s="89"/>
      <c r="BUO99" s="89"/>
      <c r="BUP99" s="89"/>
      <c r="BUQ99" s="89"/>
      <c r="BUR99" s="89"/>
      <c r="BUS99" s="89"/>
      <c r="BUT99" s="89"/>
      <c r="BUU99" s="89"/>
      <c r="BUV99" s="89"/>
      <c r="BUW99" s="89"/>
      <c r="BUX99" s="89"/>
      <c r="BUY99" s="89"/>
      <c r="BUZ99" s="89"/>
      <c r="BVA99" s="89"/>
      <c r="BVB99" s="89"/>
      <c r="BVC99" s="89"/>
      <c r="BVD99" s="89"/>
      <c r="BVE99" s="89"/>
      <c r="BVF99" s="89"/>
      <c r="BVG99" s="89"/>
      <c r="BVH99" s="89"/>
      <c r="BVI99" s="89"/>
      <c r="BVJ99" s="89"/>
      <c r="BVK99" s="89"/>
      <c r="BVL99" s="89"/>
      <c r="BVM99" s="89"/>
      <c r="BVN99" s="89"/>
      <c r="BVO99" s="89"/>
      <c r="BVP99" s="89"/>
      <c r="BVQ99" s="89"/>
      <c r="BVR99" s="89"/>
      <c r="BVS99" s="89"/>
      <c r="BVT99" s="89"/>
      <c r="BVU99" s="89"/>
      <c r="BVV99" s="89"/>
      <c r="BVW99" s="89"/>
      <c r="BVX99" s="89"/>
      <c r="BVY99" s="89"/>
      <c r="BVZ99" s="89"/>
      <c r="BWA99" s="89"/>
      <c r="BWB99" s="89"/>
      <c r="BWC99" s="89"/>
      <c r="BWD99" s="89"/>
      <c r="BWE99" s="89"/>
      <c r="BWF99" s="89"/>
      <c r="BWG99" s="89"/>
      <c r="BWH99" s="89"/>
      <c r="BWI99" s="89"/>
      <c r="BWJ99" s="89"/>
      <c r="BWK99" s="89"/>
      <c r="BWL99" s="89"/>
      <c r="BWM99" s="89"/>
      <c r="BWN99" s="89"/>
      <c r="BWO99" s="89"/>
      <c r="BWP99" s="89"/>
      <c r="BWQ99" s="89"/>
      <c r="BWR99" s="89"/>
      <c r="BWS99" s="89"/>
      <c r="BWT99" s="89"/>
      <c r="BWU99" s="89"/>
      <c r="BWV99" s="89"/>
      <c r="BWW99" s="89"/>
      <c r="BWX99" s="89"/>
      <c r="BWY99" s="89"/>
      <c r="BWZ99" s="89"/>
      <c r="BXA99" s="89"/>
      <c r="BXB99" s="89"/>
      <c r="BXC99" s="89"/>
      <c r="BXD99" s="89"/>
      <c r="BXE99" s="89"/>
      <c r="BXF99" s="89"/>
      <c r="BXG99" s="89"/>
      <c r="BXH99" s="89"/>
      <c r="BXI99" s="89"/>
      <c r="BXJ99" s="89"/>
      <c r="BXK99" s="89"/>
      <c r="BXL99" s="89"/>
      <c r="BXM99" s="89"/>
      <c r="BXN99" s="89"/>
      <c r="BXO99" s="89"/>
      <c r="BXP99" s="89"/>
      <c r="BXQ99" s="89"/>
      <c r="BXR99" s="89"/>
      <c r="BXS99" s="89"/>
      <c r="BXT99" s="89"/>
      <c r="BXU99" s="89"/>
      <c r="BXV99" s="89"/>
      <c r="BXW99" s="89"/>
      <c r="BXX99" s="89"/>
      <c r="BXY99" s="89"/>
      <c r="BXZ99" s="89"/>
      <c r="BYA99" s="89"/>
      <c r="BYB99" s="89"/>
      <c r="BYC99" s="89"/>
      <c r="BYD99" s="89"/>
      <c r="BYE99" s="89"/>
      <c r="BYF99" s="89"/>
      <c r="BYG99" s="89"/>
      <c r="BYH99" s="89"/>
      <c r="BYI99" s="89"/>
      <c r="BYJ99" s="89"/>
      <c r="BYK99" s="89"/>
      <c r="BYL99" s="89"/>
      <c r="BYM99" s="89"/>
      <c r="BYN99" s="89"/>
      <c r="BYO99" s="89"/>
      <c r="BYP99" s="89"/>
      <c r="BYQ99" s="89"/>
      <c r="BYR99" s="89"/>
      <c r="BYS99" s="89"/>
      <c r="BYT99" s="89"/>
      <c r="BYU99" s="89"/>
      <c r="BYV99" s="89"/>
      <c r="BYW99" s="89"/>
      <c r="BYX99" s="89"/>
      <c r="BYY99" s="89"/>
      <c r="BYZ99" s="89"/>
      <c r="BZA99" s="89"/>
      <c r="BZB99" s="89"/>
      <c r="BZC99" s="89"/>
      <c r="BZD99" s="89"/>
      <c r="BZE99" s="89"/>
      <c r="BZF99" s="89"/>
      <c r="BZG99" s="89"/>
      <c r="BZH99" s="89"/>
      <c r="BZI99" s="89"/>
      <c r="BZJ99" s="89"/>
      <c r="BZK99" s="89"/>
      <c r="BZL99" s="89"/>
      <c r="BZM99" s="89"/>
      <c r="BZN99" s="89"/>
      <c r="BZO99" s="89"/>
      <c r="BZP99" s="89"/>
      <c r="BZQ99" s="89"/>
      <c r="BZR99" s="89"/>
      <c r="BZS99" s="89"/>
      <c r="BZT99" s="89"/>
      <c r="BZU99" s="89"/>
      <c r="BZV99" s="89"/>
      <c r="BZW99" s="89"/>
      <c r="BZX99" s="89"/>
      <c r="BZY99" s="89"/>
      <c r="BZZ99" s="89"/>
      <c r="CAA99" s="89"/>
      <c r="CAB99" s="89"/>
      <c r="CAC99" s="89"/>
      <c r="CAD99" s="89"/>
      <c r="CAE99" s="89"/>
      <c r="CAF99" s="89"/>
      <c r="CAG99" s="89"/>
      <c r="CAH99" s="89"/>
      <c r="CAI99" s="89"/>
      <c r="CAJ99" s="89"/>
      <c r="CAK99" s="89"/>
      <c r="CAL99" s="89"/>
      <c r="CAM99" s="89"/>
      <c r="CAN99" s="89"/>
      <c r="CAO99" s="89"/>
      <c r="CAP99" s="89"/>
      <c r="CAQ99" s="89"/>
      <c r="CAR99" s="89"/>
      <c r="CAS99" s="89"/>
      <c r="CAT99" s="89"/>
      <c r="CAU99" s="89"/>
      <c r="CAV99" s="89"/>
      <c r="CAW99" s="89"/>
      <c r="CAX99" s="89"/>
      <c r="CAY99" s="89"/>
      <c r="CAZ99" s="89"/>
      <c r="CBA99" s="89"/>
      <c r="CBB99" s="89"/>
      <c r="CBC99" s="89"/>
      <c r="CBD99" s="89"/>
      <c r="CBE99" s="89"/>
      <c r="CBF99" s="89"/>
      <c r="CBG99" s="89"/>
      <c r="CBH99" s="89"/>
      <c r="CBI99" s="89"/>
      <c r="CBJ99" s="89"/>
      <c r="CBK99" s="89"/>
      <c r="CBL99" s="89"/>
      <c r="CBM99" s="89"/>
      <c r="CBN99" s="89"/>
      <c r="CBO99" s="89"/>
      <c r="CBP99" s="89"/>
      <c r="CBQ99" s="89"/>
      <c r="CBR99" s="89"/>
      <c r="CBS99" s="89"/>
      <c r="CBT99" s="89"/>
      <c r="CBU99" s="89"/>
      <c r="CBV99" s="89"/>
      <c r="CBW99" s="89"/>
      <c r="CBX99" s="89"/>
      <c r="CBY99" s="89"/>
      <c r="CBZ99" s="91"/>
    </row>
  </sheetData>
  <sheetProtection insertRows="0" insertHyperlinks="0" selectLockedCells="1"/>
  <mergeCells count="505">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C95:D96"/>
    <mergeCell ref="C97:D98"/>
    <mergeCell ref="CP14:CS14"/>
    <mergeCell ref="CV14:CY14"/>
    <mergeCell ref="DB14:DE14"/>
    <mergeCell ref="AN14:AQ14"/>
    <mergeCell ref="AT14:AW14"/>
    <mergeCell ref="AZ14:BC14"/>
    <mergeCell ref="BF14:BI14"/>
    <mergeCell ref="BN13:DU13"/>
    <mergeCell ref="BR14:BU14"/>
    <mergeCell ref="BX14:CA14"/>
    <mergeCell ref="CD14:CG14"/>
    <mergeCell ref="CJ14:CM14"/>
    <mergeCell ref="DH14:DK14"/>
    <mergeCell ref="DN14:DQ14"/>
    <mergeCell ref="C17:C18"/>
    <mergeCell ref="DV10:GC10"/>
    <mergeCell ref="DV11:GC11"/>
    <mergeCell ref="DV12:GC12"/>
    <mergeCell ref="DV13:GC13"/>
    <mergeCell ref="DZ14:EC14"/>
    <mergeCell ref="EL14:EO14"/>
    <mergeCell ref="EX14:FA14"/>
    <mergeCell ref="FJ14:FM14"/>
    <mergeCell ref="FV14:FY14"/>
    <mergeCell ref="EF14:EI14"/>
    <mergeCell ref="ER14:EU14"/>
    <mergeCell ref="FD14:FG14"/>
    <mergeCell ref="V14:Y14"/>
    <mergeCell ref="AB14:AE14"/>
    <mergeCell ref="AH14:AK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409"/>
  <sheetViews>
    <sheetView showGridLines="0" tabSelected="1" zoomScaleNormal="100" zoomScaleSheetLayoutView="98" workbookViewId="0">
      <pane ySplit="1" topLeftCell="A2" activePane="bottomLeft" state="frozen"/>
      <selection activeCell="BC13" sqref="BC13"/>
      <selection pane="bottomLeft" activeCell="D6" sqref="D6"/>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6.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14</v>
      </c>
      <c r="B2" s="164">
        <v>34</v>
      </c>
      <c r="C2" s="164"/>
      <c r="D2" s="81" t="s">
        <v>105</v>
      </c>
      <c r="E2" s="94">
        <v>44351</v>
      </c>
      <c r="F2" s="126" t="s">
        <v>47</v>
      </c>
      <c r="G2" s="46"/>
    </row>
    <row r="3" spans="1:7" s="47" customFormat="1" ht="30" customHeight="1" thickBot="1" x14ac:dyDescent="0.3">
      <c r="A3" s="80" t="s">
        <v>5</v>
      </c>
      <c r="B3" s="151" t="s">
        <v>44</v>
      </c>
      <c r="C3" s="152"/>
      <c r="D3" s="80" t="s">
        <v>15</v>
      </c>
      <c r="E3" s="200" t="s">
        <v>16</v>
      </c>
      <c r="F3" s="201"/>
      <c r="G3" s="46"/>
    </row>
    <row r="4" spans="1:7" s="52" customFormat="1" x14ac:dyDescent="0.3">
      <c r="A4" s="48"/>
      <c r="B4" s="49"/>
      <c r="C4" s="153" t="str">
        <f xml:space="preserve"> IF(B4="","",setValueToTime(B4))</f>
        <v/>
      </c>
      <c r="D4" s="50"/>
      <c r="E4" s="208"/>
      <c r="F4" s="209"/>
      <c r="G4" s="51"/>
    </row>
    <row r="5" spans="1:7" s="52" customFormat="1" x14ac:dyDescent="0.3">
      <c r="A5" s="53"/>
      <c r="B5" s="54"/>
      <c r="C5" s="154" t="str">
        <f t="shared" ref="C5:C11" si="0" xml:space="preserve"> IF(B5="","",setValueToTime(B5))</f>
        <v/>
      </c>
      <c r="D5" s="55"/>
      <c r="E5" s="202"/>
      <c r="F5" s="203"/>
      <c r="G5" s="51"/>
    </row>
    <row r="6" spans="1:7" s="52" customFormat="1" x14ac:dyDescent="0.3">
      <c r="A6" s="53"/>
      <c r="B6" s="54"/>
      <c r="C6" s="154" t="str">
        <f t="shared" si="0"/>
        <v/>
      </c>
      <c r="D6" s="55"/>
      <c r="E6" s="202"/>
      <c r="F6" s="203"/>
      <c r="G6" s="51"/>
    </row>
    <row r="7" spans="1:7" s="52" customFormat="1" x14ac:dyDescent="0.3">
      <c r="A7" s="53"/>
      <c r="B7" s="54"/>
      <c r="C7" s="154" t="str">
        <f t="shared" si="0"/>
        <v/>
      </c>
      <c r="D7" s="55"/>
      <c r="E7" s="202"/>
      <c r="F7" s="203"/>
      <c r="G7" s="51"/>
    </row>
    <row r="8" spans="1:7" s="52" customFormat="1" x14ac:dyDescent="0.3">
      <c r="A8" s="54"/>
      <c r="B8" s="54"/>
      <c r="C8" s="155" t="str">
        <f t="shared" si="0"/>
        <v/>
      </c>
      <c r="D8" s="55"/>
      <c r="E8" s="202"/>
      <c r="F8" s="203"/>
      <c r="G8" s="51"/>
    </row>
    <row r="9" spans="1:7" s="52" customFormat="1" x14ac:dyDescent="0.3">
      <c r="A9" s="54"/>
      <c r="B9" s="54"/>
      <c r="C9" s="155" t="str">
        <f t="shared" si="0"/>
        <v/>
      </c>
      <c r="D9" s="55"/>
      <c r="E9" s="202"/>
      <c r="F9" s="203"/>
      <c r="G9" s="51"/>
    </row>
    <row r="10" spans="1:7" s="52" customFormat="1" x14ac:dyDescent="0.3">
      <c r="A10" s="54"/>
      <c r="B10" s="54"/>
      <c r="C10" s="155" t="str">
        <f t="shared" si="0"/>
        <v/>
      </c>
      <c r="D10" s="55"/>
      <c r="E10" s="202"/>
      <c r="F10" s="203"/>
      <c r="G10" s="51"/>
    </row>
    <row r="11" spans="1:7" s="52" customFormat="1" ht="15" thickBot="1" x14ac:dyDescent="0.35">
      <c r="A11" s="56"/>
      <c r="B11" s="56"/>
      <c r="C11" s="156" t="str">
        <f t="shared" si="0"/>
        <v/>
      </c>
      <c r="D11" s="57"/>
      <c r="E11" s="204"/>
      <c r="F11" s="205"/>
      <c r="G11" s="51"/>
    </row>
    <row r="12" spans="1:7" s="52" customFormat="1" ht="15" thickBot="1" x14ac:dyDescent="0.35">
      <c r="A12" s="111" t="s">
        <v>31</v>
      </c>
      <c r="B12" s="84">
        <f>SUM(B4:B11)</f>
        <v>0</v>
      </c>
      <c r="C12" s="111" t="str">
        <f xml:space="preserve"> setValueToTime(B12)</f>
        <v>0h</v>
      </c>
      <c r="D12" s="120"/>
      <c r="E12" s="206"/>
      <c r="F12" s="207"/>
      <c r="G12" s="51"/>
    </row>
    <row r="13" spans="1:7" s="59" customFormat="1" ht="15" thickBot="1" x14ac:dyDescent="0.35">
      <c r="A13" s="79"/>
      <c r="B13" s="79"/>
      <c r="C13" s="79"/>
      <c r="D13" s="79"/>
      <c r="E13" s="79"/>
      <c r="F13" s="79"/>
      <c r="G13" s="58"/>
    </row>
    <row r="14" spans="1:7" s="47" customFormat="1" ht="30" customHeight="1" thickBot="1" x14ac:dyDescent="0.3">
      <c r="A14" s="81" t="s">
        <v>14</v>
      </c>
      <c r="B14" s="164">
        <v>33</v>
      </c>
      <c r="C14" s="164"/>
      <c r="D14" s="81" t="s">
        <v>105</v>
      </c>
      <c r="E14" s="94">
        <v>44350</v>
      </c>
      <c r="F14" s="126" t="s">
        <v>46</v>
      </c>
      <c r="G14" s="46"/>
    </row>
    <row r="15" spans="1:7" s="47" customFormat="1" ht="30" customHeight="1" thickBot="1" x14ac:dyDescent="0.3">
      <c r="A15" s="80" t="s">
        <v>5</v>
      </c>
      <c r="B15" s="151" t="s">
        <v>44</v>
      </c>
      <c r="C15" s="152"/>
      <c r="D15" s="80" t="s">
        <v>15</v>
      </c>
      <c r="E15" s="200" t="s">
        <v>16</v>
      </c>
      <c r="F15" s="201"/>
      <c r="G15" s="46"/>
    </row>
    <row r="16" spans="1:7" s="52" customFormat="1" x14ac:dyDescent="0.3">
      <c r="A16" s="48"/>
      <c r="B16" s="49"/>
      <c r="C16" s="153" t="str">
        <f xml:space="preserve"> IF(B16="","",setValueToTime(B16))</f>
        <v/>
      </c>
      <c r="D16" s="50"/>
      <c r="E16" s="208"/>
      <c r="F16" s="209"/>
      <c r="G16" s="51"/>
    </row>
    <row r="17" spans="1:7" s="52" customFormat="1" x14ac:dyDescent="0.3">
      <c r="A17" s="53"/>
      <c r="B17" s="54"/>
      <c r="C17" s="154" t="str">
        <f t="shared" ref="C17:C23" si="1" xml:space="preserve"> IF(B17="","",setValueToTime(B17))</f>
        <v/>
      </c>
      <c r="D17" s="55"/>
      <c r="E17" s="202"/>
      <c r="F17" s="203"/>
      <c r="G17" s="51"/>
    </row>
    <row r="18" spans="1:7" s="52" customFormat="1" x14ac:dyDescent="0.3">
      <c r="A18" s="53"/>
      <c r="B18" s="54"/>
      <c r="C18" s="154" t="str">
        <f t="shared" si="1"/>
        <v/>
      </c>
      <c r="D18" s="55"/>
      <c r="E18" s="202"/>
      <c r="F18" s="203"/>
      <c r="G18" s="51"/>
    </row>
    <row r="19" spans="1:7" s="52" customFormat="1" x14ac:dyDescent="0.3">
      <c r="A19" s="53"/>
      <c r="B19" s="54"/>
      <c r="C19" s="154" t="str">
        <f t="shared" si="1"/>
        <v/>
      </c>
      <c r="D19" s="55"/>
      <c r="E19" s="202"/>
      <c r="F19" s="203"/>
      <c r="G19" s="51"/>
    </row>
    <row r="20" spans="1:7" s="52" customFormat="1" x14ac:dyDescent="0.3">
      <c r="A20" s="54"/>
      <c r="B20" s="54"/>
      <c r="C20" s="155" t="str">
        <f t="shared" si="1"/>
        <v/>
      </c>
      <c r="D20" s="55"/>
      <c r="E20" s="202"/>
      <c r="F20" s="203"/>
      <c r="G20" s="51"/>
    </row>
    <row r="21" spans="1:7" s="52" customFormat="1" x14ac:dyDescent="0.3">
      <c r="A21" s="54"/>
      <c r="B21" s="54"/>
      <c r="C21" s="155" t="str">
        <f t="shared" si="1"/>
        <v/>
      </c>
      <c r="D21" s="55"/>
      <c r="E21" s="202"/>
      <c r="F21" s="203"/>
      <c r="G21" s="51"/>
    </row>
    <row r="22" spans="1:7" s="52" customFormat="1" x14ac:dyDescent="0.3">
      <c r="A22" s="54"/>
      <c r="B22" s="54"/>
      <c r="C22" s="155" t="str">
        <f t="shared" si="1"/>
        <v/>
      </c>
      <c r="D22" s="55"/>
      <c r="E22" s="202"/>
      <c r="F22" s="203"/>
      <c r="G22" s="51"/>
    </row>
    <row r="23" spans="1:7" s="52" customFormat="1" ht="15" thickBot="1" x14ac:dyDescent="0.35">
      <c r="A23" s="56"/>
      <c r="B23" s="56"/>
      <c r="C23" s="156" t="str">
        <f t="shared" si="1"/>
        <v/>
      </c>
      <c r="D23" s="57"/>
      <c r="E23" s="204"/>
      <c r="F23" s="205"/>
      <c r="G23" s="51"/>
    </row>
    <row r="24" spans="1:7" s="52" customFormat="1" ht="15" thickBot="1" x14ac:dyDescent="0.35">
      <c r="A24" s="111" t="s">
        <v>31</v>
      </c>
      <c r="B24" s="84">
        <f>SUM(B16:B23)</f>
        <v>0</v>
      </c>
      <c r="C24" s="111" t="str">
        <f xml:space="preserve"> setValueToTime(B24)</f>
        <v>0h</v>
      </c>
      <c r="D24" s="120"/>
      <c r="E24" s="206"/>
      <c r="F24" s="207"/>
      <c r="G24" s="51"/>
    </row>
    <row r="25" spans="1:7" s="59" customFormat="1" ht="15" thickBot="1" x14ac:dyDescent="0.35">
      <c r="A25" s="79"/>
      <c r="B25" s="79"/>
      <c r="C25" s="79"/>
      <c r="D25" s="79"/>
      <c r="E25" s="79"/>
      <c r="F25" s="79"/>
      <c r="G25" s="58"/>
    </row>
    <row r="26" spans="1:7" s="47" customFormat="1" ht="30" customHeight="1" thickBot="1" x14ac:dyDescent="0.3">
      <c r="A26" s="81" t="s">
        <v>14</v>
      </c>
      <c r="B26" s="164">
        <v>32</v>
      </c>
      <c r="C26" s="164"/>
      <c r="D26" s="81" t="s">
        <v>105</v>
      </c>
      <c r="E26" s="94">
        <v>44350</v>
      </c>
      <c r="F26" s="126" t="s">
        <v>47</v>
      </c>
      <c r="G26" s="46"/>
    </row>
    <row r="27" spans="1:7" s="47" customFormat="1" ht="30" customHeight="1" thickBot="1" x14ac:dyDescent="0.3">
      <c r="A27" s="80" t="s">
        <v>5</v>
      </c>
      <c r="B27" s="151" t="s">
        <v>44</v>
      </c>
      <c r="C27" s="152"/>
      <c r="D27" s="80" t="s">
        <v>15</v>
      </c>
      <c r="E27" s="200" t="s">
        <v>16</v>
      </c>
      <c r="F27" s="201"/>
      <c r="G27" s="46"/>
    </row>
    <row r="28" spans="1:7" s="52" customFormat="1" x14ac:dyDescent="0.3">
      <c r="A28" s="48"/>
      <c r="B28" s="49"/>
      <c r="C28" s="153" t="str">
        <f xml:space="preserve"> IF(B28="","",setValueToTime(B28))</f>
        <v/>
      </c>
      <c r="D28" s="50"/>
      <c r="E28" s="208"/>
      <c r="F28" s="209"/>
      <c r="G28" s="51"/>
    </row>
    <row r="29" spans="1:7" s="52" customFormat="1" x14ac:dyDescent="0.3">
      <c r="A29" s="53"/>
      <c r="B29" s="54"/>
      <c r="C29" s="154" t="str">
        <f t="shared" ref="C29:C35" si="2" xml:space="preserve"> IF(B29="","",setValueToTime(B29))</f>
        <v/>
      </c>
      <c r="D29" s="55"/>
      <c r="E29" s="202"/>
      <c r="F29" s="203"/>
      <c r="G29" s="51"/>
    </row>
    <row r="30" spans="1:7" s="52" customFormat="1" x14ac:dyDescent="0.3">
      <c r="A30" s="53"/>
      <c r="B30" s="54"/>
      <c r="C30" s="154" t="str">
        <f t="shared" si="2"/>
        <v/>
      </c>
      <c r="D30" s="55"/>
      <c r="E30" s="202"/>
      <c r="F30" s="203"/>
      <c r="G30" s="51"/>
    </row>
    <row r="31" spans="1:7" s="52" customFormat="1" x14ac:dyDescent="0.3">
      <c r="A31" s="53"/>
      <c r="B31" s="54"/>
      <c r="C31" s="154" t="str">
        <f t="shared" si="2"/>
        <v/>
      </c>
      <c r="D31" s="55"/>
      <c r="E31" s="202"/>
      <c r="F31" s="203"/>
      <c r="G31" s="51"/>
    </row>
    <row r="32" spans="1:7" s="52" customFormat="1" x14ac:dyDescent="0.3">
      <c r="A32" s="54"/>
      <c r="B32" s="54"/>
      <c r="C32" s="155" t="str">
        <f t="shared" si="2"/>
        <v/>
      </c>
      <c r="D32" s="55"/>
      <c r="E32" s="202"/>
      <c r="F32" s="203"/>
      <c r="G32" s="51"/>
    </row>
    <row r="33" spans="1:7" s="52" customFormat="1" x14ac:dyDescent="0.3">
      <c r="A33" s="54"/>
      <c r="B33" s="54"/>
      <c r="C33" s="155" t="str">
        <f t="shared" si="2"/>
        <v/>
      </c>
      <c r="D33" s="55"/>
      <c r="E33" s="202"/>
      <c r="F33" s="203"/>
      <c r="G33" s="51"/>
    </row>
    <row r="34" spans="1:7" s="52" customFormat="1" x14ac:dyDescent="0.3">
      <c r="A34" s="54"/>
      <c r="B34" s="54"/>
      <c r="C34" s="155" t="str">
        <f t="shared" si="2"/>
        <v/>
      </c>
      <c r="D34" s="55"/>
      <c r="E34" s="202"/>
      <c r="F34" s="203"/>
      <c r="G34" s="51"/>
    </row>
    <row r="35" spans="1:7" s="52" customFormat="1" ht="15" thickBot="1" x14ac:dyDescent="0.35">
      <c r="A35" s="56"/>
      <c r="B35" s="56"/>
      <c r="C35" s="156" t="str">
        <f t="shared" si="2"/>
        <v/>
      </c>
      <c r="D35" s="57"/>
      <c r="E35" s="204"/>
      <c r="F35" s="205"/>
      <c r="G35" s="51"/>
    </row>
    <row r="36" spans="1:7" s="52" customFormat="1" ht="15" thickBot="1" x14ac:dyDescent="0.35">
      <c r="A36" s="111" t="s">
        <v>31</v>
      </c>
      <c r="B36" s="84">
        <f>SUM(B28:B35)</f>
        <v>0</v>
      </c>
      <c r="C36" s="111" t="str">
        <f xml:space="preserve"> setValueToTime(B36)</f>
        <v>0h</v>
      </c>
      <c r="D36" s="120"/>
      <c r="E36" s="206"/>
      <c r="F36" s="207"/>
      <c r="G36" s="51"/>
    </row>
    <row r="37" spans="1:7" s="59" customFormat="1" ht="15" thickBot="1" x14ac:dyDescent="0.35">
      <c r="A37" s="79"/>
      <c r="B37" s="79"/>
      <c r="C37" s="79"/>
      <c r="D37" s="79"/>
      <c r="E37" s="79"/>
      <c r="F37" s="79"/>
      <c r="G37" s="58"/>
    </row>
    <row r="38" spans="1:7" s="47" customFormat="1" ht="30" customHeight="1" thickBot="1" x14ac:dyDescent="0.3">
      <c r="A38" s="81" t="s">
        <v>14</v>
      </c>
      <c r="B38" s="164">
        <v>31</v>
      </c>
      <c r="C38" s="164"/>
      <c r="D38" s="81" t="s">
        <v>105</v>
      </c>
      <c r="E38" s="94">
        <v>44349</v>
      </c>
      <c r="F38" s="126" t="s">
        <v>46</v>
      </c>
      <c r="G38" s="46"/>
    </row>
    <row r="39" spans="1:7" s="47" customFormat="1" ht="30" customHeight="1" thickBot="1" x14ac:dyDescent="0.3">
      <c r="A39" s="80" t="s">
        <v>5</v>
      </c>
      <c r="B39" s="151" t="s">
        <v>44</v>
      </c>
      <c r="C39" s="152"/>
      <c r="D39" s="80" t="s">
        <v>15</v>
      </c>
      <c r="E39" s="200" t="s">
        <v>16</v>
      </c>
      <c r="F39" s="201"/>
      <c r="G39" s="46"/>
    </row>
    <row r="40" spans="1:7" s="52" customFormat="1" x14ac:dyDescent="0.3">
      <c r="A40" s="48"/>
      <c r="B40" s="49"/>
      <c r="C40" s="153" t="str">
        <f xml:space="preserve"> IF(B40="","",setValueToTime(B40))</f>
        <v/>
      </c>
      <c r="D40" s="50"/>
      <c r="E40" s="208"/>
      <c r="F40" s="209"/>
      <c r="G40" s="51"/>
    </row>
    <row r="41" spans="1:7" s="52" customFormat="1" x14ac:dyDescent="0.3">
      <c r="A41" s="53"/>
      <c r="B41" s="54"/>
      <c r="C41" s="154" t="str">
        <f t="shared" ref="C41:C47" si="3" xml:space="preserve"> IF(B41="","",setValueToTime(B41))</f>
        <v/>
      </c>
      <c r="D41" s="55"/>
      <c r="E41" s="202"/>
      <c r="F41" s="203"/>
      <c r="G41" s="51"/>
    </row>
    <row r="42" spans="1:7" s="52" customFormat="1" x14ac:dyDescent="0.3">
      <c r="A42" s="53"/>
      <c r="B42" s="54"/>
      <c r="C42" s="154" t="str">
        <f t="shared" si="3"/>
        <v/>
      </c>
      <c r="D42" s="55"/>
      <c r="E42" s="202"/>
      <c r="F42" s="203"/>
      <c r="G42" s="51"/>
    </row>
    <row r="43" spans="1:7" s="52" customFormat="1" x14ac:dyDescent="0.3">
      <c r="A43" s="53"/>
      <c r="B43" s="54"/>
      <c r="C43" s="154" t="str">
        <f t="shared" si="3"/>
        <v/>
      </c>
      <c r="D43" s="55"/>
      <c r="E43" s="202"/>
      <c r="F43" s="203"/>
      <c r="G43" s="51"/>
    </row>
    <row r="44" spans="1:7" s="52" customFormat="1" x14ac:dyDescent="0.3">
      <c r="A44" s="54"/>
      <c r="B44" s="54"/>
      <c r="C44" s="155" t="str">
        <f t="shared" si="3"/>
        <v/>
      </c>
      <c r="D44" s="55"/>
      <c r="E44" s="202"/>
      <c r="F44" s="203"/>
      <c r="G44" s="51"/>
    </row>
    <row r="45" spans="1:7" s="52" customFormat="1" x14ac:dyDescent="0.3">
      <c r="A45" s="54"/>
      <c r="B45" s="54"/>
      <c r="C45" s="155" t="str">
        <f t="shared" si="3"/>
        <v/>
      </c>
      <c r="D45" s="55"/>
      <c r="E45" s="202"/>
      <c r="F45" s="203"/>
      <c r="G45" s="51"/>
    </row>
    <row r="46" spans="1:7" s="52" customFormat="1" x14ac:dyDescent="0.3">
      <c r="A46" s="54"/>
      <c r="B46" s="54"/>
      <c r="C46" s="155" t="str">
        <f t="shared" si="3"/>
        <v/>
      </c>
      <c r="D46" s="55"/>
      <c r="E46" s="202"/>
      <c r="F46" s="203"/>
      <c r="G46" s="51"/>
    </row>
    <row r="47" spans="1:7" s="52" customFormat="1" ht="15" thickBot="1" x14ac:dyDescent="0.35">
      <c r="A47" s="56"/>
      <c r="B47" s="56"/>
      <c r="C47" s="156" t="str">
        <f t="shared" si="3"/>
        <v/>
      </c>
      <c r="D47" s="57"/>
      <c r="E47" s="204"/>
      <c r="F47" s="205"/>
      <c r="G47" s="51"/>
    </row>
    <row r="48" spans="1:7" s="52" customFormat="1" ht="15" thickBot="1" x14ac:dyDescent="0.35">
      <c r="A48" s="111" t="s">
        <v>31</v>
      </c>
      <c r="B48" s="84">
        <f>SUM(B40:B47)</f>
        <v>0</v>
      </c>
      <c r="C48" s="111" t="str">
        <f xml:space="preserve"> setValueToTime(B48)</f>
        <v>0h</v>
      </c>
      <c r="D48" s="120"/>
      <c r="E48" s="206"/>
      <c r="F48" s="207"/>
      <c r="G48" s="51"/>
    </row>
    <row r="49" spans="1:7" s="59" customFormat="1" ht="15" thickBot="1" x14ac:dyDescent="0.35">
      <c r="A49" s="79"/>
      <c r="B49" s="79"/>
      <c r="C49" s="79"/>
      <c r="D49" s="79"/>
      <c r="E49" s="79"/>
      <c r="F49" s="79"/>
      <c r="G49" s="58"/>
    </row>
    <row r="50" spans="1:7" s="47" customFormat="1" ht="30" customHeight="1" thickBot="1" x14ac:dyDescent="0.3">
      <c r="A50" s="81" t="s">
        <v>14</v>
      </c>
      <c r="B50" s="164">
        <v>30</v>
      </c>
      <c r="C50" s="164"/>
      <c r="D50" s="81" t="s">
        <v>105</v>
      </c>
      <c r="E50" s="94">
        <v>44349</v>
      </c>
      <c r="F50" s="126" t="s">
        <v>47</v>
      </c>
      <c r="G50" s="46"/>
    </row>
    <row r="51" spans="1:7" s="47" customFormat="1" ht="30" customHeight="1" thickBot="1" x14ac:dyDescent="0.3">
      <c r="A51" s="80" t="s">
        <v>5</v>
      </c>
      <c r="B51" s="151" t="s">
        <v>44</v>
      </c>
      <c r="C51" s="152"/>
      <c r="D51" s="80" t="s">
        <v>15</v>
      </c>
      <c r="E51" s="200" t="s">
        <v>16</v>
      </c>
      <c r="F51" s="201"/>
      <c r="G51" s="46"/>
    </row>
    <row r="52" spans="1:7" s="52" customFormat="1" x14ac:dyDescent="0.3">
      <c r="A52" s="48"/>
      <c r="B52" s="49"/>
      <c r="C52" s="153" t="str">
        <f xml:space="preserve"> IF(B52="","",setValueToTime(B52))</f>
        <v/>
      </c>
      <c r="D52" s="50"/>
      <c r="E52" s="208"/>
      <c r="F52" s="209"/>
      <c r="G52" s="51"/>
    </row>
    <row r="53" spans="1:7" s="52" customFormat="1" x14ac:dyDescent="0.3">
      <c r="A53" s="53"/>
      <c r="B53" s="54"/>
      <c r="C53" s="154" t="str">
        <f t="shared" ref="C53:C59" si="4" xml:space="preserve"> IF(B53="","",setValueToTime(B53))</f>
        <v/>
      </c>
      <c r="D53" s="55"/>
      <c r="E53" s="202"/>
      <c r="F53" s="203"/>
      <c r="G53" s="51"/>
    </row>
    <row r="54" spans="1:7" s="52" customFormat="1" x14ac:dyDescent="0.3">
      <c r="A54" s="53"/>
      <c r="B54" s="54"/>
      <c r="C54" s="154" t="str">
        <f t="shared" si="4"/>
        <v/>
      </c>
      <c r="D54" s="55"/>
      <c r="E54" s="202"/>
      <c r="F54" s="203"/>
      <c r="G54" s="51"/>
    </row>
    <row r="55" spans="1:7" s="52" customFormat="1" x14ac:dyDescent="0.3">
      <c r="A55" s="53"/>
      <c r="B55" s="54"/>
      <c r="C55" s="154" t="str">
        <f t="shared" si="4"/>
        <v/>
      </c>
      <c r="D55" s="55"/>
      <c r="E55" s="202"/>
      <c r="F55" s="203"/>
      <c r="G55" s="51"/>
    </row>
    <row r="56" spans="1:7" s="52" customFormat="1" x14ac:dyDescent="0.3">
      <c r="A56" s="54"/>
      <c r="B56" s="54"/>
      <c r="C56" s="155" t="str">
        <f t="shared" si="4"/>
        <v/>
      </c>
      <c r="D56" s="55"/>
      <c r="E56" s="202"/>
      <c r="F56" s="203"/>
      <c r="G56" s="51"/>
    </row>
    <row r="57" spans="1:7" s="52" customFormat="1" x14ac:dyDescent="0.3">
      <c r="A57" s="54"/>
      <c r="B57" s="54"/>
      <c r="C57" s="155" t="str">
        <f t="shared" si="4"/>
        <v/>
      </c>
      <c r="D57" s="55"/>
      <c r="E57" s="202"/>
      <c r="F57" s="203"/>
      <c r="G57" s="51"/>
    </row>
    <row r="58" spans="1:7" s="52" customFormat="1" x14ac:dyDescent="0.3">
      <c r="A58" s="54"/>
      <c r="B58" s="54"/>
      <c r="C58" s="155" t="str">
        <f t="shared" si="4"/>
        <v/>
      </c>
      <c r="D58" s="55"/>
      <c r="E58" s="202"/>
      <c r="F58" s="203"/>
      <c r="G58" s="51"/>
    </row>
    <row r="59" spans="1:7" s="52" customFormat="1" ht="15" thickBot="1" x14ac:dyDescent="0.35">
      <c r="A59" s="56"/>
      <c r="B59" s="56"/>
      <c r="C59" s="156" t="str">
        <f t="shared" si="4"/>
        <v/>
      </c>
      <c r="D59" s="57"/>
      <c r="E59" s="204"/>
      <c r="F59" s="205"/>
      <c r="G59" s="51"/>
    </row>
    <row r="60" spans="1:7" s="52" customFormat="1" ht="15" thickBot="1" x14ac:dyDescent="0.35">
      <c r="A60" s="111" t="s">
        <v>31</v>
      </c>
      <c r="B60" s="84">
        <f>SUM(B52:B59)</f>
        <v>0</v>
      </c>
      <c r="C60" s="111" t="str">
        <f xml:space="preserve"> setValueToTime(B60)</f>
        <v>0h</v>
      </c>
      <c r="D60" s="120"/>
      <c r="E60" s="206"/>
      <c r="F60" s="207"/>
      <c r="G60" s="51"/>
    </row>
    <row r="61" spans="1:7" s="59" customFormat="1" ht="15" thickBot="1" x14ac:dyDescent="0.35">
      <c r="A61" s="79"/>
      <c r="B61" s="79"/>
      <c r="C61" s="79"/>
      <c r="D61" s="79"/>
      <c r="E61" s="79"/>
      <c r="F61" s="79"/>
      <c r="G61" s="58"/>
    </row>
    <row r="62" spans="1:7" s="47" customFormat="1" ht="30" customHeight="1" thickBot="1" x14ac:dyDescent="0.3">
      <c r="A62" s="81" t="s">
        <v>14</v>
      </c>
      <c r="B62" s="164">
        <v>29</v>
      </c>
      <c r="C62" s="164"/>
      <c r="D62" s="81" t="s">
        <v>105</v>
      </c>
      <c r="E62" s="94">
        <v>44347</v>
      </c>
      <c r="F62" s="126" t="s">
        <v>47</v>
      </c>
      <c r="G62" s="46"/>
    </row>
    <row r="63" spans="1:7" s="47" customFormat="1" ht="30" customHeight="1" thickBot="1" x14ac:dyDescent="0.3">
      <c r="A63" s="80" t="s">
        <v>5</v>
      </c>
      <c r="B63" s="151" t="s">
        <v>44</v>
      </c>
      <c r="C63" s="152"/>
      <c r="D63" s="80" t="s">
        <v>15</v>
      </c>
      <c r="E63" s="200" t="s">
        <v>16</v>
      </c>
      <c r="F63" s="201"/>
      <c r="G63" s="46"/>
    </row>
    <row r="64" spans="1:7" s="52" customFormat="1" x14ac:dyDescent="0.3">
      <c r="A64" s="48"/>
      <c r="B64" s="49"/>
      <c r="C64" s="153" t="str">
        <f xml:space="preserve"> IF(B64="","",setValueToTime(B64))</f>
        <v/>
      </c>
      <c r="D64" s="50"/>
      <c r="E64" s="208"/>
      <c r="F64" s="209"/>
      <c r="G64" s="51"/>
    </row>
    <row r="65" spans="1:7" s="52" customFormat="1" x14ac:dyDescent="0.3">
      <c r="A65" s="53"/>
      <c r="B65" s="54"/>
      <c r="C65" s="154" t="str">
        <f t="shared" ref="C65:C71" si="5" xml:space="preserve"> IF(B65="","",setValueToTime(B65))</f>
        <v/>
      </c>
      <c r="D65" s="55"/>
      <c r="E65" s="202"/>
      <c r="F65" s="203"/>
      <c r="G65" s="51"/>
    </row>
    <row r="66" spans="1:7" s="52" customFormat="1" x14ac:dyDescent="0.3">
      <c r="A66" s="53"/>
      <c r="B66" s="54"/>
      <c r="C66" s="154" t="str">
        <f t="shared" si="5"/>
        <v/>
      </c>
      <c r="D66" s="55"/>
      <c r="E66" s="202"/>
      <c r="F66" s="203"/>
      <c r="G66" s="51"/>
    </row>
    <row r="67" spans="1:7" s="52" customFormat="1" x14ac:dyDescent="0.3">
      <c r="A67" s="53"/>
      <c r="B67" s="54"/>
      <c r="C67" s="154" t="str">
        <f t="shared" si="5"/>
        <v/>
      </c>
      <c r="D67" s="55"/>
      <c r="E67" s="202"/>
      <c r="F67" s="203"/>
      <c r="G67" s="51"/>
    </row>
    <row r="68" spans="1:7" s="52" customFormat="1" x14ac:dyDescent="0.3">
      <c r="A68" s="54"/>
      <c r="B68" s="54"/>
      <c r="C68" s="155" t="str">
        <f t="shared" si="5"/>
        <v/>
      </c>
      <c r="D68" s="55"/>
      <c r="E68" s="202"/>
      <c r="F68" s="203"/>
      <c r="G68" s="51"/>
    </row>
    <row r="69" spans="1:7" s="52" customFormat="1" x14ac:dyDescent="0.3">
      <c r="A69" s="54"/>
      <c r="B69" s="54"/>
      <c r="C69" s="155" t="str">
        <f t="shared" si="5"/>
        <v/>
      </c>
      <c r="D69" s="55"/>
      <c r="E69" s="202"/>
      <c r="F69" s="203"/>
      <c r="G69" s="51"/>
    </row>
    <row r="70" spans="1:7" s="52" customFormat="1" x14ac:dyDescent="0.3">
      <c r="A70" s="54"/>
      <c r="B70" s="54"/>
      <c r="C70" s="155" t="str">
        <f t="shared" si="5"/>
        <v/>
      </c>
      <c r="D70" s="55"/>
      <c r="E70" s="202"/>
      <c r="F70" s="203"/>
      <c r="G70" s="51"/>
    </row>
    <row r="71" spans="1:7" s="52" customFormat="1" ht="15" thickBot="1" x14ac:dyDescent="0.35">
      <c r="A71" s="56"/>
      <c r="B71" s="56"/>
      <c r="C71" s="156" t="str">
        <f t="shared" si="5"/>
        <v/>
      </c>
      <c r="D71" s="57"/>
      <c r="E71" s="204"/>
      <c r="F71" s="205"/>
      <c r="G71" s="51"/>
    </row>
    <row r="72" spans="1:7" s="52" customFormat="1" ht="15" thickBot="1" x14ac:dyDescent="0.35">
      <c r="A72" s="111" t="s">
        <v>31</v>
      </c>
      <c r="B72" s="84">
        <f>SUM(B64:B71)</f>
        <v>0</v>
      </c>
      <c r="C72" s="111" t="str">
        <f xml:space="preserve"> setValueToTime(B72)</f>
        <v>0h</v>
      </c>
      <c r="D72" s="120"/>
      <c r="E72" s="206"/>
      <c r="F72" s="207"/>
      <c r="G72" s="51"/>
    </row>
    <row r="73" spans="1:7" s="59" customFormat="1" ht="15" thickBot="1" x14ac:dyDescent="0.35">
      <c r="A73" s="79"/>
      <c r="B73" s="79"/>
      <c r="C73" s="79"/>
      <c r="D73" s="79"/>
      <c r="E73" s="79"/>
      <c r="F73" s="79"/>
      <c r="G73" s="58"/>
    </row>
    <row r="74" spans="1:7" s="47" customFormat="1" ht="30" customHeight="1" thickBot="1" x14ac:dyDescent="0.3">
      <c r="A74" s="81" t="s">
        <v>14</v>
      </c>
      <c r="B74" s="164">
        <v>28</v>
      </c>
      <c r="C74" s="164"/>
      <c r="D74" s="81" t="s">
        <v>55</v>
      </c>
      <c r="E74" s="94">
        <v>44344</v>
      </c>
      <c r="F74" s="126" t="s">
        <v>46</v>
      </c>
      <c r="G74" s="46"/>
    </row>
    <row r="75" spans="1:7" s="47" customFormat="1" ht="30" customHeight="1" thickBot="1" x14ac:dyDescent="0.3">
      <c r="A75" s="80" t="s">
        <v>5</v>
      </c>
      <c r="B75" s="151" t="s">
        <v>44</v>
      </c>
      <c r="C75" s="152"/>
      <c r="D75" s="80" t="s">
        <v>15</v>
      </c>
      <c r="E75" s="200" t="s">
        <v>16</v>
      </c>
      <c r="F75" s="201"/>
      <c r="G75" s="46"/>
    </row>
    <row r="76" spans="1:7" s="52" customFormat="1" x14ac:dyDescent="0.3">
      <c r="A76" s="48"/>
      <c r="B76" s="49"/>
      <c r="C76" s="153" t="str">
        <f xml:space="preserve"> IF(B76="","",setValueToTime(B76))</f>
        <v/>
      </c>
      <c r="D76" s="50"/>
      <c r="E76" s="208"/>
      <c r="F76" s="209"/>
      <c r="G76" s="51"/>
    </row>
    <row r="77" spans="1:7" s="52" customFormat="1" x14ac:dyDescent="0.3">
      <c r="A77" s="53"/>
      <c r="B77" s="54"/>
      <c r="C77" s="154" t="str">
        <f t="shared" ref="C77:C83" si="6" xml:space="preserve"> IF(B77="","",setValueToTime(B77))</f>
        <v/>
      </c>
      <c r="D77" s="55"/>
      <c r="E77" s="202"/>
      <c r="F77" s="203"/>
      <c r="G77" s="51"/>
    </row>
    <row r="78" spans="1:7" s="52" customFormat="1" x14ac:dyDescent="0.3">
      <c r="A78" s="53"/>
      <c r="B78" s="54"/>
      <c r="C78" s="154" t="str">
        <f t="shared" si="6"/>
        <v/>
      </c>
      <c r="D78" s="55"/>
      <c r="E78" s="202"/>
      <c r="F78" s="203"/>
      <c r="G78" s="51"/>
    </row>
    <row r="79" spans="1:7" s="52" customFormat="1" x14ac:dyDescent="0.3">
      <c r="A79" s="53"/>
      <c r="B79" s="54"/>
      <c r="C79" s="154" t="str">
        <f t="shared" si="6"/>
        <v/>
      </c>
      <c r="D79" s="55"/>
      <c r="E79" s="202"/>
      <c r="F79" s="203"/>
      <c r="G79" s="51"/>
    </row>
    <row r="80" spans="1:7" s="52" customFormat="1" x14ac:dyDescent="0.3">
      <c r="A80" s="54"/>
      <c r="B80" s="54"/>
      <c r="C80" s="155" t="str">
        <f t="shared" si="6"/>
        <v/>
      </c>
      <c r="D80" s="55"/>
      <c r="E80" s="202"/>
      <c r="F80" s="203"/>
      <c r="G80" s="51"/>
    </row>
    <row r="81" spans="1:7" s="52" customFormat="1" x14ac:dyDescent="0.3">
      <c r="A81" s="54"/>
      <c r="B81" s="54"/>
      <c r="C81" s="155" t="str">
        <f t="shared" si="6"/>
        <v/>
      </c>
      <c r="D81" s="55"/>
      <c r="E81" s="202"/>
      <c r="F81" s="203"/>
      <c r="G81" s="51"/>
    </row>
    <row r="82" spans="1:7" s="52" customFormat="1" x14ac:dyDescent="0.3">
      <c r="A82" s="54"/>
      <c r="B82" s="54"/>
      <c r="C82" s="155" t="str">
        <f t="shared" si="6"/>
        <v/>
      </c>
      <c r="D82" s="55"/>
      <c r="E82" s="202"/>
      <c r="F82" s="203"/>
      <c r="G82" s="51"/>
    </row>
    <row r="83" spans="1:7" s="52" customFormat="1" ht="15" thickBot="1" x14ac:dyDescent="0.35">
      <c r="A83" s="56"/>
      <c r="B83" s="56"/>
      <c r="C83" s="156" t="str">
        <f t="shared" si="6"/>
        <v/>
      </c>
      <c r="D83" s="57"/>
      <c r="E83" s="204"/>
      <c r="F83" s="205"/>
      <c r="G83" s="51"/>
    </row>
    <row r="84" spans="1:7" s="52" customFormat="1" ht="15" thickBot="1" x14ac:dyDescent="0.35">
      <c r="A84" s="111" t="s">
        <v>31</v>
      </c>
      <c r="B84" s="84">
        <f>SUM(B76:B83)</f>
        <v>0</v>
      </c>
      <c r="C84" s="111" t="str">
        <f xml:space="preserve"> setValueToTime(B84)</f>
        <v>0h</v>
      </c>
      <c r="D84" s="120"/>
      <c r="E84" s="206"/>
      <c r="F84" s="207"/>
      <c r="G84" s="51"/>
    </row>
    <row r="85" spans="1:7" s="59" customFormat="1" ht="15" thickBot="1" x14ac:dyDescent="0.35">
      <c r="A85" s="79"/>
      <c r="B85" s="79"/>
      <c r="C85" s="79"/>
      <c r="D85" s="79"/>
      <c r="E85" s="79"/>
      <c r="F85" s="79"/>
      <c r="G85" s="58"/>
    </row>
    <row r="86" spans="1:7" s="47" customFormat="1" ht="30" customHeight="1" thickBot="1" x14ac:dyDescent="0.3">
      <c r="A86" s="81" t="s">
        <v>14</v>
      </c>
      <c r="B86" s="164">
        <v>27</v>
      </c>
      <c r="C86" s="164"/>
      <c r="D86" s="81" t="s">
        <v>55</v>
      </c>
      <c r="E86" s="94">
        <v>44344</v>
      </c>
      <c r="F86" s="126" t="s">
        <v>47</v>
      </c>
      <c r="G86" s="46"/>
    </row>
    <row r="87" spans="1:7" s="47" customFormat="1" ht="30" customHeight="1" thickBot="1" x14ac:dyDescent="0.3">
      <c r="A87" s="80" t="s">
        <v>5</v>
      </c>
      <c r="B87" s="151" t="s">
        <v>44</v>
      </c>
      <c r="C87" s="152"/>
      <c r="D87" s="80" t="s">
        <v>15</v>
      </c>
      <c r="E87" s="200" t="s">
        <v>16</v>
      </c>
      <c r="F87" s="201"/>
      <c r="G87" s="46"/>
    </row>
    <row r="88" spans="1:7" s="52" customFormat="1" x14ac:dyDescent="0.3">
      <c r="A88" s="48"/>
      <c r="B88" s="49"/>
      <c r="C88" s="153" t="str">
        <f xml:space="preserve"> IF(B88="","",setValueToTime(B88))</f>
        <v/>
      </c>
      <c r="D88" s="50"/>
      <c r="E88" s="208"/>
      <c r="F88" s="209"/>
      <c r="G88" s="51"/>
    </row>
    <row r="89" spans="1:7" s="52" customFormat="1" x14ac:dyDescent="0.3">
      <c r="A89" s="53"/>
      <c r="B89" s="54"/>
      <c r="C89" s="154" t="str">
        <f t="shared" ref="C89:C95" si="7" xml:space="preserve"> IF(B89="","",setValueToTime(B89))</f>
        <v/>
      </c>
      <c r="D89" s="55"/>
      <c r="E89" s="202"/>
      <c r="F89" s="203"/>
      <c r="G89" s="51"/>
    </row>
    <row r="90" spans="1:7" s="52" customFormat="1" x14ac:dyDescent="0.3">
      <c r="A90" s="53"/>
      <c r="B90" s="54"/>
      <c r="C90" s="154" t="str">
        <f t="shared" si="7"/>
        <v/>
      </c>
      <c r="D90" s="55"/>
      <c r="E90" s="202"/>
      <c r="F90" s="203"/>
      <c r="G90" s="51"/>
    </row>
    <row r="91" spans="1:7" s="52" customFormat="1" x14ac:dyDescent="0.3">
      <c r="A91" s="53"/>
      <c r="B91" s="54"/>
      <c r="C91" s="154" t="str">
        <f t="shared" si="7"/>
        <v/>
      </c>
      <c r="D91" s="55"/>
      <c r="E91" s="202"/>
      <c r="F91" s="203"/>
      <c r="G91" s="51"/>
    </row>
    <row r="92" spans="1:7" s="52" customFormat="1" x14ac:dyDescent="0.3">
      <c r="A92" s="54"/>
      <c r="B92" s="54"/>
      <c r="C92" s="155" t="str">
        <f t="shared" si="7"/>
        <v/>
      </c>
      <c r="D92" s="55"/>
      <c r="E92" s="202"/>
      <c r="F92" s="203"/>
      <c r="G92" s="51"/>
    </row>
    <row r="93" spans="1:7" s="52" customFormat="1" x14ac:dyDescent="0.3">
      <c r="A93" s="54"/>
      <c r="B93" s="54"/>
      <c r="C93" s="155" t="str">
        <f t="shared" si="7"/>
        <v/>
      </c>
      <c r="D93" s="55"/>
      <c r="E93" s="202"/>
      <c r="F93" s="203"/>
      <c r="G93" s="51"/>
    </row>
    <row r="94" spans="1:7" s="52" customFormat="1" x14ac:dyDescent="0.3">
      <c r="A94" s="54"/>
      <c r="B94" s="54"/>
      <c r="C94" s="155" t="str">
        <f t="shared" si="7"/>
        <v/>
      </c>
      <c r="D94" s="55"/>
      <c r="E94" s="202"/>
      <c r="F94" s="203"/>
      <c r="G94" s="51"/>
    </row>
    <row r="95" spans="1:7" s="52" customFormat="1" ht="15" thickBot="1" x14ac:dyDescent="0.35">
      <c r="A95" s="56"/>
      <c r="B95" s="56"/>
      <c r="C95" s="156" t="str">
        <f t="shared" si="7"/>
        <v/>
      </c>
      <c r="D95" s="57"/>
      <c r="E95" s="204"/>
      <c r="F95" s="205"/>
      <c r="G95" s="51"/>
    </row>
    <row r="96" spans="1:7" s="52" customFormat="1" ht="15" thickBot="1" x14ac:dyDescent="0.35">
      <c r="A96" s="111" t="s">
        <v>31</v>
      </c>
      <c r="B96" s="84">
        <f>SUM(B88:B95)</f>
        <v>0</v>
      </c>
      <c r="C96" s="111" t="str">
        <f xml:space="preserve"> setValueToTime(B96)</f>
        <v>0h</v>
      </c>
      <c r="D96" s="120"/>
      <c r="E96" s="206"/>
      <c r="F96" s="207"/>
      <c r="G96" s="51"/>
    </row>
    <row r="97" spans="1:7" s="59" customFormat="1" ht="15" thickBot="1" x14ac:dyDescent="0.35">
      <c r="A97" s="79"/>
      <c r="B97" s="79"/>
      <c r="C97" s="79"/>
      <c r="D97" s="79"/>
      <c r="E97" s="79"/>
      <c r="F97" s="79"/>
      <c r="G97" s="58"/>
    </row>
    <row r="98" spans="1:7" s="47" customFormat="1" ht="30" customHeight="1" thickBot="1" x14ac:dyDescent="0.3">
      <c r="A98" s="81" t="s">
        <v>14</v>
      </c>
      <c r="B98" s="164">
        <v>26</v>
      </c>
      <c r="C98" s="164"/>
      <c r="D98" s="81" t="s">
        <v>55</v>
      </c>
      <c r="E98" s="94">
        <v>44343</v>
      </c>
      <c r="F98" s="126" t="s">
        <v>46</v>
      </c>
      <c r="G98" s="46"/>
    </row>
    <row r="99" spans="1:7" s="47" customFormat="1" ht="30" customHeight="1" thickBot="1" x14ac:dyDescent="0.3">
      <c r="A99" s="80" t="s">
        <v>5</v>
      </c>
      <c r="B99" s="151" t="s">
        <v>44</v>
      </c>
      <c r="C99" s="152"/>
      <c r="D99" s="80" t="s">
        <v>15</v>
      </c>
      <c r="E99" s="200" t="s">
        <v>16</v>
      </c>
      <c r="F99" s="201"/>
      <c r="G99" s="46"/>
    </row>
    <row r="100" spans="1:7" s="52" customFormat="1" x14ac:dyDescent="0.3">
      <c r="A100" s="48"/>
      <c r="B100" s="49"/>
      <c r="C100" s="153" t="str">
        <f xml:space="preserve"> IF(B100="","",setValueToTime(B100))</f>
        <v/>
      </c>
      <c r="D100" s="50"/>
      <c r="E100" s="208"/>
      <c r="F100" s="209"/>
      <c r="G100" s="51"/>
    </row>
    <row r="101" spans="1:7" s="52" customFormat="1" x14ac:dyDescent="0.3">
      <c r="A101" s="53"/>
      <c r="B101" s="54"/>
      <c r="C101" s="154" t="str">
        <f t="shared" ref="C101:C107" si="8" xml:space="preserve"> IF(B101="","",setValueToTime(B101))</f>
        <v/>
      </c>
      <c r="D101" s="55"/>
      <c r="E101" s="202"/>
      <c r="F101" s="203"/>
      <c r="G101" s="51"/>
    </row>
    <row r="102" spans="1:7" s="52" customFormat="1" x14ac:dyDescent="0.3">
      <c r="A102" s="53"/>
      <c r="B102" s="54"/>
      <c r="C102" s="154" t="str">
        <f t="shared" si="8"/>
        <v/>
      </c>
      <c r="D102" s="55"/>
      <c r="E102" s="202"/>
      <c r="F102" s="203"/>
      <c r="G102" s="51"/>
    </row>
    <row r="103" spans="1:7" s="52" customFormat="1" x14ac:dyDescent="0.3">
      <c r="A103" s="53"/>
      <c r="B103" s="54"/>
      <c r="C103" s="154" t="str">
        <f t="shared" si="8"/>
        <v/>
      </c>
      <c r="D103" s="55"/>
      <c r="E103" s="202"/>
      <c r="F103" s="203"/>
      <c r="G103" s="51"/>
    </row>
    <row r="104" spans="1:7" s="52" customFormat="1" x14ac:dyDescent="0.3">
      <c r="A104" s="54"/>
      <c r="B104" s="54"/>
      <c r="C104" s="155" t="str">
        <f t="shared" si="8"/>
        <v/>
      </c>
      <c r="D104" s="55"/>
      <c r="E104" s="202"/>
      <c r="F104" s="203"/>
      <c r="G104" s="51"/>
    </row>
    <row r="105" spans="1:7" s="52" customFormat="1" x14ac:dyDescent="0.3">
      <c r="A105" s="54"/>
      <c r="B105" s="54"/>
      <c r="C105" s="155" t="str">
        <f t="shared" si="8"/>
        <v/>
      </c>
      <c r="D105" s="55"/>
      <c r="E105" s="202"/>
      <c r="F105" s="203"/>
      <c r="G105" s="51"/>
    </row>
    <row r="106" spans="1:7" s="52" customFormat="1" x14ac:dyDescent="0.3">
      <c r="A106" s="54"/>
      <c r="B106" s="54"/>
      <c r="C106" s="155" t="str">
        <f t="shared" si="8"/>
        <v/>
      </c>
      <c r="D106" s="55"/>
      <c r="E106" s="202"/>
      <c r="F106" s="203"/>
      <c r="G106" s="51"/>
    </row>
    <row r="107" spans="1:7" s="52" customFormat="1" ht="15" thickBot="1" x14ac:dyDescent="0.35">
      <c r="A107" s="56"/>
      <c r="B107" s="56"/>
      <c r="C107" s="156" t="str">
        <f t="shared" si="8"/>
        <v/>
      </c>
      <c r="D107" s="57"/>
      <c r="E107" s="204"/>
      <c r="F107" s="205"/>
      <c r="G107" s="51"/>
    </row>
    <row r="108" spans="1:7" s="52" customFormat="1" ht="15" thickBot="1" x14ac:dyDescent="0.35">
      <c r="A108" s="111" t="s">
        <v>31</v>
      </c>
      <c r="B108" s="84">
        <f>SUM(B100:B107)</f>
        <v>0</v>
      </c>
      <c r="C108" s="111" t="str">
        <f xml:space="preserve"> setValueToTime(B108)</f>
        <v>0h</v>
      </c>
      <c r="D108" s="120"/>
      <c r="E108" s="206"/>
      <c r="F108" s="207"/>
      <c r="G108" s="51"/>
    </row>
    <row r="109" spans="1:7" s="59" customFormat="1" ht="15" thickBot="1" x14ac:dyDescent="0.35">
      <c r="A109" s="79"/>
      <c r="B109" s="79"/>
      <c r="C109" s="79"/>
      <c r="D109" s="79"/>
      <c r="E109" s="79"/>
      <c r="F109" s="79"/>
      <c r="G109" s="58"/>
    </row>
    <row r="110" spans="1:7" s="47" customFormat="1" ht="30" customHeight="1" thickBot="1" x14ac:dyDescent="0.3">
      <c r="A110" s="81" t="s">
        <v>14</v>
      </c>
      <c r="B110" s="164">
        <v>25</v>
      </c>
      <c r="C110" s="164"/>
      <c r="D110" s="81" t="s">
        <v>55</v>
      </c>
      <c r="E110" s="94">
        <v>44343</v>
      </c>
      <c r="F110" s="126" t="s">
        <v>47</v>
      </c>
      <c r="G110" s="46"/>
    </row>
    <row r="111" spans="1:7" s="47" customFormat="1" ht="30" customHeight="1" thickBot="1" x14ac:dyDescent="0.3">
      <c r="A111" s="80" t="s">
        <v>5</v>
      </c>
      <c r="B111" s="151" t="s">
        <v>44</v>
      </c>
      <c r="C111" s="152"/>
      <c r="D111" s="80" t="s">
        <v>15</v>
      </c>
      <c r="E111" s="200" t="s">
        <v>16</v>
      </c>
      <c r="F111" s="201"/>
      <c r="G111" s="46"/>
    </row>
    <row r="112" spans="1:7" s="52" customFormat="1" x14ac:dyDescent="0.3">
      <c r="A112" s="48"/>
      <c r="B112" s="49"/>
      <c r="C112" s="153" t="str">
        <f xml:space="preserve"> IF(B112="","",setValueToTime(B112))</f>
        <v/>
      </c>
      <c r="D112" s="50"/>
      <c r="E112" s="208"/>
      <c r="F112" s="209"/>
      <c r="G112" s="51"/>
    </row>
    <row r="113" spans="1:7" s="52" customFormat="1" x14ac:dyDescent="0.3">
      <c r="A113" s="53"/>
      <c r="B113" s="54"/>
      <c r="C113" s="154" t="str">
        <f t="shared" ref="C113:C119" si="9" xml:space="preserve"> IF(B113="","",setValueToTime(B113))</f>
        <v/>
      </c>
      <c r="D113" s="55"/>
      <c r="E113" s="202"/>
      <c r="F113" s="203"/>
      <c r="G113" s="51"/>
    </row>
    <row r="114" spans="1:7" s="52" customFormat="1" x14ac:dyDescent="0.3">
      <c r="A114" s="53"/>
      <c r="B114" s="54"/>
      <c r="C114" s="154" t="str">
        <f t="shared" si="9"/>
        <v/>
      </c>
      <c r="D114" s="55"/>
      <c r="E114" s="202"/>
      <c r="F114" s="203"/>
      <c r="G114" s="51"/>
    </row>
    <row r="115" spans="1:7" s="52" customFormat="1" x14ac:dyDescent="0.3">
      <c r="A115" s="53"/>
      <c r="B115" s="54"/>
      <c r="C115" s="154" t="str">
        <f t="shared" si="9"/>
        <v/>
      </c>
      <c r="D115" s="55"/>
      <c r="E115" s="202"/>
      <c r="F115" s="203"/>
      <c r="G115" s="51"/>
    </row>
    <row r="116" spans="1:7" s="52" customFormat="1" x14ac:dyDescent="0.3">
      <c r="A116" s="54"/>
      <c r="B116" s="54"/>
      <c r="C116" s="155" t="str">
        <f t="shared" si="9"/>
        <v/>
      </c>
      <c r="D116" s="55"/>
      <c r="E116" s="202"/>
      <c r="F116" s="203"/>
      <c r="G116" s="51"/>
    </row>
    <row r="117" spans="1:7" s="52" customFormat="1" x14ac:dyDescent="0.3">
      <c r="A117" s="54"/>
      <c r="B117" s="54"/>
      <c r="C117" s="155" t="str">
        <f t="shared" si="9"/>
        <v/>
      </c>
      <c r="D117" s="55"/>
      <c r="E117" s="202"/>
      <c r="F117" s="203"/>
      <c r="G117" s="51"/>
    </row>
    <row r="118" spans="1:7" s="52" customFormat="1" x14ac:dyDescent="0.3">
      <c r="A118" s="54"/>
      <c r="B118" s="54"/>
      <c r="C118" s="155" t="str">
        <f t="shared" si="9"/>
        <v/>
      </c>
      <c r="D118" s="55"/>
      <c r="E118" s="202"/>
      <c r="F118" s="203"/>
      <c r="G118" s="51"/>
    </row>
    <row r="119" spans="1:7" s="52" customFormat="1" ht="15" thickBot="1" x14ac:dyDescent="0.35">
      <c r="A119" s="56"/>
      <c r="B119" s="56"/>
      <c r="C119" s="156" t="str">
        <f t="shared" si="9"/>
        <v/>
      </c>
      <c r="D119" s="57"/>
      <c r="E119" s="204"/>
      <c r="F119" s="205"/>
      <c r="G119" s="51"/>
    </row>
    <row r="120" spans="1:7" s="52" customFormat="1" ht="15" thickBot="1" x14ac:dyDescent="0.35">
      <c r="A120" s="111" t="s">
        <v>31</v>
      </c>
      <c r="B120" s="84">
        <f>SUM(B112:B119)</f>
        <v>0</v>
      </c>
      <c r="C120" s="111" t="str">
        <f xml:space="preserve"> setValueToTime(B120)</f>
        <v>0h</v>
      </c>
      <c r="D120" s="120"/>
      <c r="E120" s="206"/>
      <c r="F120" s="207"/>
      <c r="G120" s="51"/>
    </row>
    <row r="121" spans="1:7" s="59" customFormat="1" ht="15" thickBot="1" x14ac:dyDescent="0.35">
      <c r="A121" s="79"/>
      <c r="B121" s="79"/>
      <c r="C121" s="79"/>
      <c r="D121" s="79"/>
      <c r="E121" s="79"/>
      <c r="F121" s="79"/>
      <c r="G121" s="58"/>
    </row>
    <row r="122" spans="1:7" s="47" customFormat="1" ht="30" customHeight="1" thickBot="1" x14ac:dyDescent="0.3">
      <c r="A122" s="81" t="s">
        <v>14</v>
      </c>
      <c r="B122" s="164">
        <v>24</v>
      </c>
      <c r="C122" s="164"/>
      <c r="D122" s="81" t="s">
        <v>55</v>
      </c>
      <c r="E122" s="94">
        <v>44342</v>
      </c>
      <c r="F122" s="126" t="s">
        <v>46</v>
      </c>
      <c r="G122" s="46"/>
    </row>
    <row r="123" spans="1:7" s="47" customFormat="1" ht="30" customHeight="1" thickBot="1" x14ac:dyDescent="0.3">
      <c r="A123" s="80" t="s">
        <v>5</v>
      </c>
      <c r="B123" s="151" t="s">
        <v>44</v>
      </c>
      <c r="C123" s="152"/>
      <c r="D123" s="80" t="s">
        <v>15</v>
      </c>
      <c r="E123" s="200" t="s">
        <v>16</v>
      </c>
      <c r="F123" s="201"/>
      <c r="G123" s="46"/>
    </row>
    <row r="124" spans="1:7" s="52" customFormat="1" x14ac:dyDescent="0.3">
      <c r="A124" s="48"/>
      <c r="B124" s="49"/>
      <c r="C124" s="153" t="str">
        <f xml:space="preserve"> IF(B124="","",setValueToTime(B124))</f>
        <v/>
      </c>
      <c r="D124" s="50"/>
      <c r="E124" s="208"/>
      <c r="F124" s="209"/>
      <c r="G124" s="51"/>
    </row>
    <row r="125" spans="1:7" s="52" customFormat="1" x14ac:dyDescent="0.3">
      <c r="A125" s="53"/>
      <c r="B125" s="54"/>
      <c r="C125" s="154" t="str">
        <f t="shared" ref="C125:C131" si="10" xml:space="preserve"> IF(B125="","",setValueToTime(B125))</f>
        <v/>
      </c>
      <c r="D125" s="55"/>
      <c r="E125" s="202"/>
      <c r="F125" s="203"/>
      <c r="G125" s="51"/>
    </row>
    <row r="126" spans="1:7" s="52" customFormat="1" x14ac:dyDescent="0.3">
      <c r="A126" s="53"/>
      <c r="B126" s="54"/>
      <c r="C126" s="154" t="str">
        <f t="shared" si="10"/>
        <v/>
      </c>
      <c r="D126" s="55"/>
      <c r="E126" s="202"/>
      <c r="F126" s="203"/>
      <c r="G126" s="51"/>
    </row>
    <row r="127" spans="1:7" s="52" customFormat="1" x14ac:dyDescent="0.3">
      <c r="A127" s="53"/>
      <c r="B127" s="54"/>
      <c r="C127" s="154" t="str">
        <f t="shared" si="10"/>
        <v/>
      </c>
      <c r="D127" s="55"/>
      <c r="E127" s="202"/>
      <c r="F127" s="203"/>
      <c r="G127" s="51"/>
    </row>
    <row r="128" spans="1:7" s="52" customFormat="1" x14ac:dyDescent="0.3">
      <c r="A128" s="54"/>
      <c r="B128" s="54"/>
      <c r="C128" s="155" t="str">
        <f t="shared" si="10"/>
        <v/>
      </c>
      <c r="D128" s="55"/>
      <c r="E128" s="202"/>
      <c r="F128" s="203"/>
      <c r="G128" s="51"/>
    </row>
    <row r="129" spans="1:7" s="52" customFormat="1" x14ac:dyDescent="0.3">
      <c r="A129" s="54"/>
      <c r="B129" s="54"/>
      <c r="C129" s="155" t="str">
        <f t="shared" si="10"/>
        <v/>
      </c>
      <c r="D129" s="55"/>
      <c r="E129" s="202"/>
      <c r="F129" s="203"/>
      <c r="G129" s="51"/>
    </row>
    <row r="130" spans="1:7" s="52" customFormat="1" x14ac:dyDescent="0.3">
      <c r="A130" s="54"/>
      <c r="B130" s="54"/>
      <c r="C130" s="155" t="str">
        <f t="shared" si="10"/>
        <v/>
      </c>
      <c r="D130" s="55"/>
      <c r="E130" s="202"/>
      <c r="F130" s="203"/>
      <c r="G130" s="51"/>
    </row>
    <row r="131" spans="1:7" s="52" customFormat="1" ht="15" thickBot="1" x14ac:dyDescent="0.35">
      <c r="A131" s="56"/>
      <c r="B131" s="56"/>
      <c r="C131" s="156" t="str">
        <f t="shared" si="10"/>
        <v/>
      </c>
      <c r="D131" s="57"/>
      <c r="E131" s="204"/>
      <c r="F131" s="205"/>
      <c r="G131" s="51"/>
    </row>
    <row r="132" spans="1:7" s="52" customFormat="1" ht="15" thickBot="1" x14ac:dyDescent="0.35">
      <c r="A132" s="111" t="s">
        <v>31</v>
      </c>
      <c r="B132" s="84">
        <f>SUM(B124:B131)</f>
        <v>0</v>
      </c>
      <c r="C132" s="111" t="str">
        <f xml:space="preserve"> setValueToTime(B132)</f>
        <v>0h</v>
      </c>
      <c r="D132" s="120"/>
      <c r="E132" s="206"/>
      <c r="F132" s="207"/>
      <c r="G132" s="51"/>
    </row>
    <row r="133" spans="1:7" s="59" customFormat="1" ht="15" thickBot="1" x14ac:dyDescent="0.35">
      <c r="A133" s="79"/>
      <c r="B133" s="79"/>
      <c r="C133" s="79"/>
      <c r="D133" s="79"/>
      <c r="E133" s="79"/>
      <c r="F133" s="79"/>
      <c r="G133" s="58"/>
    </row>
    <row r="134" spans="1:7" s="47" customFormat="1" ht="30" customHeight="1" thickBot="1" x14ac:dyDescent="0.3">
      <c r="A134" s="81" t="s">
        <v>14</v>
      </c>
      <c r="B134" s="164">
        <v>23</v>
      </c>
      <c r="C134" s="164"/>
      <c r="D134" s="81" t="s">
        <v>55</v>
      </c>
      <c r="E134" s="94">
        <v>44342</v>
      </c>
      <c r="F134" s="126" t="s">
        <v>47</v>
      </c>
      <c r="G134" s="46"/>
    </row>
    <row r="135" spans="1:7" s="47" customFormat="1" ht="30" customHeight="1" thickBot="1" x14ac:dyDescent="0.3">
      <c r="A135" s="80" t="s">
        <v>5</v>
      </c>
      <c r="B135" s="151" t="s">
        <v>44</v>
      </c>
      <c r="C135" s="152"/>
      <c r="D135" s="80" t="s">
        <v>15</v>
      </c>
      <c r="E135" s="200" t="s">
        <v>16</v>
      </c>
      <c r="F135" s="201"/>
      <c r="G135" s="46"/>
    </row>
    <row r="136" spans="1:7" s="52" customFormat="1" x14ac:dyDescent="0.3">
      <c r="A136" s="48"/>
      <c r="B136" s="49"/>
      <c r="C136" s="153" t="str">
        <f xml:space="preserve"> IF(B136="","",setValueToTime(B136))</f>
        <v/>
      </c>
      <c r="D136" s="50"/>
      <c r="E136" s="208"/>
      <c r="F136" s="209"/>
      <c r="G136" s="51"/>
    </row>
    <row r="137" spans="1:7" s="52" customFormat="1" x14ac:dyDescent="0.3">
      <c r="A137" s="53"/>
      <c r="B137" s="54"/>
      <c r="C137" s="154" t="str">
        <f t="shared" ref="C137:C143" si="11" xml:space="preserve"> IF(B137="","",setValueToTime(B137))</f>
        <v/>
      </c>
      <c r="D137" s="55"/>
      <c r="E137" s="202"/>
      <c r="F137" s="203"/>
      <c r="G137" s="51"/>
    </row>
    <row r="138" spans="1:7" s="52" customFormat="1" x14ac:dyDescent="0.3">
      <c r="A138" s="53"/>
      <c r="B138" s="54"/>
      <c r="C138" s="154" t="str">
        <f t="shared" si="11"/>
        <v/>
      </c>
      <c r="D138" s="55"/>
      <c r="E138" s="202"/>
      <c r="F138" s="203"/>
      <c r="G138" s="51"/>
    </row>
    <row r="139" spans="1:7" s="52" customFormat="1" x14ac:dyDescent="0.3">
      <c r="A139" s="53"/>
      <c r="B139" s="54"/>
      <c r="C139" s="154" t="str">
        <f t="shared" si="11"/>
        <v/>
      </c>
      <c r="D139" s="55"/>
      <c r="E139" s="202"/>
      <c r="F139" s="203"/>
      <c r="G139" s="51"/>
    </row>
    <row r="140" spans="1:7" s="52" customFormat="1" x14ac:dyDescent="0.3">
      <c r="A140" s="54"/>
      <c r="B140" s="54"/>
      <c r="C140" s="155" t="str">
        <f t="shared" si="11"/>
        <v/>
      </c>
      <c r="D140" s="55"/>
      <c r="E140" s="202"/>
      <c r="F140" s="203"/>
      <c r="G140" s="51"/>
    </row>
    <row r="141" spans="1:7" s="52" customFormat="1" x14ac:dyDescent="0.3">
      <c r="A141" s="54"/>
      <c r="B141" s="54"/>
      <c r="C141" s="155" t="str">
        <f t="shared" si="11"/>
        <v/>
      </c>
      <c r="D141" s="55"/>
      <c r="E141" s="202"/>
      <c r="F141" s="203"/>
      <c r="G141" s="51"/>
    </row>
    <row r="142" spans="1:7" s="52" customFormat="1" x14ac:dyDescent="0.3">
      <c r="A142" s="54"/>
      <c r="B142" s="54"/>
      <c r="C142" s="155" t="str">
        <f t="shared" si="11"/>
        <v/>
      </c>
      <c r="D142" s="55"/>
      <c r="E142" s="202"/>
      <c r="F142" s="203"/>
      <c r="G142" s="51"/>
    </row>
    <row r="143" spans="1:7" s="52" customFormat="1" ht="15" thickBot="1" x14ac:dyDescent="0.35">
      <c r="A143" s="56"/>
      <c r="B143" s="56"/>
      <c r="C143" s="156" t="str">
        <f t="shared" si="11"/>
        <v/>
      </c>
      <c r="D143" s="57"/>
      <c r="E143" s="204"/>
      <c r="F143" s="205"/>
      <c r="G143" s="51"/>
    </row>
    <row r="144" spans="1:7" s="52" customFormat="1" ht="15" thickBot="1" x14ac:dyDescent="0.35">
      <c r="A144" s="111" t="s">
        <v>31</v>
      </c>
      <c r="B144" s="84">
        <f>SUM(B136:B143)</f>
        <v>0</v>
      </c>
      <c r="C144" s="111" t="str">
        <f xml:space="preserve"> setValueToTime(B144)</f>
        <v>0h</v>
      </c>
      <c r="D144" s="120"/>
      <c r="E144" s="206"/>
      <c r="F144" s="207"/>
      <c r="G144" s="51"/>
    </row>
    <row r="145" spans="1:7" s="59" customFormat="1" ht="15" thickBot="1" x14ac:dyDescent="0.35">
      <c r="A145" s="79"/>
      <c r="B145" s="79"/>
      <c r="C145" s="79"/>
      <c r="D145" s="79"/>
      <c r="E145" s="79"/>
      <c r="F145" s="79"/>
      <c r="G145" s="58"/>
    </row>
    <row r="146" spans="1:7" s="47" customFormat="1" ht="30" customHeight="1" thickBot="1" x14ac:dyDescent="0.3">
      <c r="A146" s="81" t="s">
        <v>14</v>
      </c>
      <c r="B146" s="164">
        <v>22</v>
      </c>
      <c r="C146" s="164"/>
      <c r="D146" s="81" t="s">
        <v>55</v>
      </c>
      <c r="E146" s="94">
        <v>44340</v>
      </c>
      <c r="F146" s="126" t="s">
        <v>47</v>
      </c>
      <c r="G146" s="46"/>
    </row>
    <row r="147" spans="1:7" s="47" customFormat="1" ht="30" customHeight="1" thickBot="1" x14ac:dyDescent="0.3">
      <c r="A147" s="80" t="s">
        <v>5</v>
      </c>
      <c r="B147" s="151" t="s">
        <v>44</v>
      </c>
      <c r="C147" s="152"/>
      <c r="D147" s="80" t="s">
        <v>15</v>
      </c>
      <c r="E147" s="200" t="s">
        <v>16</v>
      </c>
      <c r="F147" s="201"/>
      <c r="G147" s="46"/>
    </row>
    <row r="148" spans="1:7" s="52" customFormat="1" x14ac:dyDescent="0.3">
      <c r="A148" s="48"/>
      <c r="B148" s="49"/>
      <c r="C148" s="153" t="str">
        <f xml:space="preserve"> IF(B148="","",setValueToTime(B148))</f>
        <v/>
      </c>
      <c r="D148" s="50"/>
      <c r="E148" s="208"/>
      <c r="F148" s="209"/>
      <c r="G148" s="51"/>
    </row>
    <row r="149" spans="1:7" s="52" customFormat="1" x14ac:dyDescent="0.3">
      <c r="A149" s="53"/>
      <c r="B149" s="54"/>
      <c r="C149" s="154" t="str">
        <f t="shared" ref="C149:C155" si="12" xml:space="preserve"> IF(B149="","",setValueToTime(B149))</f>
        <v/>
      </c>
      <c r="D149" s="55"/>
      <c r="E149" s="202"/>
      <c r="F149" s="203"/>
      <c r="G149" s="51"/>
    </row>
    <row r="150" spans="1:7" s="52" customFormat="1" x14ac:dyDescent="0.3">
      <c r="A150" s="53"/>
      <c r="B150" s="54"/>
      <c r="C150" s="154" t="str">
        <f t="shared" si="12"/>
        <v/>
      </c>
      <c r="D150" s="55"/>
      <c r="E150" s="202"/>
      <c r="F150" s="203"/>
      <c r="G150" s="51"/>
    </row>
    <row r="151" spans="1:7" s="52" customFormat="1" x14ac:dyDescent="0.3">
      <c r="A151" s="53"/>
      <c r="B151" s="54"/>
      <c r="C151" s="154" t="str">
        <f t="shared" si="12"/>
        <v/>
      </c>
      <c r="D151" s="55"/>
      <c r="E151" s="202"/>
      <c r="F151" s="203"/>
      <c r="G151" s="51"/>
    </row>
    <row r="152" spans="1:7" s="52" customFormat="1" x14ac:dyDescent="0.3">
      <c r="A152" s="54"/>
      <c r="B152" s="54"/>
      <c r="C152" s="155" t="str">
        <f t="shared" si="12"/>
        <v/>
      </c>
      <c r="D152" s="55"/>
      <c r="E152" s="202"/>
      <c r="F152" s="203"/>
      <c r="G152" s="51"/>
    </row>
    <row r="153" spans="1:7" s="52" customFormat="1" x14ac:dyDescent="0.3">
      <c r="A153" s="54"/>
      <c r="B153" s="54"/>
      <c r="C153" s="155" t="str">
        <f t="shared" si="12"/>
        <v/>
      </c>
      <c r="D153" s="55"/>
      <c r="E153" s="202"/>
      <c r="F153" s="203"/>
      <c r="G153" s="51"/>
    </row>
    <row r="154" spans="1:7" s="52" customFormat="1" x14ac:dyDescent="0.3">
      <c r="A154" s="54"/>
      <c r="B154" s="54"/>
      <c r="C154" s="155" t="str">
        <f t="shared" si="12"/>
        <v/>
      </c>
      <c r="D154" s="55"/>
      <c r="E154" s="202"/>
      <c r="F154" s="203"/>
      <c r="G154" s="51"/>
    </row>
    <row r="155" spans="1:7" s="52" customFormat="1" ht="15" thickBot="1" x14ac:dyDescent="0.35">
      <c r="A155" s="56"/>
      <c r="B155" s="56"/>
      <c r="C155" s="156" t="str">
        <f t="shared" si="12"/>
        <v/>
      </c>
      <c r="D155" s="57"/>
      <c r="E155" s="204"/>
      <c r="F155" s="205"/>
      <c r="G155" s="51"/>
    </row>
    <row r="156" spans="1:7" s="52" customFormat="1" ht="15" thickBot="1" x14ac:dyDescent="0.35">
      <c r="A156" s="111" t="s">
        <v>31</v>
      </c>
      <c r="B156" s="84">
        <f>SUM(B148:B155)</f>
        <v>0</v>
      </c>
      <c r="C156" s="111" t="str">
        <f xml:space="preserve"> setValueToTime(B156)</f>
        <v>0h</v>
      </c>
      <c r="D156" s="120"/>
      <c r="E156" s="206"/>
      <c r="F156" s="207"/>
      <c r="G156" s="51"/>
    </row>
    <row r="157" spans="1:7" s="59" customFormat="1" ht="15" thickBot="1" x14ac:dyDescent="0.35">
      <c r="A157" s="79"/>
      <c r="B157" s="79"/>
      <c r="C157" s="79"/>
      <c r="D157" s="79"/>
      <c r="E157" s="79"/>
      <c r="F157" s="79"/>
      <c r="G157" s="58"/>
    </row>
    <row r="158" spans="1:7" s="47" customFormat="1" ht="30" customHeight="1" thickBot="1" x14ac:dyDescent="0.3">
      <c r="A158" s="81" t="s">
        <v>14</v>
      </c>
      <c r="B158" s="164">
        <v>21</v>
      </c>
      <c r="C158" s="164"/>
      <c r="D158" s="81" t="s">
        <v>54</v>
      </c>
      <c r="E158" s="94">
        <v>44337</v>
      </c>
      <c r="F158" s="126" t="s">
        <v>46</v>
      </c>
      <c r="G158" s="46"/>
    </row>
    <row r="159" spans="1:7" s="47" customFormat="1" ht="30" customHeight="1" thickBot="1" x14ac:dyDescent="0.3">
      <c r="A159" s="80" t="s">
        <v>5</v>
      </c>
      <c r="B159" s="151" t="s">
        <v>44</v>
      </c>
      <c r="C159" s="152"/>
      <c r="D159" s="80" t="s">
        <v>15</v>
      </c>
      <c r="E159" s="200" t="s">
        <v>16</v>
      </c>
      <c r="F159" s="201"/>
      <c r="G159" s="46"/>
    </row>
    <row r="160" spans="1:7" s="52" customFormat="1" x14ac:dyDescent="0.3">
      <c r="A160" s="48"/>
      <c r="B160" s="49"/>
      <c r="C160" s="153" t="str">
        <f xml:space="preserve"> IF(B160="","",setValueToTime(B160))</f>
        <v/>
      </c>
      <c r="D160" s="50"/>
      <c r="E160" s="208"/>
      <c r="F160" s="209"/>
      <c r="G160" s="51"/>
    </row>
    <row r="161" spans="1:7" s="52" customFormat="1" x14ac:dyDescent="0.3">
      <c r="A161" s="53"/>
      <c r="B161" s="54"/>
      <c r="C161" s="154" t="str">
        <f t="shared" ref="C161:C167" si="13" xml:space="preserve"> IF(B161="","",setValueToTime(B161))</f>
        <v/>
      </c>
      <c r="D161" s="55"/>
      <c r="E161" s="202"/>
      <c r="F161" s="203"/>
      <c r="G161" s="51"/>
    </row>
    <row r="162" spans="1:7" s="52" customFormat="1" x14ac:dyDescent="0.3">
      <c r="A162" s="53"/>
      <c r="B162" s="54"/>
      <c r="C162" s="154" t="str">
        <f t="shared" si="13"/>
        <v/>
      </c>
      <c r="D162" s="55"/>
      <c r="E162" s="202"/>
      <c r="F162" s="203"/>
      <c r="G162" s="51"/>
    </row>
    <row r="163" spans="1:7" s="52" customFormat="1" x14ac:dyDescent="0.3">
      <c r="A163" s="53"/>
      <c r="B163" s="54"/>
      <c r="C163" s="154" t="str">
        <f t="shared" si="13"/>
        <v/>
      </c>
      <c r="D163" s="55"/>
      <c r="E163" s="202"/>
      <c r="F163" s="203"/>
      <c r="G163" s="51"/>
    </row>
    <row r="164" spans="1:7" s="52" customFormat="1" x14ac:dyDescent="0.3">
      <c r="A164" s="54"/>
      <c r="B164" s="54"/>
      <c r="C164" s="155" t="str">
        <f t="shared" si="13"/>
        <v/>
      </c>
      <c r="D164" s="55"/>
      <c r="E164" s="202"/>
      <c r="F164" s="203"/>
      <c r="G164" s="51"/>
    </row>
    <row r="165" spans="1:7" s="52" customFormat="1" x14ac:dyDescent="0.3">
      <c r="A165" s="54"/>
      <c r="B165" s="54"/>
      <c r="C165" s="155" t="str">
        <f t="shared" si="13"/>
        <v/>
      </c>
      <c r="D165" s="55"/>
      <c r="E165" s="202"/>
      <c r="F165" s="203"/>
      <c r="G165" s="51"/>
    </row>
    <row r="166" spans="1:7" s="52" customFormat="1" x14ac:dyDescent="0.3">
      <c r="A166" s="54"/>
      <c r="B166" s="54"/>
      <c r="C166" s="155" t="str">
        <f t="shared" si="13"/>
        <v/>
      </c>
      <c r="D166" s="55"/>
      <c r="E166" s="202"/>
      <c r="F166" s="203"/>
      <c r="G166" s="51"/>
    </row>
    <row r="167" spans="1:7" s="52" customFormat="1" ht="15" thickBot="1" x14ac:dyDescent="0.35">
      <c r="A167" s="56"/>
      <c r="B167" s="56"/>
      <c r="C167" s="156" t="str">
        <f t="shared" si="13"/>
        <v/>
      </c>
      <c r="D167" s="57"/>
      <c r="E167" s="204"/>
      <c r="F167" s="205"/>
      <c r="G167" s="51"/>
    </row>
    <row r="168" spans="1:7" s="52" customFormat="1" ht="15" thickBot="1" x14ac:dyDescent="0.35">
      <c r="A168" s="111" t="s">
        <v>31</v>
      </c>
      <c r="B168" s="84">
        <f>SUM(B160:B167)</f>
        <v>0</v>
      </c>
      <c r="C168" s="111" t="str">
        <f xml:space="preserve"> setValueToTime(B168)</f>
        <v>0h</v>
      </c>
      <c r="D168" s="120"/>
      <c r="E168" s="206"/>
      <c r="F168" s="207"/>
      <c r="G168" s="51"/>
    </row>
    <row r="169" spans="1:7" s="59" customFormat="1" ht="15" thickBot="1" x14ac:dyDescent="0.35">
      <c r="A169" s="79"/>
      <c r="B169" s="79"/>
      <c r="C169" s="79"/>
      <c r="D169" s="79"/>
      <c r="E169" s="79"/>
      <c r="F169" s="79"/>
      <c r="G169" s="58"/>
    </row>
    <row r="170" spans="1:7" s="47" customFormat="1" ht="30" customHeight="1" thickBot="1" x14ac:dyDescent="0.3">
      <c r="A170" s="81" t="s">
        <v>14</v>
      </c>
      <c r="B170" s="164">
        <v>20</v>
      </c>
      <c r="C170" s="164"/>
      <c r="D170" s="81" t="s">
        <v>54</v>
      </c>
      <c r="E170" s="94">
        <v>44337</v>
      </c>
      <c r="F170" s="126" t="s">
        <v>47</v>
      </c>
      <c r="G170" s="46"/>
    </row>
    <row r="171" spans="1:7" s="47" customFormat="1" ht="30" customHeight="1" thickBot="1" x14ac:dyDescent="0.3">
      <c r="A171" s="80" t="s">
        <v>5</v>
      </c>
      <c r="B171" s="151" t="s">
        <v>44</v>
      </c>
      <c r="C171" s="152"/>
      <c r="D171" s="80" t="s">
        <v>15</v>
      </c>
      <c r="E171" s="200" t="s">
        <v>16</v>
      </c>
      <c r="F171" s="201"/>
      <c r="G171" s="46"/>
    </row>
    <row r="172" spans="1:7" s="52" customFormat="1" x14ac:dyDescent="0.3">
      <c r="A172" s="48"/>
      <c r="B172" s="49"/>
      <c r="C172" s="153" t="str">
        <f xml:space="preserve"> IF(B172="","",setValueToTime(B172))</f>
        <v/>
      </c>
      <c r="D172" s="50"/>
      <c r="E172" s="208"/>
      <c r="F172" s="209"/>
      <c r="G172" s="51"/>
    </row>
    <row r="173" spans="1:7" s="52" customFormat="1" x14ac:dyDescent="0.3">
      <c r="A173" s="53"/>
      <c r="B173" s="54"/>
      <c r="C173" s="154" t="str">
        <f t="shared" ref="C173:C179" si="14" xml:space="preserve"> IF(B173="","",setValueToTime(B173))</f>
        <v/>
      </c>
      <c r="D173" s="55"/>
      <c r="E173" s="202"/>
      <c r="F173" s="203"/>
      <c r="G173" s="51"/>
    </row>
    <row r="174" spans="1:7" s="52" customFormat="1" x14ac:dyDescent="0.3">
      <c r="A174" s="53"/>
      <c r="B174" s="54"/>
      <c r="C174" s="154" t="str">
        <f t="shared" si="14"/>
        <v/>
      </c>
      <c r="D174" s="55"/>
      <c r="E174" s="202"/>
      <c r="F174" s="203"/>
      <c r="G174" s="51"/>
    </row>
    <row r="175" spans="1:7" s="52" customFormat="1" x14ac:dyDescent="0.3">
      <c r="A175" s="53"/>
      <c r="B175" s="54"/>
      <c r="C175" s="154" t="str">
        <f t="shared" si="14"/>
        <v/>
      </c>
      <c r="D175" s="55"/>
      <c r="E175" s="202"/>
      <c r="F175" s="203"/>
      <c r="G175" s="51"/>
    </row>
    <row r="176" spans="1:7" s="52" customFormat="1" x14ac:dyDescent="0.3">
      <c r="A176" s="54"/>
      <c r="B176" s="54"/>
      <c r="C176" s="155" t="str">
        <f t="shared" si="14"/>
        <v/>
      </c>
      <c r="D176" s="55"/>
      <c r="E176" s="202"/>
      <c r="F176" s="203"/>
      <c r="G176" s="51"/>
    </row>
    <row r="177" spans="1:7" s="52" customFormat="1" x14ac:dyDescent="0.3">
      <c r="A177" s="54"/>
      <c r="B177" s="54"/>
      <c r="C177" s="155" t="str">
        <f t="shared" si="14"/>
        <v/>
      </c>
      <c r="D177" s="55"/>
      <c r="E177" s="202"/>
      <c r="F177" s="203"/>
      <c r="G177" s="51"/>
    </row>
    <row r="178" spans="1:7" s="52" customFormat="1" x14ac:dyDescent="0.3">
      <c r="A178" s="54"/>
      <c r="B178" s="54"/>
      <c r="C178" s="155" t="str">
        <f t="shared" si="14"/>
        <v/>
      </c>
      <c r="D178" s="55"/>
      <c r="E178" s="202"/>
      <c r="F178" s="203"/>
      <c r="G178" s="51"/>
    </row>
    <row r="179" spans="1:7" s="52" customFormat="1" ht="15" thickBot="1" x14ac:dyDescent="0.35">
      <c r="A179" s="56"/>
      <c r="B179" s="56"/>
      <c r="C179" s="156" t="str">
        <f t="shared" si="14"/>
        <v/>
      </c>
      <c r="D179" s="57"/>
      <c r="E179" s="204"/>
      <c r="F179" s="205"/>
      <c r="G179" s="51"/>
    </row>
    <row r="180" spans="1:7" s="52" customFormat="1" ht="15" thickBot="1" x14ac:dyDescent="0.35">
      <c r="A180" s="111" t="s">
        <v>31</v>
      </c>
      <c r="B180" s="84">
        <f>SUM(B172:B179)</f>
        <v>0</v>
      </c>
      <c r="C180" s="111" t="str">
        <f xml:space="preserve"> setValueToTime(B180)</f>
        <v>0h</v>
      </c>
      <c r="D180" s="120"/>
      <c r="E180" s="206"/>
      <c r="F180" s="207"/>
      <c r="G180" s="51"/>
    </row>
    <row r="181" spans="1:7" s="59" customFormat="1" ht="15" thickBot="1" x14ac:dyDescent="0.35">
      <c r="A181" s="79"/>
      <c r="B181" s="79"/>
      <c r="C181" s="79"/>
      <c r="D181" s="79"/>
      <c r="E181" s="79"/>
      <c r="F181" s="79"/>
      <c r="G181" s="58"/>
    </row>
    <row r="182" spans="1:7" s="47" customFormat="1" ht="30" customHeight="1" thickBot="1" x14ac:dyDescent="0.3">
      <c r="A182" s="81" t="s">
        <v>14</v>
      </c>
      <c r="B182" s="164">
        <v>19</v>
      </c>
      <c r="C182" s="164"/>
      <c r="D182" s="81" t="s">
        <v>54</v>
      </c>
      <c r="E182" s="94">
        <v>44336</v>
      </c>
      <c r="F182" s="126" t="s">
        <v>46</v>
      </c>
      <c r="G182" s="46"/>
    </row>
    <row r="183" spans="1:7" s="47" customFormat="1" ht="30" customHeight="1" thickBot="1" x14ac:dyDescent="0.3">
      <c r="A183" s="80" t="s">
        <v>5</v>
      </c>
      <c r="B183" s="151" t="s">
        <v>44</v>
      </c>
      <c r="C183" s="152"/>
      <c r="D183" s="80" t="s">
        <v>15</v>
      </c>
      <c r="E183" s="200" t="s">
        <v>16</v>
      </c>
      <c r="F183" s="201"/>
      <c r="G183" s="46"/>
    </row>
    <row r="184" spans="1:7" s="52" customFormat="1" x14ac:dyDescent="0.3">
      <c r="A184" s="48"/>
      <c r="B184" s="49"/>
      <c r="C184" s="153" t="str">
        <f xml:space="preserve"> IF(B184="","",setValueToTime(B184))</f>
        <v/>
      </c>
      <c r="D184" s="50"/>
      <c r="E184" s="208"/>
      <c r="F184" s="209"/>
      <c r="G184" s="51"/>
    </row>
    <row r="185" spans="1:7" s="52" customFormat="1" x14ac:dyDescent="0.3">
      <c r="A185" s="53"/>
      <c r="B185" s="54"/>
      <c r="C185" s="154" t="str">
        <f t="shared" ref="C185:C191" si="15" xml:space="preserve"> IF(B185="","",setValueToTime(B185))</f>
        <v/>
      </c>
      <c r="D185" s="55"/>
      <c r="E185" s="202"/>
      <c r="F185" s="203"/>
      <c r="G185" s="51"/>
    </row>
    <row r="186" spans="1:7" s="52" customFormat="1" x14ac:dyDescent="0.3">
      <c r="A186" s="53"/>
      <c r="B186" s="54"/>
      <c r="C186" s="154" t="str">
        <f t="shared" si="15"/>
        <v/>
      </c>
      <c r="D186" s="55"/>
      <c r="E186" s="202"/>
      <c r="F186" s="203"/>
      <c r="G186" s="51"/>
    </row>
    <row r="187" spans="1:7" s="52" customFormat="1" x14ac:dyDescent="0.3">
      <c r="A187" s="53"/>
      <c r="B187" s="54"/>
      <c r="C187" s="154" t="str">
        <f t="shared" si="15"/>
        <v/>
      </c>
      <c r="D187" s="55"/>
      <c r="E187" s="202"/>
      <c r="F187" s="203"/>
      <c r="G187" s="51"/>
    </row>
    <row r="188" spans="1:7" s="52" customFormat="1" x14ac:dyDescent="0.3">
      <c r="A188" s="54"/>
      <c r="B188" s="54"/>
      <c r="C188" s="155" t="str">
        <f t="shared" si="15"/>
        <v/>
      </c>
      <c r="D188" s="55"/>
      <c r="E188" s="202"/>
      <c r="F188" s="203"/>
      <c r="G188" s="51"/>
    </row>
    <row r="189" spans="1:7" s="52" customFormat="1" x14ac:dyDescent="0.3">
      <c r="A189" s="54"/>
      <c r="B189" s="54"/>
      <c r="C189" s="155" t="str">
        <f t="shared" si="15"/>
        <v/>
      </c>
      <c r="D189" s="55"/>
      <c r="E189" s="202"/>
      <c r="F189" s="203"/>
      <c r="G189" s="51"/>
    </row>
    <row r="190" spans="1:7" s="52" customFormat="1" x14ac:dyDescent="0.3">
      <c r="A190" s="54"/>
      <c r="B190" s="54"/>
      <c r="C190" s="155" t="str">
        <f t="shared" si="15"/>
        <v/>
      </c>
      <c r="D190" s="55"/>
      <c r="E190" s="202"/>
      <c r="F190" s="203"/>
      <c r="G190" s="51"/>
    </row>
    <row r="191" spans="1:7" s="52" customFormat="1" ht="15" thickBot="1" x14ac:dyDescent="0.35">
      <c r="A191" s="56"/>
      <c r="B191" s="56"/>
      <c r="C191" s="156" t="str">
        <f t="shared" si="15"/>
        <v/>
      </c>
      <c r="D191" s="57"/>
      <c r="E191" s="204"/>
      <c r="F191" s="205"/>
      <c r="G191" s="51"/>
    </row>
    <row r="192" spans="1:7" s="52" customFormat="1" ht="15" thickBot="1" x14ac:dyDescent="0.35">
      <c r="A192" s="111" t="s">
        <v>31</v>
      </c>
      <c r="B192" s="84">
        <f>SUM(B184:B191)</f>
        <v>0</v>
      </c>
      <c r="C192" s="111" t="str">
        <f xml:space="preserve"> setValueToTime(B192)</f>
        <v>0h</v>
      </c>
      <c r="D192" s="120"/>
      <c r="E192" s="206"/>
      <c r="F192" s="207"/>
      <c r="G192" s="51"/>
    </row>
    <row r="193" spans="1:7" s="59" customFormat="1" ht="15" thickBot="1" x14ac:dyDescent="0.35">
      <c r="A193" s="79"/>
      <c r="B193" s="79"/>
      <c r="C193" s="79"/>
      <c r="D193" s="79"/>
      <c r="E193" s="79"/>
      <c r="F193" s="79"/>
      <c r="G193" s="58"/>
    </row>
    <row r="194" spans="1:7" s="47" customFormat="1" ht="30" customHeight="1" thickBot="1" x14ac:dyDescent="0.3">
      <c r="A194" s="81" t="s">
        <v>14</v>
      </c>
      <c r="B194" s="164">
        <v>18</v>
      </c>
      <c r="C194" s="164"/>
      <c r="D194" s="81" t="s">
        <v>54</v>
      </c>
      <c r="E194" s="94">
        <v>44336</v>
      </c>
      <c r="F194" s="126" t="s">
        <v>47</v>
      </c>
      <c r="G194" s="46"/>
    </row>
    <row r="195" spans="1:7" s="47" customFormat="1" ht="30" customHeight="1" thickBot="1" x14ac:dyDescent="0.3">
      <c r="A195" s="80" t="s">
        <v>5</v>
      </c>
      <c r="B195" s="151" t="s">
        <v>44</v>
      </c>
      <c r="C195" s="152"/>
      <c r="D195" s="80" t="s">
        <v>15</v>
      </c>
      <c r="E195" s="200" t="s">
        <v>16</v>
      </c>
      <c r="F195" s="201"/>
      <c r="G195" s="46"/>
    </row>
    <row r="196" spans="1:7" s="52" customFormat="1" x14ac:dyDescent="0.3">
      <c r="A196" s="48"/>
      <c r="B196" s="49"/>
      <c r="C196" s="153" t="str">
        <f xml:space="preserve"> IF(B196="","",setValueToTime(B196))</f>
        <v/>
      </c>
      <c r="D196" s="50"/>
      <c r="E196" s="208"/>
      <c r="F196" s="209"/>
      <c r="G196" s="51"/>
    </row>
    <row r="197" spans="1:7" s="52" customFormat="1" x14ac:dyDescent="0.3">
      <c r="A197" s="53"/>
      <c r="B197" s="54"/>
      <c r="C197" s="154" t="str">
        <f t="shared" ref="C197:C203" si="16" xml:space="preserve"> IF(B197="","",setValueToTime(B197))</f>
        <v/>
      </c>
      <c r="D197" s="55"/>
      <c r="E197" s="202"/>
      <c r="F197" s="203"/>
      <c r="G197" s="51"/>
    </row>
    <row r="198" spans="1:7" s="52" customFormat="1" x14ac:dyDescent="0.3">
      <c r="A198" s="53"/>
      <c r="B198" s="54"/>
      <c r="C198" s="154" t="str">
        <f t="shared" si="16"/>
        <v/>
      </c>
      <c r="D198" s="55"/>
      <c r="E198" s="202"/>
      <c r="F198" s="203"/>
      <c r="G198" s="51"/>
    </row>
    <row r="199" spans="1:7" s="52" customFormat="1" x14ac:dyDescent="0.3">
      <c r="A199" s="53"/>
      <c r="B199" s="54"/>
      <c r="C199" s="154" t="str">
        <f t="shared" si="16"/>
        <v/>
      </c>
      <c r="D199" s="55"/>
      <c r="E199" s="202"/>
      <c r="F199" s="203"/>
      <c r="G199" s="51"/>
    </row>
    <row r="200" spans="1:7" s="52" customFormat="1" x14ac:dyDescent="0.3">
      <c r="A200" s="54"/>
      <c r="B200" s="54"/>
      <c r="C200" s="155" t="str">
        <f t="shared" si="16"/>
        <v/>
      </c>
      <c r="D200" s="55"/>
      <c r="E200" s="202"/>
      <c r="F200" s="203"/>
      <c r="G200" s="51"/>
    </row>
    <row r="201" spans="1:7" s="52" customFormat="1" x14ac:dyDescent="0.3">
      <c r="A201" s="54"/>
      <c r="B201" s="54"/>
      <c r="C201" s="155" t="str">
        <f t="shared" si="16"/>
        <v/>
      </c>
      <c r="D201" s="55"/>
      <c r="E201" s="202"/>
      <c r="F201" s="203"/>
      <c r="G201" s="51"/>
    </row>
    <row r="202" spans="1:7" s="52" customFormat="1" x14ac:dyDescent="0.3">
      <c r="A202" s="54"/>
      <c r="B202" s="54"/>
      <c r="C202" s="155" t="str">
        <f t="shared" si="16"/>
        <v/>
      </c>
      <c r="D202" s="55"/>
      <c r="E202" s="202"/>
      <c r="F202" s="203"/>
      <c r="G202" s="51"/>
    </row>
    <row r="203" spans="1:7" s="52" customFormat="1" ht="15" thickBot="1" x14ac:dyDescent="0.35">
      <c r="A203" s="56"/>
      <c r="B203" s="56"/>
      <c r="C203" s="156" t="str">
        <f t="shared" si="16"/>
        <v/>
      </c>
      <c r="D203" s="57"/>
      <c r="E203" s="204"/>
      <c r="F203" s="205"/>
      <c r="G203" s="51"/>
    </row>
    <row r="204" spans="1:7" s="52" customFormat="1" ht="15" thickBot="1" x14ac:dyDescent="0.35">
      <c r="A204" s="111" t="s">
        <v>31</v>
      </c>
      <c r="B204" s="84">
        <f>SUM(B196:B203)</f>
        <v>0</v>
      </c>
      <c r="C204" s="111" t="str">
        <f xml:space="preserve"> setValueToTime(B204)</f>
        <v>0h</v>
      </c>
      <c r="D204" s="120"/>
      <c r="E204" s="206"/>
      <c r="F204" s="207"/>
      <c r="G204" s="51"/>
    </row>
    <row r="205" spans="1:7" s="59" customFormat="1" ht="15" thickBot="1" x14ac:dyDescent="0.35">
      <c r="A205" s="79"/>
      <c r="B205" s="79"/>
      <c r="C205" s="79"/>
      <c r="D205" s="79"/>
      <c r="E205" s="79"/>
      <c r="F205" s="79"/>
      <c r="G205" s="58"/>
    </row>
    <row r="206" spans="1:7" s="47" customFormat="1" ht="30" customHeight="1" thickBot="1" x14ac:dyDescent="0.3">
      <c r="A206" s="81" t="s">
        <v>14</v>
      </c>
      <c r="B206" s="164">
        <v>17</v>
      </c>
      <c r="C206" s="164"/>
      <c r="D206" s="81" t="s">
        <v>54</v>
      </c>
      <c r="E206" s="94">
        <v>44335</v>
      </c>
      <c r="F206" s="126" t="s">
        <v>46</v>
      </c>
      <c r="G206" s="46"/>
    </row>
    <row r="207" spans="1:7" s="47" customFormat="1" ht="30" customHeight="1" thickBot="1" x14ac:dyDescent="0.3">
      <c r="A207" s="80" t="s">
        <v>5</v>
      </c>
      <c r="B207" s="151" t="s">
        <v>44</v>
      </c>
      <c r="C207" s="152"/>
      <c r="D207" s="80" t="s">
        <v>15</v>
      </c>
      <c r="E207" s="200" t="s">
        <v>16</v>
      </c>
      <c r="F207" s="201"/>
      <c r="G207" s="46"/>
    </row>
    <row r="208" spans="1:7" s="52" customFormat="1" x14ac:dyDescent="0.3">
      <c r="A208" s="48"/>
      <c r="B208" s="49"/>
      <c r="C208" s="153" t="str">
        <f xml:space="preserve"> IF(B208="","",setValueToTime(B208))</f>
        <v/>
      </c>
      <c r="D208" s="50"/>
      <c r="E208" s="208"/>
      <c r="F208" s="209"/>
      <c r="G208" s="51"/>
    </row>
    <row r="209" spans="1:7" s="52" customFormat="1" x14ac:dyDescent="0.3">
      <c r="A209" s="53"/>
      <c r="B209" s="54"/>
      <c r="C209" s="154" t="str">
        <f t="shared" ref="C209:C215" si="17" xml:space="preserve"> IF(B209="","",setValueToTime(B209))</f>
        <v/>
      </c>
      <c r="D209" s="55"/>
      <c r="E209" s="202"/>
      <c r="F209" s="203"/>
      <c r="G209" s="51"/>
    </row>
    <row r="210" spans="1:7" s="52" customFormat="1" x14ac:dyDescent="0.3">
      <c r="A210" s="53"/>
      <c r="B210" s="54"/>
      <c r="C210" s="154" t="str">
        <f t="shared" si="17"/>
        <v/>
      </c>
      <c r="D210" s="55"/>
      <c r="E210" s="202"/>
      <c r="F210" s="203"/>
      <c r="G210" s="51"/>
    </row>
    <row r="211" spans="1:7" s="52" customFormat="1" x14ac:dyDescent="0.3">
      <c r="A211" s="53"/>
      <c r="B211" s="54"/>
      <c r="C211" s="154" t="str">
        <f t="shared" si="17"/>
        <v/>
      </c>
      <c r="D211" s="55"/>
      <c r="E211" s="202"/>
      <c r="F211" s="203"/>
      <c r="G211" s="51"/>
    </row>
    <row r="212" spans="1:7" s="52" customFormat="1" x14ac:dyDescent="0.3">
      <c r="A212" s="54"/>
      <c r="B212" s="54"/>
      <c r="C212" s="155" t="str">
        <f t="shared" si="17"/>
        <v/>
      </c>
      <c r="D212" s="55"/>
      <c r="E212" s="202"/>
      <c r="F212" s="203"/>
      <c r="G212" s="51"/>
    </row>
    <row r="213" spans="1:7" s="52" customFormat="1" x14ac:dyDescent="0.3">
      <c r="A213" s="54"/>
      <c r="B213" s="54"/>
      <c r="C213" s="155" t="str">
        <f t="shared" si="17"/>
        <v/>
      </c>
      <c r="D213" s="55"/>
      <c r="E213" s="202"/>
      <c r="F213" s="203"/>
      <c r="G213" s="51"/>
    </row>
    <row r="214" spans="1:7" s="52" customFormat="1" x14ac:dyDescent="0.3">
      <c r="A214" s="54"/>
      <c r="B214" s="54"/>
      <c r="C214" s="155" t="str">
        <f t="shared" si="17"/>
        <v/>
      </c>
      <c r="D214" s="55"/>
      <c r="E214" s="202"/>
      <c r="F214" s="203"/>
      <c r="G214" s="51"/>
    </row>
    <row r="215" spans="1:7" s="52" customFormat="1" ht="15" thickBot="1" x14ac:dyDescent="0.35">
      <c r="A215" s="56"/>
      <c r="B215" s="56"/>
      <c r="C215" s="156" t="str">
        <f t="shared" si="17"/>
        <v/>
      </c>
      <c r="D215" s="57"/>
      <c r="E215" s="204"/>
      <c r="F215" s="205"/>
      <c r="G215" s="51"/>
    </row>
    <row r="216" spans="1:7" s="52" customFormat="1" ht="15" thickBot="1" x14ac:dyDescent="0.35">
      <c r="A216" s="111" t="s">
        <v>31</v>
      </c>
      <c r="B216" s="84">
        <f>SUM(B208:B215)</f>
        <v>0</v>
      </c>
      <c r="C216" s="111" t="str">
        <f xml:space="preserve"> setValueToTime(B216)</f>
        <v>0h</v>
      </c>
      <c r="D216" s="120"/>
      <c r="E216" s="206"/>
      <c r="F216" s="207"/>
      <c r="G216" s="51"/>
    </row>
    <row r="217" spans="1:7" s="59" customFormat="1" ht="15" thickBot="1" x14ac:dyDescent="0.35">
      <c r="A217" s="79"/>
      <c r="B217" s="79"/>
      <c r="C217" s="79"/>
      <c r="D217" s="79"/>
      <c r="E217" s="79"/>
      <c r="F217" s="79"/>
      <c r="G217" s="58"/>
    </row>
    <row r="218" spans="1:7" s="47" customFormat="1" ht="30" customHeight="1" thickBot="1" x14ac:dyDescent="0.3">
      <c r="A218" s="81" t="s">
        <v>14</v>
      </c>
      <c r="B218" s="164">
        <v>16</v>
      </c>
      <c r="C218" s="164"/>
      <c r="D218" s="81" t="s">
        <v>54</v>
      </c>
      <c r="E218" s="94">
        <v>44335</v>
      </c>
      <c r="F218" s="126" t="s">
        <v>47</v>
      </c>
      <c r="G218" s="46"/>
    </row>
    <row r="219" spans="1:7" s="47" customFormat="1" ht="30" customHeight="1" thickBot="1" x14ac:dyDescent="0.3">
      <c r="A219" s="80" t="s">
        <v>5</v>
      </c>
      <c r="B219" s="151" t="s">
        <v>44</v>
      </c>
      <c r="C219" s="152"/>
      <c r="D219" s="80" t="s">
        <v>15</v>
      </c>
      <c r="E219" s="200" t="s">
        <v>16</v>
      </c>
      <c r="F219" s="201"/>
      <c r="G219" s="46"/>
    </row>
    <row r="220" spans="1:7" s="52" customFormat="1" x14ac:dyDescent="0.3">
      <c r="A220" s="48"/>
      <c r="B220" s="49"/>
      <c r="C220" s="153" t="str">
        <f xml:space="preserve"> IF(B220="","",setValueToTime(B220))</f>
        <v/>
      </c>
      <c r="D220" s="50"/>
      <c r="E220" s="208"/>
      <c r="F220" s="209"/>
      <c r="G220" s="51"/>
    </row>
    <row r="221" spans="1:7" s="52" customFormat="1" x14ac:dyDescent="0.3">
      <c r="A221" s="53"/>
      <c r="B221" s="54"/>
      <c r="C221" s="154" t="str">
        <f t="shared" ref="C221:C227" si="18" xml:space="preserve"> IF(B221="","",setValueToTime(B221))</f>
        <v/>
      </c>
      <c r="D221" s="55"/>
      <c r="E221" s="202"/>
      <c r="F221" s="203"/>
      <c r="G221" s="51"/>
    </row>
    <row r="222" spans="1:7" s="52" customFormat="1" x14ac:dyDescent="0.3">
      <c r="A222" s="53"/>
      <c r="B222" s="54"/>
      <c r="C222" s="154" t="str">
        <f t="shared" si="18"/>
        <v/>
      </c>
      <c r="D222" s="55"/>
      <c r="E222" s="202"/>
      <c r="F222" s="203"/>
      <c r="G222" s="51"/>
    </row>
    <row r="223" spans="1:7" s="52" customFormat="1" x14ac:dyDescent="0.3">
      <c r="A223" s="53"/>
      <c r="B223" s="54"/>
      <c r="C223" s="154" t="str">
        <f t="shared" si="18"/>
        <v/>
      </c>
      <c r="D223" s="55"/>
      <c r="E223" s="202"/>
      <c r="F223" s="203"/>
      <c r="G223" s="51"/>
    </row>
    <row r="224" spans="1:7" s="52" customFormat="1" x14ac:dyDescent="0.3">
      <c r="A224" s="54"/>
      <c r="B224" s="54"/>
      <c r="C224" s="155" t="str">
        <f t="shared" si="18"/>
        <v/>
      </c>
      <c r="D224" s="55"/>
      <c r="E224" s="202"/>
      <c r="F224" s="203"/>
      <c r="G224" s="51"/>
    </row>
    <row r="225" spans="1:7" s="52" customFormat="1" x14ac:dyDescent="0.3">
      <c r="A225" s="54"/>
      <c r="B225" s="54"/>
      <c r="C225" s="155" t="str">
        <f t="shared" si="18"/>
        <v/>
      </c>
      <c r="D225" s="55"/>
      <c r="E225" s="202"/>
      <c r="F225" s="203"/>
      <c r="G225" s="51"/>
    </row>
    <row r="226" spans="1:7" s="52" customFormat="1" x14ac:dyDescent="0.3">
      <c r="A226" s="54"/>
      <c r="B226" s="54"/>
      <c r="C226" s="155" t="str">
        <f t="shared" si="18"/>
        <v/>
      </c>
      <c r="D226" s="55"/>
      <c r="E226" s="202"/>
      <c r="F226" s="203"/>
      <c r="G226" s="51"/>
    </row>
    <row r="227" spans="1:7" s="52" customFormat="1" ht="15" thickBot="1" x14ac:dyDescent="0.35">
      <c r="A227" s="56"/>
      <c r="B227" s="56"/>
      <c r="C227" s="156" t="str">
        <f t="shared" si="18"/>
        <v/>
      </c>
      <c r="D227" s="57"/>
      <c r="E227" s="204"/>
      <c r="F227" s="205"/>
      <c r="G227" s="51"/>
    </row>
    <row r="228" spans="1:7" s="52" customFormat="1" ht="15" thickBot="1" x14ac:dyDescent="0.35">
      <c r="A228" s="111" t="s">
        <v>31</v>
      </c>
      <c r="B228" s="84">
        <f>SUM(B220:B227)</f>
        <v>0</v>
      </c>
      <c r="C228" s="111" t="str">
        <f xml:space="preserve"> setValueToTime(B228)</f>
        <v>0h</v>
      </c>
      <c r="D228" s="120"/>
      <c r="E228" s="206"/>
      <c r="F228" s="207"/>
      <c r="G228" s="51"/>
    </row>
    <row r="229" spans="1:7" s="59" customFormat="1" ht="15" thickBot="1" x14ac:dyDescent="0.35">
      <c r="A229" s="79"/>
      <c r="B229" s="79"/>
      <c r="C229" s="79"/>
      <c r="D229" s="79"/>
      <c r="E229" s="79"/>
      <c r="F229" s="79"/>
      <c r="G229" s="58"/>
    </row>
    <row r="230" spans="1:7" s="47" customFormat="1" ht="30" customHeight="1" thickBot="1" x14ac:dyDescent="0.3">
      <c r="A230" s="81" t="s">
        <v>14</v>
      </c>
      <c r="B230" s="164">
        <v>15</v>
      </c>
      <c r="C230" s="164"/>
      <c r="D230" s="81" t="s">
        <v>54</v>
      </c>
      <c r="E230" s="94">
        <v>44333</v>
      </c>
      <c r="F230" s="126" t="s">
        <v>47</v>
      </c>
      <c r="G230" s="46"/>
    </row>
    <row r="231" spans="1:7" s="47" customFormat="1" ht="30" customHeight="1" thickBot="1" x14ac:dyDescent="0.3">
      <c r="A231" s="80" t="s">
        <v>5</v>
      </c>
      <c r="B231" s="151" t="s">
        <v>44</v>
      </c>
      <c r="C231" s="152"/>
      <c r="D231" s="80" t="s">
        <v>15</v>
      </c>
      <c r="E231" s="200" t="s">
        <v>16</v>
      </c>
      <c r="F231" s="201"/>
      <c r="G231" s="46"/>
    </row>
    <row r="232" spans="1:7" s="52" customFormat="1" x14ac:dyDescent="0.3">
      <c r="A232" s="48"/>
      <c r="B232" s="49"/>
      <c r="C232" s="153" t="str">
        <f xml:space="preserve"> IF(B232="","",setValueToTime(B232))</f>
        <v/>
      </c>
      <c r="D232" s="50"/>
      <c r="E232" s="208"/>
      <c r="F232" s="209"/>
      <c r="G232" s="51"/>
    </row>
    <row r="233" spans="1:7" s="52" customFormat="1" x14ac:dyDescent="0.3">
      <c r="A233" s="53"/>
      <c r="B233" s="54"/>
      <c r="C233" s="154" t="str">
        <f t="shared" ref="C233:C239" si="19" xml:space="preserve"> IF(B233="","",setValueToTime(B233))</f>
        <v/>
      </c>
      <c r="D233" s="55"/>
      <c r="E233" s="202"/>
      <c r="F233" s="203"/>
      <c r="G233" s="51"/>
    </row>
    <row r="234" spans="1:7" s="52" customFormat="1" x14ac:dyDescent="0.3">
      <c r="A234" s="53"/>
      <c r="B234" s="54"/>
      <c r="C234" s="154" t="str">
        <f t="shared" si="19"/>
        <v/>
      </c>
      <c r="D234" s="55"/>
      <c r="E234" s="202"/>
      <c r="F234" s="203"/>
      <c r="G234" s="51"/>
    </row>
    <row r="235" spans="1:7" s="52" customFormat="1" x14ac:dyDescent="0.3">
      <c r="A235" s="53"/>
      <c r="B235" s="54"/>
      <c r="C235" s="154" t="str">
        <f t="shared" si="19"/>
        <v/>
      </c>
      <c r="D235" s="55"/>
      <c r="E235" s="202"/>
      <c r="F235" s="203"/>
      <c r="G235" s="51"/>
    </row>
    <row r="236" spans="1:7" s="52" customFormat="1" x14ac:dyDescent="0.3">
      <c r="A236" s="54"/>
      <c r="B236" s="54"/>
      <c r="C236" s="155" t="str">
        <f t="shared" si="19"/>
        <v/>
      </c>
      <c r="D236" s="55"/>
      <c r="E236" s="202"/>
      <c r="F236" s="203"/>
      <c r="G236" s="51"/>
    </row>
    <row r="237" spans="1:7" s="52" customFormat="1" x14ac:dyDescent="0.3">
      <c r="A237" s="54"/>
      <c r="B237" s="54"/>
      <c r="C237" s="155" t="str">
        <f t="shared" si="19"/>
        <v/>
      </c>
      <c r="D237" s="55"/>
      <c r="E237" s="202"/>
      <c r="F237" s="203"/>
      <c r="G237" s="51"/>
    </row>
    <row r="238" spans="1:7" s="52" customFormat="1" x14ac:dyDescent="0.3">
      <c r="A238" s="54"/>
      <c r="B238" s="54"/>
      <c r="C238" s="155" t="str">
        <f t="shared" si="19"/>
        <v/>
      </c>
      <c r="D238" s="55"/>
      <c r="E238" s="202"/>
      <c r="F238" s="203"/>
      <c r="G238" s="51"/>
    </row>
    <row r="239" spans="1:7" s="52" customFormat="1" ht="15" thickBot="1" x14ac:dyDescent="0.35">
      <c r="A239" s="56"/>
      <c r="B239" s="56"/>
      <c r="C239" s="156" t="str">
        <f t="shared" si="19"/>
        <v/>
      </c>
      <c r="D239" s="57"/>
      <c r="E239" s="204"/>
      <c r="F239" s="205"/>
      <c r="G239" s="51"/>
    </row>
    <row r="240" spans="1:7" s="52" customFormat="1" ht="15" thickBot="1" x14ac:dyDescent="0.35">
      <c r="A240" s="111" t="s">
        <v>31</v>
      </c>
      <c r="B240" s="84">
        <f>SUM(B232:B239)</f>
        <v>0</v>
      </c>
      <c r="C240" s="111" t="str">
        <f xml:space="preserve"> setValueToTime(B240)</f>
        <v>0h</v>
      </c>
      <c r="D240" s="120"/>
      <c r="E240" s="206"/>
      <c r="F240" s="207"/>
      <c r="G240" s="51"/>
    </row>
    <row r="241" spans="1:7" s="59" customFormat="1" ht="15" thickBot="1" x14ac:dyDescent="0.35">
      <c r="A241" s="79"/>
      <c r="B241" s="79"/>
      <c r="C241" s="79"/>
      <c r="D241" s="79"/>
      <c r="E241" s="79"/>
      <c r="F241" s="79"/>
      <c r="G241" s="58"/>
    </row>
    <row r="242" spans="1:7" s="47" customFormat="1" ht="30" customHeight="1" thickBot="1" x14ac:dyDescent="0.3">
      <c r="A242" s="81" t="s">
        <v>14</v>
      </c>
      <c r="B242" s="164">
        <v>14</v>
      </c>
      <c r="C242" s="164"/>
      <c r="D242" s="81" t="s">
        <v>53</v>
      </c>
      <c r="E242" s="94">
        <v>44330</v>
      </c>
      <c r="F242" s="126" t="s">
        <v>46</v>
      </c>
      <c r="G242" s="46"/>
    </row>
    <row r="243" spans="1:7" s="47" customFormat="1" ht="30" customHeight="1" thickBot="1" x14ac:dyDescent="0.3">
      <c r="A243" s="80" t="s">
        <v>5</v>
      </c>
      <c r="B243" s="151" t="s">
        <v>44</v>
      </c>
      <c r="C243" s="152"/>
      <c r="D243" s="80" t="s">
        <v>15</v>
      </c>
      <c r="E243" s="200" t="s">
        <v>16</v>
      </c>
      <c r="F243" s="201"/>
      <c r="G243" s="46"/>
    </row>
    <row r="244" spans="1:7" s="52" customFormat="1" x14ac:dyDescent="0.3">
      <c r="A244" s="48"/>
      <c r="B244" s="49"/>
      <c r="C244" s="153" t="str">
        <f xml:space="preserve"> IF(B244="","",setValueToTime(B244))</f>
        <v/>
      </c>
      <c r="D244" s="50"/>
      <c r="E244" s="208"/>
      <c r="F244" s="209"/>
      <c r="G244" s="51"/>
    </row>
    <row r="245" spans="1:7" s="52" customFormat="1" x14ac:dyDescent="0.3">
      <c r="A245" s="53"/>
      <c r="B245" s="54"/>
      <c r="C245" s="154" t="str">
        <f t="shared" ref="C245:C251" si="20" xml:space="preserve"> IF(B245="","",setValueToTime(B245))</f>
        <v/>
      </c>
      <c r="D245" s="55"/>
      <c r="E245" s="202"/>
      <c r="F245" s="203"/>
      <c r="G245" s="51"/>
    </row>
    <row r="246" spans="1:7" s="52" customFormat="1" x14ac:dyDescent="0.3">
      <c r="A246" s="53"/>
      <c r="B246" s="54"/>
      <c r="C246" s="154" t="str">
        <f t="shared" si="20"/>
        <v/>
      </c>
      <c r="D246" s="55"/>
      <c r="E246" s="202"/>
      <c r="F246" s="203"/>
      <c r="G246" s="51"/>
    </row>
    <row r="247" spans="1:7" s="52" customFormat="1" x14ac:dyDescent="0.3">
      <c r="A247" s="53"/>
      <c r="B247" s="54"/>
      <c r="C247" s="154" t="str">
        <f t="shared" si="20"/>
        <v/>
      </c>
      <c r="D247" s="55"/>
      <c r="E247" s="202"/>
      <c r="F247" s="203"/>
      <c r="G247" s="51"/>
    </row>
    <row r="248" spans="1:7" s="52" customFormat="1" x14ac:dyDescent="0.3">
      <c r="A248" s="54"/>
      <c r="B248" s="54"/>
      <c r="C248" s="155" t="str">
        <f t="shared" si="20"/>
        <v/>
      </c>
      <c r="D248" s="55"/>
      <c r="E248" s="202"/>
      <c r="F248" s="203"/>
      <c r="G248" s="51"/>
    </row>
    <row r="249" spans="1:7" s="52" customFormat="1" x14ac:dyDescent="0.3">
      <c r="A249" s="54"/>
      <c r="B249" s="54"/>
      <c r="C249" s="155" t="str">
        <f t="shared" si="20"/>
        <v/>
      </c>
      <c r="D249" s="55"/>
      <c r="E249" s="202"/>
      <c r="F249" s="203"/>
      <c r="G249" s="51"/>
    </row>
    <row r="250" spans="1:7" s="52" customFormat="1" x14ac:dyDescent="0.3">
      <c r="A250" s="54"/>
      <c r="B250" s="54"/>
      <c r="C250" s="155" t="str">
        <f t="shared" si="20"/>
        <v/>
      </c>
      <c r="D250" s="55"/>
      <c r="E250" s="202"/>
      <c r="F250" s="203"/>
      <c r="G250" s="51"/>
    </row>
    <row r="251" spans="1:7" s="52" customFormat="1" ht="15" thickBot="1" x14ac:dyDescent="0.35">
      <c r="A251" s="56"/>
      <c r="B251" s="56"/>
      <c r="C251" s="156" t="str">
        <f t="shared" si="20"/>
        <v/>
      </c>
      <c r="D251" s="57"/>
      <c r="E251" s="204"/>
      <c r="F251" s="205"/>
      <c r="G251" s="51"/>
    </row>
    <row r="252" spans="1:7" s="52" customFormat="1" ht="15" thickBot="1" x14ac:dyDescent="0.35">
      <c r="A252" s="111" t="s">
        <v>31</v>
      </c>
      <c r="B252" s="84">
        <f>SUM(B244:B251)</f>
        <v>0</v>
      </c>
      <c r="C252" s="111" t="str">
        <f xml:space="preserve"> setValueToTime(B252)</f>
        <v>0h</v>
      </c>
      <c r="D252" s="120"/>
      <c r="E252" s="206"/>
      <c r="F252" s="207"/>
      <c r="G252" s="51"/>
    </row>
    <row r="253" spans="1:7" s="59" customFormat="1" ht="15" thickBot="1" x14ac:dyDescent="0.35">
      <c r="A253" s="79"/>
      <c r="B253" s="79"/>
      <c r="C253" s="79"/>
      <c r="D253" s="79"/>
      <c r="E253" s="79"/>
      <c r="F253" s="79"/>
      <c r="G253" s="58"/>
    </row>
    <row r="254" spans="1:7" s="47" customFormat="1" ht="30" customHeight="1" thickBot="1" x14ac:dyDescent="0.3">
      <c r="A254" s="81" t="s">
        <v>14</v>
      </c>
      <c r="B254" s="164">
        <v>13</v>
      </c>
      <c r="C254" s="164"/>
      <c r="D254" s="81" t="s">
        <v>53</v>
      </c>
      <c r="E254" s="94">
        <v>44330</v>
      </c>
      <c r="F254" s="126" t="s">
        <v>47</v>
      </c>
      <c r="G254" s="46"/>
    </row>
    <row r="255" spans="1:7" s="47" customFormat="1" ht="30" customHeight="1" thickBot="1" x14ac:dyDescent="0.3">
      <c r="A255" s="80" t="s">
        <v>5</v>
      </c>
      <c r="B255" s="151" t="s">
        <v>44</v>
      </c>
      <c r="C255" s="152"/>
      <c r="D255" s="80" t="s">
        <v>15</v>
      </c>
      <c r="E255" s="200" t="s">
        <v>16</v>
      </c>
      <c r="F255" s="201"/>
      <c r="G255" s="46"/>
    </row>
    <row r="256" spans="1:7" s="52" customFormat="1" x14ac:dyDescent="0.3">
      <c r="A256" s="48"/>
      <c r="B256" s="49"/>
      <c r="C256" s="153" t="str">
        <f xml:space="preserve"> IF(B256="","",setValueToTime(B256))</f>
        <v/>
      </c>
      <c r="D256" s="50"/>
      <c r="E256" s="208"/>
      <c r="F256" s="209"/>
      <c r="G256" s="51"/>
    </row>
    <row r="257" spans="1:7" s="52" customFormat="1" x14ac:dyDescent="0.3">
      <c r="A257" s="53"/>
      <c r="B257" s="54"/>
      <c r="C257" s="154" t="str">
        <f t="shared" ref="C257:C263" si="21" xml:space="preserve"> IF(B257="","",setValueToTime(B257))</f>
        <v/>
      </c>
      <c r="D257" s="55"/>
      <c r="E257" s="202"/>
      <c r="F257" s="203"/>
      <c r="G257" s="51"/>
    </row>
    <row r="258" spans="1:7" s="52" customFormat="1" x14ac:dyDescent="0.3">
      <c r="A258" s="53"/>
      <c r="B258" s="54"/>
      <c r="C258" s="154" t="str">
        <f t="shared" si="21"/>
        <v/>
      </c>
      <c r="D258" s="55"/>
      <c r="E258" s="202"/>
      <c r="F258" s="203"/>
      <c r="G258" s="51"/>
    </row>
    <row r="259" spans="1:7" s="52" customFormat="1" x14ac:dyDescent="0.3">
      <c r="A259" s="53"/>
      <c r="B259" s="54"/>
      <c r="C259" s="154" t="str">
        <f t="shared" si="21"/>
        <v/>
      </c>
      <c r="D259" s="55"/>
      <c r="E259" s="202"/>
      <c r="F259" s="203"/>
      <c r="G259" s="51"/>
    </row>
    <row r="260" spans="1:7" s="52" customFormat="1" x14ac:dyDescent="0.3">
      <c r="A260" s="54"/>
      <c r="B260" s="54"/>
      <c r="C260" s="155" t="str">
        <f t="shared" si="21"/>
        <v/>
      </c>
      <c r="D260" s="55"/>
      <c r="E260" s="202"/>
      <c r="F260" s="203"/>
      <c r="G260" s="51"/>
    </row>
    <row r="261" spans="1:7" s="52" customFormat="1" x14ac:dyDescent="0.3">
      <c r="A261" s="54"/>
      <c r="B261" s="54"/>
      <c r="C261" s="155" t="str">
        <f t="shared" si="21"/>
        <v/>
      </c>
      <c r="D261" s="55"/>
      <c r="E261" s="202"/>
      <c r="F261" s="203"/>
      <c r="G261" s="51"/>
    </row>
    <row r="262" spans="1:7" s="52" customFormat="1" x14ac:dyDescent="0.3">
      <c r="A262" s="54"/>
      <c r="B262" s="54"/>
      <c r="C262" s="155" t="str">
        <f t="shared" si="21"/>
        <v/>
      </c>
      <c r="D262" s="55"/>
      <c r="E262" s="202"/>
      <c r="F262" s="203"/>
      <c r="G262" s="51"/>
    </row>
    <row r="263" spans="1:7" s="52" customFormat="1" ht="15" thickBot="1" x14ac:dyDescent="0.35">
      <c r="A263" s="56"/>
      <c r="B263" s="56"/>
      <c r="C263" s="156" t="str">
        <f t="shared" si="21"/>
        <v/>
      </c>
      <c r="D263" s="57"/>
      <c r="E263" s="204"/>
      <c r="F263" s="205"/>
      <c r="G263" s="51"/>
    </row>
    <row r="264" spans="1:7" s="52" customFormat="1" ht="15" thickBot="1" x14ac:dyDescent="0.35">
      <c r="A264" s="111" t="s">
        <v>31</v>
      </c>
      <c r="B264" s="84">
        <f>SUM(B256:B263)</f>
        <v>0</v>
      </c>
      <c r="C264" s="111" t="str">
        <f xml:space="preserve"> setValueToTime(B264)</f>
        <v>0h</v>
      </c>
      <c r="D264" s="120"/>
      <c r="E264" s="206"/>
      <c r="F264" s="207"/>
      <c r="G264" s="51"/>
    </row>
    <row r="265" spans="1:7" s="59" customFormat="1" ht="15" thickBot="1" x14ac:dyDescent="0.35">
      <c r="A265" s="79"/>
      <c r="B265" s="79"/>
      <c r="C265" s="79"/>
      <c r="D265" s="79"/>
      <c r="E265" s="79"/>
      <c r="F265" s="79"/>
      <c r="G265" s="58"/>
    </row>
    <row r="266" spans="1:7" s="47" customFormat="1" ht="30" customHeight="1" thickBot="1" x14ac:dyDescent="0.3">
      <c r="A266" s="81" t="s">
        <v>14</v>
      </c>
      <c r="B266" s="164">
        <v>12</v>
      </c>
      <c r="C266" s="164"/>
      <c r="D266" s="81" t="s">
        <v>53</v>
      </c>
      <c r="E266" s="94">
        <v>44329</v>
      </c>
      <c r="F266" s="126" t="s">
        <v>46</v>
      </c>
      <c r="G266" s="46"/>
    </row>
    <row r="267" spans="1:7" s="47" customFormat="1" ht="30" customHeight="1" thickBot="1" x14ac:dyDescent="0.3">
      <c r="A267" s="80" t="s">
        <v>5</v>
      </c>
      <c r="B267" s="151" t="s">
        <v>44</v>
      </c>
      <c r="C267" s="152"/>
      <c r="D267" s="80" t="s">
        <v>15</v>
      </c>
      <c r="E267" s="200" t="s">
        <v>16</v>
      </c>
      <c r="F267" s="201"/>
      <c r="G267" s="46"/>
    </row>
    <row r="268" spans="1:7" s="52" customFormat="1" x14ac:dyDescent="0.3">
      <c r="A268" s="48"/>
      <c r="B268" s="49"/>
      <c r="C268" s="153" t="str">
        <f xml:space="preserve"> IF(B268="","",setValueToTime(B268))</f>
        <v/>
      </c>
      <c r="D268" s="50"/>
      <c r="E268" s="208"/>
      <c r="F268" s="209"/>
      <c r="G268" s="51"/>
    </row>
    <row r="269" spans="1:7" s="52" customFormat="1" x14ac:dyDescent="0.3">
      <c r="A269" s="53"/>
      <c r="B269" s="54"/>
      <c r="C269" s="154" t="str">
        <f t="shared" ref="C269:C275" si="22" xml:space="preserve"> IF(B269="","",setValueToTime(B269))</f>
        <v/>
      </c>
      <c r="D269" s="55"/>
      <c r="E269" s="202"/>
      <c r="F269" s="203"/>
      <c r="G269" s="51"/>
    </row>
    <row r="270" spans="1:7" s="52" customFormat="1" x14ac:dyDescent="0.3">
      <c r="A270" s="53"/>
      <c r="B270" s="54"/>
      <c r="C270" s="154" t="str">
        <f t="shared" si="22"/>
        <v/>
      </c>
      <c r="D270" s="55"/>
      <c r="E270" s="202"/>
      <c r="F270" s="203"/>
      <c r="G270" s="51"/>
    </row>
    <row r="271" spans="1:7" s="52" customFormat="1" x14ac:dyDescent="0.3">
      <c r="A271" s="53"/>
      <c r="B271" s="54"/>
      <c r="C271" s="154" t="str">
        <f t="shared" si="22"/>
        <v/>
      </c>
      <c r="D271" s="55"/>
      <c r="E271" s="202"/>
      <c r="F271" s="203"/>
      <c r="G271" s="51"/>
    </row>
    <row r="272" spans="1:7" s="52" customFormat="1" x14ac:dyDescent="0.3">
      <c r="A272" s="54"/>
      <c r="B272" s="54"/>
      <c r="C272" s="155" t="str">
        <f t="shared" si="22"/>
        <v/>
      </c>
      <c r="D272" s="55"/>
      <c r="E272" s="202"/>
      <c r="F272" s="203"/>
      <c r="G272" s="51"/>
    </row>
    <row r="273" spans="1:7" s="52" customFormat="1" x14ac:dyDescent="0.3">
      <c r="A273" s="54"/>
      <c r="B273" s="54"/>
      <c r="C273" s="155" t="str">
        <f t="shared" si="22"/>
        <v/>
      </c>
      <c r="D273" s="55"/>
      <c r="E273" s="202"/>
      <c r="F273" s="203"/>
      <c r="G273" s="51"/>
    </row>
    <row r="274" spans="1:7" s="52" customFormat="1" x14ac:dyDescent="0.3">
      <c r="A274" s="54"/>
      <c r="B274" s="54"/>
      <c r="C274" s="155" t="str">
        <f t="shared" si="22"/>
        <v/>
      </c>
      <c r="D274" s="55"/>
      <c r="E274" s="202"/>
      <c r="F274" s="203"/>
      <c r="G274" s="51"/>
    </row>
    <row r="275" spans="1:7" s="52" customFormat="1" ht="15" thickBot="1" x14ac:dyDescent="0.35">
      <c r="A275" s="56"/>
      <c r="B275" s="56"/>
      <c r="C275" s="156" t="str">
        <f t="shared" si="22"/>
        <v/>
      </c>
      <c r="D275" s="57"/>
      <c r="E275" s="204"/>
      <c r="F275" s="205"/>
      <c r="G275" s="51"/>
    </row>
    <row r="276" spans="1:7" s="52" customFormat="1" ht="15" thickBot="1" x14ac:dyDescent="0.35">
      <c r="A276" s="111" t="s">
        <v>31</v>
      </c>
      <c r="B276" s="84">
        <f>SUM(B268:B275)</f>
        <v>0</v>
      </c>
      <c r="C276" s="111" t="str">
        <f xml:space="preserve"> setValueToTime(B276)</f>
        <v>0h</v>
      </c>
      <c r="D276" s="120"/>
      <c r="E276" s="206"/>
      <c r="F276" s="207"/>
      <c r="G276" s="51"/>
    </row>
    <row r="277" spans="1:7" s="59" customFormat="1" ht="15" thickBot="1" x14ac:dyDescent="0.35">
      <c r="A277" s="79"/>
      <c r="B277" s="79"/>
      <c r="C277" s="79"/>
      <c r="D277" s="79"/>
      <c r="E277" s="79"/>
      <c r="F277" s="79"/>
      <c r="G277" s="58"/>
    </row>
    <row r="278" spans="1:7" s="47" customFormat="1" ht="30" customHeight="1" thickBot="1" x14ac:dyDescent="0.3">
      <c r="A278" s="81" t="s">
        <v>14</v>
      </c>
      <c r="B278" s="164">
        <v>11</v>
      </c>
      <c r="C278" s="164"/>
      <c r="D278" s="81" t="s">
        <v>53</v>
      </c>
      <c r="E278" s="94">
        <v>44329</v>
      </c>
      <c r="F278" s="126" t="s">
        <v>47</v>
      </c>
      <c r="G278" s="46"/>
    </row>
    <row r="279" spans="1:7" s="47" customFormat="1" ht="30" customHeight="1" thickBot="1" x14ac:dyDescent="0.3">
      <c r="A279" s="80" t="s">
        <v>5</v>
      </c>
      <c r="B279" s="151" t="s">
        <v>44</v>
      </c>
      <c r="C279" s="152"/>
      <c r="D279" s="80" t="s">
        <v>15</v>
      </c>
      <c r="E279" s="200" t="s">
        <v>16</v>
      </c>
      <c r="F279" s="201"/>
      <c r="G279" s="46"/>
    </row>
    <row r="280" spans="1:7" s="52" customFormat="1" x14ac:dyDescent="0.3">
      <c r="A280" s="48"/>
      <c r="B280" s="49"/>
      <c r="C280" s="153" t="str">
        <f xml:space="preserve"> IF(B280="","",setValueToTime(B280))</f>
        <v/>
      </c>
      <c r="D280" s="50"/>
      <c r="E280" s="208"/>
      <c r="F280" s="209"/>
      <c r="G280" s="51"/>
    </row>
    <row r="281" spans="1:7" s="52" customFormat="1" x14ac:dyDescent="0.3">
      <c r="A281" s="53"/>
      <c r="B281" s="54"/>
      <c r="C281" s="154" t="str">
        <f t="shared" ref="C281:C287" si="23" xml:space="preserve"> IF(B281="","",setValueToTime(B281))</f>
        <v/>
      </c>
      <c r="D281" s="55"/>
      <c r="E281" s="202"/>
      <c r="F281" s="203"/>
      <c r="G281" s="51"/>
    </row>
    <row r="282" spans="1:7" s="52" customFormat="1" x14ac:dyDescent="0.3">
      <c r="A282" s="53"/>
      <c r="B282" s="54"/>
      <c r="C282" s="154" t="str">
        <f t="shared" si="23"/>
        <v/>
      </c>
      <c r="D282" s="55"/>
      <c r="E282" s="202"/>
      <c r="F282" s="203"/>
      <c r="G282" s="51"/>
    </row>
    <row r="283" spans="1:7" s="52" customFormat="1" x14ac:dyDescent="0.3">
      <c r="A283" s="53"/>
      <c r="B283" s="54"/>
      <c r="C283" s="154" t="str">
        <f t="shared" si="23"/>
        <v/>
      </c>
      <c r="D283" s="55"/>
      <c r="E283" s="202"/>
      <c r="F283" s="203"/>
      <c r="G283" s="51"/>
    </row>
    <row r="284" spans="1:7" s="52" customFormat="1" x14ac:dyDescent="0.3">
      <c r="A284" s="54"/>
      <c r="B284" s="54"/>
      <c r="C284" s="155" t="str">
        <f t="shared" si="23"/>
        <v/>
      </c>
      <c r="D284" s="55"/>
      <c r="E284" s="202"/>
      <c r="F284" s="203"/>
      <c r="G284" s="51"/>
    </row>
    <row r="285" spans="1:7" s="52" customFormat="1" x14ac:dyDescent="0.3">
      <c r="A285" s="54"/>
      <c r="B285" s="54"/>
      <c r="C285" s="155" t="str">
        <f t="shared" si="23"/>
        <v/>
      </c>
      <c r="D285" s="55"/>
      <c r="E285" s="202"/>
      <c r="F285" s="203"/>
      <c r="G285" s="51"/>
    </row>
    <row r="286" spans="1:7" s="52" customFormat="1" x14ac:dyDescent="0.3">
      <c r="A286" s="54"/>
      <c r="B286" s="54"/>
      <c r="C286" s="155" t="str">
        <f t="shared" si="23"/>
        <v/>
      </c>
      <c r="D286" s="55"/>
      <c r="E286" s="202"/>
      <c r="F286" s="203"/>
      <c r="G286" s="51"/>
    </row>
    <row r="287" spans="1:7" s="52" customFormat="1" ht="15" thickBot="1" x14ac:dyDescent="0.35">
      <c r="A287" s="56"/>
      <c r="B287" s="56"/>
      <c r="C287" s="156" t="str">
        <f t="shared" si="23"/>
        <v/>
      </c>
      <c r="D287" s="57"/>
      <c r="E287" s="204"/>
      <c r="F287" s="205"/>
      <c r="G287" s="51"/>
    </row>
    <row r="288" spans="1:7" s="52" customFormat="1" ht="15" thickBot="1" x14ac:dyDescent="0.35">
      <c r="A288" s="111" t="s">
        <v>31</v>
      </c>
      <c r="B288" s="84">
        <f>SUM(B280:B287)</f>
        <v>0</v>
      </c>
      <c r="C288" s="111" t="str">
        <f xml:space="preserve"> setValueToTime(B288)</f>
        <v>0h</v>
      </c>
      <c r="D288" s="120"/>
      <c r="E288" s="206"/>
      <c r="F288" s="207"/>
      <c r="G288" s="51"/>
    </row>
    <row r="289" spans="1:7" s="59" customFormat="1" ht="15" thickBot="1" x14ac:dyDescent="0.35">
      <c r="A289" s="79"/>
      <c r="B289" s="79"/>
      <c r="C289" s="79"/>
      <c r="D289" s="79"/>
      <c r="E289" s="79"/>
      <c r="F289" s="79"/>
      <c r="G289" s="58"/>
    </row>
    <row r="290" spans="1:7" s="47" customFormat="1" ht="30" customHeight="1" thickBot="1" x14ac:dyDescent="0.3">
      <c r="A290" s="81" t="s">
        <v>14</v>
      </c>
      <c r="B290" s="164">
        <v>10</v>
      </c>
      <c r="C290" s="164"/>
      <c r="D290" s="81" t="s">
        <v>53</v>
      </c>
      <c r="E290" s="94">
        <v>44328</v>
      </c>
      <c r="F290" s="126" t="s">
        <v>46</v>
      </c>
      <c r="G290" s="46"/>
    </row>
    <row r="291" spans="1:7" s="47" customFormat="1" ht="30" customHeight="1" thickBot="1" x14ac:dyDescent="0.3">
      <c r="A291" s="80" t="s">
        <v>5</v>
      </c>
      <c r="B291" s="151" t="s">
        <v>44</v>
      </c>
      <c r="C291" s="152"/>
      <c r="D291" s="80" t="s">
        <v>15</v>
      </c>
      <c r="E291" s="200" t="s">
        <v>16</v>
      </c>
      <c r="F291" s="201"/>
      <c r="G291" s="46"/>
    </row>
    <row r="292" spans="1:7" s="52" customFormat="1" x14ac:dyDescent="0.3">
      <c r="A292" s="48"/>
      <c r="B292" s="49"/>
      <c r="C292" s="153" t="str">
        <f xml:space="preserve"> IF(B292="","",setValueToTime(B292))</f>
        <v/>
      </c>
      <c r="D292" s="50"/>
      <c r="E292" s="208"/>
      <c r="F292" s="209"/>
      <c r="G292" s="51"/>
    </row>
    <row r="293" spans="1:7" s="52" customFormat="1" x14ac:dyDescent="0.3">
      <c r="A293" s="53"/>
      <c r="B293" s="54"/>
      <c r="C293" s="154" t="str">
        <f t="shared" ref="C293:C299" si="24" xml:space="preserve"> IF(B293="","",setValueToTime(B293))</f>
        <v/>
      </c>
      <c r="D293" s="55"/>
      <c r="E293" s="202"/>
      <c r="F293" s="203"/>
      <c r="G293" s="51"/>
    </row>
    <row r="294" spans="1:7" s="52" customFormat="1" x14ac:dyDescent="0.3">
      <c r="A294" s="53"/>
      <c r="B294" s="54"/>
      <c r="C294" s="154" t="str">
        <f t="shared" si="24"/>
        <v/>
      </c>
      <c r="D294" s="55"/>
      <c r="E294" s="202"/>
      <c r="F294" s="203"/>
      <c r="G294" s="51"/>
    </row>
    <row r="295" spans="1:7" s="52" customFormat="1" x14ac:dyDescent="0.3">
      <c r="A295" s="53"/>
      <c r="B295" s="54"/>
      <c r="C295" s="154" t="str">
        <f t="shared" si="24"/>
        <v/>
      </c>
      <c r="D295" s="55"/>
      <c r="E295" s="202"/>
      <c r="F295" s="203"/>
      <c r="G295" s="51"/>
    </row>
    <row r="296" spans="1:7" s="52" customFormat="1" x14ac:dyDescent="0.3">
      <c r="A296" s="54"/>
      <c r="B296" s="54"/>
      <c r="C296" s="155" t="str">
        <f t="shared" si="24"/>
        <v/>
      </c>
      <c r="D296" s="55"/>
      <c r="E296" s="202"/>
      <c r="F296" s="203"/>
      <c r="G296" s="51"/>
    </row>
    <row r="297" spans="1:7" s="52" customFormat="1" x14ac:dyDescent="0.3">
      <c r="A297" s="54"/>
      <c r="B297" s="54"/>
      <c r="C297" s="155" t="str">
        <f t="shared" si="24"/>
        <v/>
      </c>
      <c r="D297" s="55"/>
      <c r="E297" s="202"/>
      <c r="F297" s="203"/>
      <c r="G297" s="51"/>
    </row>
    <row r="298" spans="1:7" s="52" customFormat="1" x14ac:dyDescent="0.3">
      <c r="A298" s="54"/>
      <c r="B298" s="54"/>
      <c r="C298" s="155" t="str">
        <f t="shared" si="24"/>
        <v/>
      </c>
      <c r="D298" s="55"/>
      <c r="E298" s="202"/>
      <c r="F298" s="203"/>
      <c r="G298" s="51"/>
    </row>
    <row r="299" spans="1:7" s="52" customFormat="1" ht="15" thickBot="1" x14ac:dyDescent="0.35">
      <c r="A299" s="56"/>
      <c r="B299" s="56"/>
      <c r="C299" s="156" t="str">
        <f t="shared" si="24"/>
        <v/>
      </c>
      <c r="D299" s="57"/>
      <c r="E299" s="204"/>
      <c r="F299" s="205"/>
      <c r="G299" s="51"/>
    </row>
    <row r="300" spans="1:7" s="52" customFormat="1" ht="15" thickBot="1" x14ac:dyDescent="0.35">
      <c r="A300" s="111" t="s">
        <v>31</v>
      </c>
      <c r="B300" s="84">
        <f>SUM(B292:B299)</f>
        <v>0</v>
      </c>
      <c r="C300" s="111" t="str">
        <f xml:space="preserve"> setValueToTime(B300)</f>
        <v>0h</v>
      </c>
      <c r="D300" s="120"/>
      <c r="E300" s="206"/>
      <c r="F300" s="207"/>
      <c r="G300" s="51"/>
    </row>
    <row r="301" spans="1:7" s="59" customFormat="1" ht="15" thickBot="1" x14ac:dyDescent="0.35">
      <c r="A301" s="79"/>
      <c r="B301" s="79"/>
      <c r="C301" s="79"/>
      <c r="D301" s="79"/>
      <c r="E301" s="79"/>
      <c r="F301" s="79"/>
      <c r="G301" s="58"/>
    </row>
    <row r="302" spans="1:7" s="47" customFormat="1" ht="30" customHeight="1" thickBot="1" x14ac:dyDescent="0.3">
      <c r="A302" s="81" t="s">
        <v>14</v>
      </c>
      <c r="B302" s="164">
        <v>9</v>
      </c>
      <c r="C302" s="164"/>
      <c r="D302" s="81" t="s">
        <v>53</v>
      </c>
      <c r="E302" s="94">
        <v>44328</v>
      </c>
      <c r="F302" s="126" t="s">
        <v>47</v>
      </c>
      <c r="G302" s="46"/>
    </row>
    <row r="303" spans="1:7" s="47" customFormat="1" ht="30" customHeight="1" thickBot="1" x14ac:dyDescent="0.3">
      <c r="A303" s="80" t="s">
        <v>5</v>
      </c>
      <c r="B303" s="151" t="s">
        <v>44</v>
      </c>
      <c r="C303" s="152"/>
      <c r="D303" s="80" t="s">
        <v>15</v>
      </c>
      <c r="E303" s="200" t="s">
        <v>16</v>
      </c>
      <c r="F303" s="201"/>
      <c r="G303" s="46"/>
    </row>
    <row r="304" spans="1:7" s="52" customFormat="1" x14ac:dyDescent="0.3">
      <c r="A304" s="48"/>
      <c r="B304" s="49"/>
      <c r="C304" s="153" t="str">
        <f xml:space="preserve"> IF(B304="","",setValueToTime(B304))</f>
        <v/>
      </c>
      <c r="D304" s="50"/>
      <c r="E304" s="208"/>
      <c r="F304" s="209"/>
      <c r="G304" s="51"/>
    </row>
    <row r="305" spans="1:7" s="52" customFormat="1" x14ac:dyDescent="0.3">
      <c r="A305" s="53"/>
      <c r="B305" s="54"/>
      <c r="C305" s="154" t="str">
        <f t="shared" ref="C305:C311" si="25" xml:space="preserve"> IF(B305="","",setValueToTime(B305))</f>
        <v/>
      </c>
      <c r="D305" s="55"/>
      <c r="E305" s="202"/>
      <c r="F305" s="203"/>
      <c r="G305" s="51"/>
    </row>
    <row r="306" spans="1:7" s="52" customFormat="1" x14ac:dyDescent="0.3">
      <c r="A306" s="53"/>
      <c r="B306" s="54"/>
      <c r="C306" s="154" t="str">
        <f t="shared" si="25"/>
        <v/>
      </c>
      <c r="D306" s="55"/>
      <c r="E306" s="202"/>
      <c r="F306" s="203"/>
      <c r="G306" s="51"/>
    </row>
    <row r="307" spans="1:7" s="52" customFormat="1" x14ac:dyDescent="0.3">
      <c r="A307" s="53"/>
      <c r="B307" s="54"/>
      <c r="C307" s="154" t="str">
        <f t="shared" si="25"/>
        <v/>
      </c>
      <c r="D307" s="55"/>
      <c r="E307" s="202"/>
      <c r="F307" s="203"/>
      <c r="G307" s="51"/>
    </row>
    <row r="308" spans="1:7" s="52" customFormat="1" x14ac:dyDescent="0.3">
      <c r="A308" s="54"/>
      <c r="B308" s="54"/>
      <c r="C308" s="155" t="str">
        <f t="shared" si="25"/>
        <v/>
      </c>
      <c r="D308" s="55"/>
      <c r="E308" s="202"/>
      <c r="F308" s="203"/>
      <c r="G308" s="51"/>
    </row>
    <row r="309" spans="1:7" s="52" customFormat="1" x14ac:dyDescent="0.3">
      <c r="A309" s="54"/>
      <c r="B309" s="54"/>
      <c r="C309" s="155" t="str">
        <f t="shared" si="25"/>
        <v/>
      </c>
      <c r="D309" s="55"/>
      <c r="E309" s="202"/>
      <c r="F309" s="203"/>
      <c r="G309" s="51"/>
    </row>
    <row r="310" spans="1:7" s="52" customFormat="1" x14ac:dyDescent="0.3">
      <c r="A310" s="54"/>
      <c r="B310" s="54"/>
      <c r="C310" s="155" t="str">
        <f t="shared" si="25"/>
        <v/>
      </c>
      <c r="D310" s="55"/>
      <c r="E310" s="202"/>
      <c r="F310" s="203"/>
      <c r="G310" s="51"/>
    </row>
    <row r="311" spans="1:7" s="52" customFormat="1" ht="15" thickBot="1" x14ac:dyDescent="0.35">
      <c r="A311" s="56"/>
      <c r="B311" s="56"/>
      <c r="C311" s="156" t="str">
        <f t="shared" si="25"/>
        <v/>
      </c>
      <c r="D311" s="57"/>
      <c r="E311" s="204"/>
      <c r="F311" s="205"/>
      <c r="G311" s="51"/>
    </row>
    <row r="312" spans="1:7" s="52" customFormat="1" ht="15" thickBot="1" x14ac:dyDescent="0.35">
      <c r="A312" s="111" t="s">
        <v>31</v>
      </c>
      <c r="B312" s="84">
        <f>SUM(B304:B311)</f>
        <v>0</v>
      </c>
      <c r="C312" s="111" t="str">
        <f xml:space="preserve"> setValueToTime(B312)</f>
        <v>0h</v>
      </c>
      <c r="D312" s="120"/>
      <c r="E312" s="206"/>
      <c r="F312" s="207"/>
      <c r="G312" s="51"/>
    </row>
    <row r="313" spans="1:7" s="59" customFormat="1" ht="15" thickBot="1" x14ac:dyDescent="0.35">
      <c r="A313" s="79"/>
      <c r="B313" s="79"/>
      <c r="C313" s="79"/>
      <c r="D313" s="79"/>
      <c r="E313" s="79"/>
      <c r="F313" s="79"/>
      <c r="G313" s="58"/>
    </row>
    <row r="314" spans="1:7" s="47" customFormat="1" ht="30" customHeight="1" thickBot="1" x14ac:dyDescent="0.3">
      <c r="A314" s="81" t="s">
        <v>14</v>
      </c>
      <c r="B314" s="164">
        <v>8</v>
      </c>
      <c r="C314" s="164"/>
      <c r="D314" s="81" t="s">
        <v>53</v>
      </c>
      <c r="E314" s="94">
        <v>44327</v>
      </c>
      <c r="F314" s="126" t="s">
        <v>46</v>
      </c>
      <c r="G314" s="46"/>
    </row>
    <row r="315" spans="1:7" s="47" customFormat="1" ht="30" customHeight="1" thickBot="1" x14ac:dyDescent="0.3">
      <c r="A315" s="80" t="s">
        <v>5</v>
      </c>
      <c r="B315" s="151" t="s">
        <v>44</v>
      </c>
      <c r="C315" s="152"/>
      <c r="D315" s="80" t="s">
        <v>15</v>
      </c>
      <c r="E315" s="200" t="s">
        <v>16</v>
      </c>
      <c r="F315" s="201"/>
      <c r="G315" s="46"/>
    </row>
    <row r="316" spans="1:7" s="52" customFormat="1" x14ac:dyDescent="0.3">
      <c r="A316" s="48"/>
      <c r="B316" s="49"/>
      <c r="C316" s="153" t="str">
        <f xml:space="preserve"> IF(B316="","",setValueToTime(B316))</f>
        <v/>
      </c>
      <c r="D316" s="50"/>
      <c r="E316" s="208"/>
      <c r="F316" s="209"/>
      <c r="G316" s="51"/>
    </row>
    <row r="317" spans="1:7" s="52" customFormat="1" x14ac:dyDescent="0.3">
      <c r="A317" s="53"/>
      <c r="B317" s="54"/>
      <c r="C317" s="154" t="str">
        <f t="shared" ref="C317:C323" si="26" xml:space="preserve"> IF(B317="","",setValueToTime(B317))</f>
        <v/>
      </c>
      <c r="D317" s="55"/>
      <c r="E317" s="202"/>
      <c r="F317" s="203"/>
      <c r="G317" s="51"/>
    </row>
    <row r="318" spans="1:7" s="52" customFormat="1" x14ac:dyDescent="0.3">
      <c r="A318" s="53"/>
      <c r="B318" s="54"/>
      <c r="C318" s="154" t="str">
        <f t="shared" si="26"/>
        <v/>
      </c>
      <c r="D318" s="55"/>
      <c r="E318" s="202"/>
      <c r="F318" s="203"/>
      <c r="G318" s="51"/>
    </row>
    <row r="319" spans="1:7" s="52" customFormat="1" x14ac:dyDescent="0.3">
      <c r="A319" s="53"/>
      <c r="B319" s="54"/>
      <c r="C319" s="154" t="str">
        <f t="shared" si="26"/>
        <v/>
      </c>
      <c r="D319" s="55"/>
      <c r="E319" s="202"/>
      <c r="F319" s="203"/>
      <c r="G319" s="51"/>
    </row>
    <row r="320" spans="1:7" s="52" customFormat="1" x14ac:dyDescent="0.3">
      <c r="A320" s="54"/>
      <c r="B320" s="54"/>
      <c r="C320" s="155" t="str">
        <f t="shared" si="26"/>
        <v/>
      </c>
      <c r="D320" s="55"/>
      <c r="E320" s="202"/>
      <c r="F320" s="203"/>
      <c r="G320" s="51"/>
    </row>
    <row r="321" spans="1:7" s="52" customFormat="1" x14ac:dyDescent="0.3">
      <c r="A321" s="54"/>
      <c r="B321" s="54"/>
      <c r="C321" s="155" t="str">
        <f t="shared" si="26"/>
        <v/>
      </c>
      <c r="D321" s="55"/>
      <c r="E321" s="202"/>
      <c r="F321" s="203"/>
      <c r="G321" s="51"/>
    </row>
    <row r="322" spans="1:7" s="52" customFormat="1" x14ac:dyDescent="0.3">
      <c r="A322" s="54"/>
      <c r="B322" s="54"/>
      <c r="C322" s="155" t="str">
        <f t="shared" si="26"/>
        <v/>
      </c>
      <c r="D322" s="55"/>
      <c r="E322" s="202"/>
      <c r="F322" s="203"/>
      <c r="G322" s="51"/>
    </row>
    <row r="323" spans="1:7" s="52" customFormat="1" ht="15" thickBot="1" x14ac:dyDescent="0.35">
      <c r="A323" s="56"/>
      <c r="B323" s="56"/>
      <c r="C323" s="156" t="str">
        <f t="shared" si="26"/>
        <v/>
      </c>
      <c r="D323" s="57"/>
      <c r="E323" s="204"/>
      <c r="F323" s="205"/>
      <c r="G323" s="51"/>
    </row>
    <row r="324" spans="1:7" s="52" customFormat="1" ht="15" thickBot="1" x14ac:dyDescent="0.35">
      <c r="A324" s="111" t="s">
        <v>31</v>
      </c>
      <c r="B324" s="84">
        <f>SUM(B316:B323)</f>
        <v>0</v>
      </c>
      <c r="C324" s="111" t="str">
        <f xml:space="preserve"> setValueToTime(B324)</f>
        <v>0h</v>
      </c>
      <c r="D324" s="120"/>
      <c r="E324" s="206"/>
      <c r="F324" s="207"/>
      <c r="G324" s="51"/>
    </row>
    <row r="325" spans="1:7" s="59" customFormat="1" ht="15" thickBot="1" x14ac:dyDescent="0.35">
      <c r="A325" s="79"/>
      <c r="B325" s="79"/>
      <c r="C325" s="79"/>
      <c r="D325" s="79"/>
      <c r="E325" s="79"/>
      <c r="F325" s="79"/>
      <c r="G325" s="58"/>
    </row>
    <row r="326" spans="1:7" s="47" customFormat="1" ht="30" customHeight="1" thickBot="1" x14ac:dyDescent="0.3">
      <c r="A326" s="81" t="s">
        <v>14</v>
      </c>
      <c r="B326" s="164">
        <v>7</v>
      </c>
      <c r="C326" s="164"/>
      <c r="D326" s="81" t="s">
        <v>53</v>
      </c>
      <c r="E326" s="94">
        <v>44327</v>
      </c>
      <c r="F326" s="126" t="s">
        <v>47</v>
      </c>
      <c r="G326" s="46"/>
    </row>
    <row r="327" spans="1:7" s="47" customFormat="1" ht="30" customHeight="1" thickBot="1" x14ac:dyDescent="0.3">
      <c r="A327" s="80" t="s">
        <v>5</v>
      </c>
      <c r="B327" s="151" t="s">
        <v>44</v>
      </c>
      <c r="C327" s="152"/>
      <c r="D327" s="80" t="s">
        <v>15</v>
      </c>
      <c r="E327" s="200" t="s">
        <v>16</v>
      </c>
      <c r="F327" s="201"/>
      <c r="G327" s="46"/>
    </row>
    <row r="328" spans="1:7" s="52" customFormat="1" x14ac:dyDescent="0.3">
      <c r="A328" s="48"/>
      <c r="B328" s="49"/>
      <c r="C328" s="153" t="str">
        <f xml:space="preserve"> IF(B328="","",setValueToTime(B328))</f>
        <v/>
      </c>
      <c r="D328" s="50"/>
      <c r="E328" s="208"/>
      <c r="F328" s="209"/>
      <c r="G328" s="51"/>
    </row>
    <row r="329" spans="1:7" s="52" customFormat="1" x14ac:dyDescent="0.3">
      <c r="A329" s="53"/>
      <c r="B329" s="54"/>
      <c r="C329" s="154" t="str">
        <f t="shared" ref="C329:C335" si="27" xml:space="preserve"> IF(B329="","",setValueToTime(B329))</f>
        <v/>
      </c>
      <c r="D329" s="55"/>
      <c r="E329" s="202"/>
      <c r="F329" s="203"/>
      <c r="G329" s="51"/>
    </row>
    <row r="330" spans="1:7" s="52" customFormat="1" x14ac:dyDescent="0.3">
      <c r="A330" s="53"/>
      <c r="B330" s="54"/>
      <c r="C330" s="154" t="str">
        <f t="shared" si="27"/>
        <v/>
      </c>
      <c r="D330" s="55"/>
      <c r="E330" s="202"/>
      <c r="F330" s="203"/>
      <c r="G330" s="51"/>
    </row>
    <row r="331" spans="1:7" s="52" customFormat="1" x14ac:dyDescent="0.3">
      <c r="A331" s="53"/>
      <c r="B331" s="54"/>
      <c r="C331" s="154" t="str">
        <f t="shared" si="27"/>
        <v/>
      </c>
      <c r="D331" s="55"/>
      <c r="E331" s="202"/>
      <c r="F331" s="203"/>
      <c r="G331" s="51"/>
    </row>
    <row r="332" spans="1:7" s="52" customFormat="1" x14ac:dyDescent="0.3">
      <c r="A332" s="54"/>
      <c r="B332" s="54"/>
      <c r="C332" s="155" t="str">
        <f t="shared" si="27"/>
        <v/>
      </c>
      <c r="D332" s="55"/>
      <c r="E332" s="202"/>
      <c r="F332" s="203"/>
      <c r="G332" s="51"/>
    </row>
    <row r="333" spans="1:7" s="52" customFormat="1" x14ac:dyDescent="0.3">
      <c r="A333" s="54"/>
      <c r="B333" s="54"/>
      <c r="C333" s="155" t="str">
        <f t="shared" si="27"/>
        <v/>
      </c>
      <c r="D333" s="55"/>
      <c r="E333" s="202"/>
      <c r="F333" s="203"/>
      <c r="G333" s="51"/>
    </row>
    <row r="334" spans="1:7" s="52" customFormat="1" x14ac:dyDescent="0.3">
      <c r="A334" s="54"/>
      <c r="B334" s="54"/>
      <c r="C334" s="155" t="str">
        <f t="shared" si="27"/>
        <v/>
      </c>
      <c r="D334" s="55"/>
      <c r="E334" s="202"/>
      <c r="F334" s="203"/>
      <c r="G334" s="51"/>
    </row>
    <row r="335" spans="1:7" s="52" customFormat="1" ht="15" thickBot="1" x14ac:dyDescent="0.35">
      <c r="A335" s="56"/>
      <c r="B335" s="56"/>
      <c r="C335" s="156" t="str">
        <f t="shared" si="27"/>
        <v/>
      </c>
      <c r="D335" s="57"/>
      <c r="E335" s="204"/>
      <c r="F335" s="205"/>
      <c r="G335" s="51"/>
    </row>
    <row r="336" spans="1:7" s="52" customFormat="1" ht="15" thickBot="1" x14ac:dyDescent="0.35">
      <c r="A336" s="111" t="s">
        <v>31</v>
      </c>
      <c r="B336" s="84">
        <f>SUM(B328:B335)</f>
        <v>0</v>
      </c>
      <c r="C336" s="111" t="str">
        <f xml:space="preserve"> setValueToTime(B336)</f>
        <v>0h</v>
      </c>
      <c r="D336" s="120"/>
      <c r="E336" s="206"/>
      <c r="F336" s="207"/>
      <c r="G336" s="51"/>
    </row>
    <row r="337" spans="1:7" s="59" customFormat="1" ht="15" thickBot="1" x14ac:dyDescent="0.35">
      <c r="A337" s="79"/>
      <c r="B337" s="79"/>
      <c r="C337" s="79"/>
      <c r="D337" s="79"/>
      <c r="E337" s="79"/>
      <c r="F337" s="79"/>
      <c r="G337" s="58"/>
    </row>
    <row r="338" spans="1:7" s="47" customFormat="1" ht="30" customHeight="1" thickBot="1" x14ac:dyDescent="0.3">
      <c r="A338" s="81" t="s">
        <v>14</v>
      </c>
      <c r="B338" s="164">
        <v>6</v>
      </c>
      <c r="C338" s="164"/>
      <c r="D338" s="81" t="s">
        <v>53</v>
      </c>
      <c r="E338" s="94">
        <v>44326</v>
      </c>
      <c r="F338" s="126" t="s">
        <v>47</v>
      </c>
      <c r="G338" s="46"/>
    </row>
    <row r="339" spans="1:7" s="47" customFormat="1" ht="30" customHeight="1" thickBot="1" x14ac:dyDescent="0.3">
      <c r="A339" s="80" t="s">
        <v>5</v>
      </c>
      <c r="B339" s="151" t="s">
        <v>44</v>
      </c>
      <c r="C339" s="152"/>
      <c r="D339" s="80" t="s">
        <v>15</v>
      </c>
      <c r="E339" s="200" t="s">
        <v>16</v>
      </c>
      <c r="F339" s="201"/>
      <c r="G339" s="46"/>
    </row>
    <row r="340" spans="1:7" s="52" customFormat="1" x14ac:dyDescent="0.3">
      <c r="A340" s="48"/>
      <c r="B340" s="49"/>
      <c r="C340" s="153" t="str">
        <f xml:space="preserve"> IF(B340="","",setValueToTime(B340))</f>
        <v/>
      </c>
      <c r="D340" s="50"/>
      <c r="E340" s="208"/>
      <c r="F340" s="209"/>
      <c r="G340" s="51"/>
    </row>
    <row r="341" spans="1:7" s="52" customFormat="1" x14ac:dyDescent="0.3">
      <c r="A341" s="53"/>
      <c r="B341" s="54"/>
      <c r="C341" s="154" t="str">
        <f t="shared" ref="C341:C347" si="28" xml:space="preserve"> IF(B341="","",setValueToTime(B341))</f>
        <v/>
      </c>
      <c r="D341" s="55"/>
      <c r="E341" s="202"/>
      <c r="F341" s="203"/>
      <c r="G341" s="51"/>
    </row>
    <row r="342" spans="1:7" s="52" customFormat="1" x14ac:dyDescent="0.3">
      <c r="A342" s="53"/>
      <c r="B342" s="54"/>
      <c r="C342" s="154" t="str">
        <f t="shared" si="28"/>
        <v/>
      </c>
      <c r="D342" s="55"/>
      <c r="E342" s="202"/>
      <c r="F342" s="203"/>
      <c r="G342" s="51"/>
    </row>
    <row r="343" spans="1:7" s="52" customFormat="1" x14ac:dyDescent="0.3">
      <c r="A343" s="53"/>
      <c r="B343" s="54"/>
      <c r="C343" s="154" t="str">
        <f t="shared" si="28"/>
        <v/>
      </c>
      <c r="D343" s="55"/>
      <c r="E343" s="202"/>
      <c r="F343" s="203"/>
      <c r="G343" s="51"/>
    </row>
    <row r="344" spans="1:7" s="52" customFormat="1" x14ac:dyDescent="0.3">
      <c r="A344" s="54"/>
      <c r="B344" s="54"/>
      <c r="C344" s="155" t="str">
        <f t="shared" si="28"/>
        <v/>
      </c>
      <c r="D344" s="55"/>
      <c r="E344" s="202"/>
      <c r="F344" s="203"/>
      <c r="G344" s="51"/>
    </row>
    <row r="345" spans="1:7" s="52" customFormat="1" x14ac:dyDescent="0.3">
      <c r="A345" s="54"/>
      <c r="B345" s="54"/>
      <c r="C345" s="155" t="str">
        <f t="shared" si="28"/>
        <v/>
      </c>
      <c r="D345" s="55"/>
      <c r="E345" s="202"/>
      <c r="F345" s="203"/>
      <c r="G345" s="51"/>
    </row>
    <row r="346" spans="1:7" s="52" customFormat="1" x14ac:dyDescent="0.3">
      <c r="A346" s="54"/>
      <c r="B346" s="54"/>
      <c r="C346" s="155" t="str">
        <f t="shared" si="28"/>
        <v/>
      </c>
      <c r="D346" s="55"/>
      <c r="E346" s="202"/>
      <c r="F346" s="203"/>
      <c r="G346" s="51"/>
    </row>
    <row r="347" spans="1:7" s="52" customFormat="1" ht="15" thickBot="1" x14ac:dyDescent="0.35">
      <c r="A347" s="56"/>
      <c r="B347" s="56"/>
      <c r="C347" s="156" t="str">
        <f t="shared" si="28"/>
        <v/>
      </c>
      <c r="D347" s="57"/>
      <c r="E347" s="204"/>
      <c r="F347" s="205"/>
      <c r="G347" s="51"/>
    </row>
    <row r="348" spans="1:7" s="52" customFormat="1" ht="15" thickBot="1" x14ac:dyDescent="0.35">
      <c r="A348" s="111" t="s">
        <v>31</v>
      </c>
      <c r="B348" s="84">
        <f>SUM(B340:B347)</f>
        <v>0</v>
      </c>
      <c r="C348" s="111" t="str">
        <f xml:space="preserve"> setValueToTime(B348)</f>
        <v>0h</v>
      </c>
      <c r="D348" s="120"/>
      <c r="E348" s="206"/>
      <c r="F348" s="207"/>
      <c r="G348" s="51"/>
    </row>
    <row r="349" spans="1:7" s="59" customFormat="1" ht="15" thickBot="1" x14ac:dyDescent="0.35">
      <c r="A349" s="79"/>
      <c r="B349" s="79"/>
      <c r="C349" s="79"/>
      <c r="D349" s="79"/>
      <c r="E349" s="79"/>
      <c r="F349" s="79"/>
      <c r="G349" s="58"/>
    </row>
    <row r="350" spans="1:7" s="47" customFormat="1" ht="30" customHeight="1" thickBot="1" x14ac:dyDescent="0.3">
      <c r="A350" s="81" t="s">
        <v>14</v>
      </c>
      <c r="B350" s="164">
        <v>5</v>
      </c>
      <c r="C350" s="164"/>
      <c r="D350" s="81" t="s">
        <v>52</v>
      </c>
      <c r="E350" s="94">
        <v>44323</v>
      </c>
      <c r="F350" s="126" t="s">
        <v>46</v>
      </c>
      <c r="G350" s="46"/>
    </row>
    <row r="351" spans="1:7" s="47" customFormat="1" ht="30" customHeight="1" thickBot="1" x14ac:dyDescent="0.3">
      <c r="A351" s="80" t="s">
        <v>5</v>
      </c>
      <c r="B351" s="151" t="s">
        <v>44</v>
      </c>
      <c r="C351" s="152"/>
      <c r="D351" s="80" t="s">
        <v>15</v>
      </c>
      <c r="E351" s="200" t="s">
        <v>16</v>
      </c>
      <c r="F351" s="201"/>
      <c r="G351" s="46"/>
    </row>
    <row r="352" spans="1:7" s="52" customFormat="1" x14ac:dyDescent="0.3">
      <c r="A352" s="48"/>
      <c r="B352" s="49"/>
      <c r="C352" s="153" t="str">
        <f xml:space="preserve"> IF(B352="","",setValueToTime(B352))</f>
        <v/>
      </c>
      <c r="D352" s="50"/>
      <c r="E352" s="208"/>
      <c r="F352" s="209"/>
      <c r="G352" s="51"/>
    </row>
    <row r="353" spans="1:7" s="52" customFormat="1" x14ac:dyDescent="0.3">
      <c r="A353" s="53"/>
      <c r="B353" s="54"/>
      <c r="C353" s="154" t="str">
        <f t="shared" ref="C353:C359" si="29" xml:space="preserve"> IF(B353="","",setValueToTime(B353))</f>
        <v/>
      </c>
      <c r="D353" s="55"/>
      <c r="E353" s="202"/>
      <c r="F353" s="203"/>
      <c r="G353" s="51"/>
    </row>
    <row r="354" spans="1:7" s="52" customFormat="1" x14ac:dyDescent="0.3">
      <c r="A354" s="53"/>
      <c r="B354" s="54"/>
      <c r="C354" s="154" t="str">
        <f t="shared" si="29"/>
        <v/>
      </c>
      <c r="D354" s="55"/>
      <c r="E354" s="202"/>
      <c r="F354" s="203"/>
      <c r="G354" s="51"/>
    </row>
    <row r="355" spans="1:7" s="52" customFormat="1" x14ac:dyDescent="0.3">
      <c r="A355" s="53"/>
      <c r="B355" s="54"/>
      <c r="C355" s="154" t="str">
        <f t="shared" si="29"/>
        <v/>
      </c>
      <c r="D355" s="55"/>
      <c r="E355" s="202"/>
      <c r="F355" s="203"/>
      <c r="G355" s="51"/>
    </row>
    <row r="356" spans="1:7" s="52" customFormat="1" x14ac:dyDescent="0.3">
      <c r="A356" s="54"/>
      <c r="B356" s="54"/>
      <c r="C356" s="155" t="str">
        <f t="shared" si="29"/>
        <v/>
      </c>
      <c r="D356" s="55"/>
      <c r="E356" s="202"/>
      <c r="F356" s="203"/>
      <c r="G356" s="51"/>
    </row>
    <row r="357" spans="1:7" s="52" customFormat="1" x14ac:dyDescent="0.3">
      <c r="A357" s="54"/>
      <c r="B357" s="54"/>
      <c r="C357" s="155" t="str">
        <f t="shared" si="29"/>
        <v/>
      </c>
      <c r="D357" s="55"/>
      <c r="E357" s="202"/>
      <c r="F357" s="203"/>
      <c r="G357" s="51"/>
    </row>
    <row r="358" spans="1:7" s="52" customFormat="1" x14ac:dyDescent="0.3">
      <c r="A358" s="54"/>
      <c r="B358" s="54"/>
      <c r="C358" s="155" t="str">
        <f t="shared" si="29"/>
        <v/>
      </c>
      <c r="D358" s="55"/>
      <c r="E358" s="202"/>
      <c r="F358" s="203"/>
      <c r="G358" s="51"/>
    </row>
    <row r="359" spans="1:7" s="52" customFormat="1" ht="15" thickBot="1" x14ac:dyDescent="0.35">
      <c r="A359" s="56"/>
      <c r="B359" s="56"/>
      <c r="C359" s="156" t="str">
        <f t="shared" si="29"/>
        <v/>
      </c>
      <c r="D359" s="57"/>
      <c r="E359" s="204"/>
      <c r="F359" s="205"/>
      <c r="G359" s="51"/>
    </row>
    <row r="360" spans="1:7" s="52" customFormat="1" ht="15" thickBot="1" x14ac:dyDescent="0.35">
      <c r="A360" s="111" t="s">
        <v>31</v>
      </c>
      <c r="B360" s="84">
        <f>SUM(B352:B359)</f>
        <v>0</v>
      </c>
      <c r="C360" s="111" t="str">
        <f xml:space="preserve"> setValueToTime(B360)</f>
        <v>0h</v>
      </c>
      <c r="D360" s="120"/>
      <c r="E360" s="206"/>
      <c r="F360" s="207"/>
      <c r="G360" s="51"/>
    </row>
    <row r="361" spans="1:7" s="59" customFormat="1" ht="15" thickBot="1" x14ac:dyDescent="0.35">
      <c r="A361" s="79"/>
      <c r="B361" s="79"/>
      <c r="C361" s="79"/>
      <c r="D361" s="79"/>
      <c r="E361" s="79"/>
      <c r="F361" s="79"/>
      <c r="G361" s="58"/>
    </row>
    <row r="362" spans="1:7" s="47" customFormat="1" ht="30" customHeight="1" thickBot="1" x14ac:dyDescent="0.3">
      <c r="A362" s="81" t="s">
        <v>14</v>
      </c>
      <c r="B362" s="164">
        <v>4</v>
      </c>
      <c r="C362" s="164"/>
      <c r="D362" s="81" t="s">
        <v>52</v>
      </c>
      <c r="E362" s="94">
        <v>44323</v>
      </c>
      <c r="F362" s="126" t="s">
        <v>47</v>
      </c>
      <c r="G362" s="46"/>
    </row>
    <row r="363" spans="1:7" s="47" customFormat="1" ht="30" customHeight="1" thickBot="1" x14ac:dyDescent="0.3">
      <c r="A363" s="80" t="s">
        <v>5</v>
      </c>
      <c r="B363" s="151" t="s">
        <v>44</v>
      </c>
      <c r="C363" s="152"/>
      <c r="D363" s="80" t="s">
        <v>15</v>
      </c>
      <c r="E363" s="200" t="s">
        <v>16</v>
      </c>
      <c r="F363" s="201"/>
      <c r="G363" s="46"/>
    </row>
    <row r="364" spans="1:7" s="52" customFormat="1" x14ac:dyDescent="0.3">
      <c r="A364" s="48"/>
      <c r="B364" s="49"/>
      <c r="C364" s="153" t="str">
        <f xml:space="preserve"> IF(B364="","",setValueToTime(B364))</f>
        <v/>
      </c>
      <c r="D364" s="50"/>
      <c r="E364" s="208"/>
      <c r="F364" s="209"/>
      <c r="G364" s="51"/>
    </row>
    <row r="365" spans="1:7" s="52" customFormat="1" x14ac:dyDescent="0.3">
      <c r="A365" s="53"/>
      <c r="B365" s="54"/>
      <c r="C365" s="154" t="str">
        <f t="shared" ref="C365:C371" si="30" xml:space="preserve"> IF(B365="","",setValueToTime(B365))</f>
        <v/>
      </c>
      <c r="D365" s="55"/>
      <c r="E365" s="202"/>
      <c r="F365" s="203"/>
      <c r="G365" s="51"/>
    </row>
    <row r="366" spans="1:7" s="52" customFormat="1" x14ac:dyDescent="0.3">
      <c r="A366" s="53"/>
      <c r="B366" s="54"/>
      <c r="C366" s="154" t="str">
        <f t="shared" si="30"/>
        <v/>
      </c>
      <c r="D366" s="55"/>
      <c r="E366" s="202"/>
      <c r="F366" s="203"/>
      <c r="G366" s="51"/>
    </row>
    <row r="367" spans="1:7" s="52" customFormat="1" x14ac:dyDescent="0.3">
      <c r="A367" s="53"/>
      <c r="B367" s="54"/>
      <c r="C367" s="154" t="str">
        <f t="shared" si="30"/>
        <v/>
      </c>
      <c r="D367" s="55"/>
      <c r="E367" s="202"/>
      <c r="F367" s="203"/>
      <c r="G367" s="51"/>
    </row>
    <row r="368" spans="1:7" s="52" customFormat="1" x14ac:dyDescent="0.3">
      <c r="A368" s="54"/>
      <c r="B368" s="54"/>
      <c r="C368" s="155" t="str">
        <f t="shared" si="30"/>
        <v/>
      </c>
      <c r="D368" s="55"/>
      <c r="E368" s="202"/>
      <c r="F368" s="203"/>
      <c r="G368" s="51"/>
    </row>
    <row r="369" spans="1:7" s="52" customFormat="1" x14ac:dyDescent="0.3">
      <c r="A369" s="54"/>
      <c r="B369" s="54"/>
      <c r="C369" s="155" t="str">
        <f t="shared" si="30"/>
        <v/>
      </c>
      <c r="D369" s="55"/>
      <c r="E369" s="202"/>
      <c r="F369" s="203"/>
      <c r="G369" s="51"/>
    </row>
    <row r="370" spans="1:7" s="52" customFormat="1" x14ac:dyDescent="0.3">
      <c r="A370" s="54"/>
      <c r="B370" s="54"/>
      <c r="C370" s="155" t="str">
        <f t="shared" si="30"/>
        <v/>
      </c>
      <c r="D370" s="55"/>
      <c r="E370" s="202"/>
      <c r="F370" s="203"/>
      <c r="G370" s="51"/>
    </row>
    <row r="371" spans="1:7" s="52" customFormat="1" ht="15" thickBot="1" x14ac:dyDescent="0.35">
      <c r="A371" s="56"/>
      <c r="B371" s="56"/>
      <c r="C371" s="156" t="str">
        <f t="shared" si="30"/>
        <v/>
      </c>
      <c r="D371" s="57"/>
      <c r="E371" s="204"/>
      <c r="F371" s="205"/>
      <c r="G371" s="51"/>
    </row>
    <row r="372" spans="1:7" s="52" customFormat="1" ht="15" thickBot="1" x14ac:dyDescent="0.35">
      <c r="A372" s="111" t="s">
        <v>31</v>
      </c>
      <c r="B372" s="84">
        <f>SUM(B364:B371)</f>
        <v>0</v>
      </c>
      <c r="C372" s="111" t="str">
        <f xml:space="preserve"> setValueToTime(B372)</f>
        <v>0h</v>
      </c>
      <c r="D372" s="120"/>
      <c r="E372" s="206"/>
      <c r="F372" s="207"/>
      <c r="G372" s="51"/>
    </row>
    <row r="373" spans="1:7" s="59" customFormat="1" ht="15" thickBot="1" x14ac:dyDescent="0.35">
      <c r="A373" s="79"/>
      <c r="B373" s="79"/>
      <c r="C373" s="79"/>
      <c r="D373" s="79"/>
      <c r="E373" s="79"/>
      <c r="F373" s="79"/>
      <c r="G373" s="58"/>
    </row>
    <row r="374" spans="1:7" s="47" customFormat="1" ht="30" customHeight="1" thickBot="1" x14ac:dyDescent="0.3">
      <c r="A374" s="81" t="s">
        <v>14</v>
      </c>
      <c r="B374" s="164">
        <v>3</v>
      </c>
      <c r="C374" s="164"/>
      <c r="D374" s="81" t="s">
        <v>52</v>
      </c>
      <c r="E374" s="94">
        <v>44322</v>
      </c>
      <c r="F374" s="126" t="s">
        <v>46</v>
      </c>
      <c r="G374" s="46"/>
    </row>
    <row r="375" spans="1:7" s="47" customFormat="1" ht="30" customHeight="1" thickBot="1" x14ac:dyDescent="0.3">
      <c r="A375" s="80" t="s">
        <v>5</v>
      </c>
      <c r="B375" s="151" t="s">
        <v>44</v>
      </c>
      <c r="C375" s="152"/>
      <c r="D375" s="80" t="s">
        <v>15</v>
      </c>
      <c r="E375" s="200" t="s">
        <v>16</v>
      </c>
      <c r="F375" s="201"/>
      <c r="G375" s="46"/>
    </row>
    <row r="376" spans="1:7" s="52" customFormat="1" x14ac:dyDescent="0.3">
      <c r="A376" s="48"/>
      <c r="B376" s="49"/>
      <c r="C376" s="153" t="str">
        <f xml:space="preserve"> IF(B376="","",setValueToTime(B376))</f>
        <v/>
      </c>
      <c r="D376" s="50"/>
      <c r="E376" s="208"/>
      <c r="F376" s="209"/>
      <c r="G376" s="51"/>
    </row>
    <row r="377" spans="1:7" s="52" customFormat="1" x14ac:dyDescent="0.3">
      <c r="A377" s="53"/>
      <c r="B377" s="54"/>
      <c r="C377" s="154" t="str">
        <f t="shared" ref="C377:C383" si="31" xml:space="preserve"> IF(B377="","",setValueToTime(B377))</f>
        <v/>
      </c>
      <c r="D377" s="55"/>
      <c r="E377" s="202"/>
      <c r="F377" s="203"/>
      <c r="G377" s="51"/>
    </row>
    <row r="378" spans="1:7" s="52" customFormat="1" x14ac:dyDescent="0.3">
      <c r="A378" s="53"/>
      <c r="B378" s="54"/>
      <c r="C378" s="154" t="str">
        <f t="shared" si="31"/>
        <v/>
      </c>
      <c r="D378" s="55"/>
      <c r="E378" s="202"/>
      <c r="F378" s="203"/>
      <c r="G378" s="51"/>
    </row>
    <row r="379" spans="1:7" s="52" customFormat="1" x14ac:dyDescent="0.3">
      <c r="A379" s="53"/>
      <c r="B379" s="54"/>
      <c r="C379" s="154" t="str">
        <f t="shared" si="31"/>
        <v/>
      </c>
      <c r="D379" s="55"/>
      <c r="E379" s="202"/>
      <c r="F379" s="203"/>
      <c r="G379" s="51"/>
    </row>
    <row r="380" spans="1:7" s="52" customFormat="1" x14ac:dyDescent="0.3">
      <c r="A380" s="54"/>
      <c r="B380" s="54"/>
      <c r="C380" s="155" t="str">
        <f t="shared" si="31"/>
        <v/>
      </c>
      <c r="D380" s="55"/>
      <c r="E380" s="202"/>
      <c r="F380" s="203"/>
      <c r="G380" s="51"/>
    </row>
    <row r="381" spans="1:7" s="52" customFormat="1" x14ac:dyDescent="0.3">
      <c r="A381" s="54"/>
      <c r="B381" s="54"/>
      <c r="C381" s="155" t="str">
        <f t="shared" si="31"/>
        <v/>
      </c>
      <c r="D381" s="55"/>
      <c r="E381" s="202"/>
      <c r="F381" s="203"/>
      <c r="G381" s="51"/>
    </row>
    <row r="382" spans="1:7" s="52" customFormat="1" x14ac:dyDescent="0.3">
      <c r="A382" s="54"/>
      <c r="B382" s="54"/>
      <c r="C382" s="155" t="str">
        <f t="shared" si="31"/>
        <v/>
      </c>
      <c r="D382" s="55"/>
      <c r="E382" s="202"/>
      <c r="F382" s="203"/>
      <c r="G382" s="51"/>
    </row>
    <row r="383" spans="1:7" s="52" customFormat="1" ht="15" thickBot="1" x14ac:dyDescent="0.35">
      <c r="A383" s="56"/>
      <c r="B383" s="56"/>
      <c r="C383" s="156" t="str">
        <f t="shared" si="31"/>
        <v/>
      </c>
      <c r="D383" s="57"/>
      <c r="E383" s="204"/>
      <c r="F383" s="205"/>
      <c r="G383" s="51"/>
    </row>
    <row r="384" spans="1:7" s="52" customFormat="1" ht="15" thickBot="1" x14ac:dyDescent="0.35">
      <c r="A384" s="111" t="s">
        <v>31</v>
      </c>
      <c r="B384" s="84">
        <f>SUM(B376:B383)</f>
        <v>0</v>
      </c>
      <c r="C384" s="111" t="str">
        <f xml:space="preserve"> setValueToTime(B384)</f>
        <v>0h</v>
      </c>
      <c r="D384" s="120"/>
      <c r="E384" s="206"/>
      <c r="F384" s="207"/>
      <c r="G384" s="51"/>
    </row>
    <row r="385" spans="1:7" s="59" customFormat="1" ht="15" thickBot="1" x14ac:dyDescent="0.35">
      <c r="A385" s="79"/>
      <c r="B385" s="79"/>
      <c r="C385" s="79"/>
      <c r="D385" s="79"/>
      <c r="E385" s="79"/>
      <c r="F385" s="79"/>
      <c r="G385" s="58"/>
    </row>
    <row r="386" spans="1:7" s="47" customFormat="1" ht="30" customHeight="1" thickBot="1" x14ac:dyDescent="0.3">
      <c r="A386" s="81" t="s">
        <v>14</v>
      </c>
      <c r="B386" s="164">
        <v>2</v>
      </c>
      <c r="C386" s="164"/>
      <c r="D386" s="81" t="s">
        <v>52</v>
      </c>
      <c r="E386" s="94">
        <v>44322</v>
      </c>
      <c r="F386" s="126" t="s">
        <v>47</v>
      </c>
      <c r="G386" s="46"/>
    </row>
    <row r="387" spans="1:7" s="47" customFormat="1" ht="30" customHeight="1" thickBot="1" x14ac:dyDescent="0.3">
      <c r="A387" s="80" t="s">
        <v>5</v>
      </c>
      <c r="B387" s="151" t="s">
        <v>44</v>
      </c>
      <c r="C387" s="152"/>
      <c r="D387" s="80" t="s">
        <v>15</v>
      </c>
      <c r="E387" s="200" t="s">
        <v>16</v>
      </c>
      <c r="F387" s="201"/>
      <c r="G387" s="46"/>
    </row>
    <row r="388" spans="1:7" s="52" customFormat="1" x14ac:dyDescent="0.3">
      <c r="A388" s="48"/>
      <c r="B388" s="49"/>
      <c r="C388" s="153" t="str">
        <f xml:space="preserve"> IF(B388="","",setValueToTime(B388))</f>
        <v/>
      </c>
      <c r="D388" s="50"/>
      <c r="E388" s="208"/>
      <c r="F388" s="209"/>
      <c r="G388" s="51"/>
    </row>
    <row r="389" spans="1:7" s="52" customFormat="1" x14ac:dyDescent="0.3">
      <c r="A389" s="53"/>
      <c r="B389" s="54"/>
      <c r="C389" s="154" t="str">
        <f t="shared" ref="C389:C395" si="32" xml:space="preserve"> IF(B389="","",setValueToTime(B389))</f>
        <v/>
      </c>
      <c r="D389" s="55"/>
      <c r="E389" s="202"/>
      <c r="F389" s="203"/>
      <c r="G389" s="51"/>
    </row>
    <row r="390" spans="1:7" s="52" customFormat="1" x14ac:dyDescent="0.3">
      <c r="A390" s="53"/>
      <c r="B390" s="54"/>
      <c r="C390" s="154" t="str">
        <f t="shared" si="32"/>
        <v/>
      </c>
      <c r="D390" s="55"/>
      <c r="E390" s="202"/>
      <c r="F390" s="203"/>
      <c r="G390" s="51"/>
    </row>
    <row r="391" spans="1:7" s="52" customFormat="1" x14ac:dyDescent="0.3">
      <c r="A391" s="53"/>
      <c r="B391" s="54"/>
      <c r="C391" s="154" t="str">
        <f t="shared" si="32"/>
        <v/>
      </c>
      <c r="D391" s="55"/>
      <c r="E391" s="202"/>
      <c r="F391" s="203"/>
      <c r="G391" s="51"/>
    </row>
    <row r="392" spans="1:7" s="52" customFormat="1" x14ac:dyDescent="0.3">
      <c r="A392" s="54"/>
      <c r="B392" s="54"/>
      <c r="C392" s="155" t="str">
        <f t="shared" si="32"/>
        <v/>
      </c>
      <c r="D392" s="55"/>
      <c r="E392" s="202"/>
      <c r="F392" s="203"/>
      <c r="G392" s="51"/>
    </row>
    <row r="393" spans="1:7" s="52" customFormat="1" x14ac:dyDescent="0.3">
      <c r="A393" s="54"/>
      <c r="B393" s="54"/>
      <c r="C393" s="155" t="str">
        <f t="shared" si="32"/>
        <v/>
      </c>
      <c r="D393" s="55"/>
      <c r="E393" s="202"/>
      <c r="F393" s="203"/>
      <c r="G393" s="51"/>
    </row>
    <row r="394" spans="1:7" s="52" customFormat="1" x14ac:dyDescent="0.3">
      <c r="A394" s="54"/>
      <c r="B394" s="54"/>
      <c r="C394" s="155" t="str">
        <f t="shared" si="32"/>
        <v/>
      </c>
      <c r="D394" s="55"/>
      <c r="E394" s="202"/>
      <c r="F394" s="203"/>
      <c r="G394" s="51"/>
    </row>
    <row r="395" spans="1:7" s="52" customFormat="1" ht="15" thickBot="1" x14ac:dyDescent="0.35">
      <c r="A395" s="56"/>
      <c r="B395" s="56"/>
      <c r="C395" s="156" t="str">
        <f t="shared" si="32"/>
        <v/>
      </c>
      <c r="D395" s="57"/>
      <c r="E395" s="204"/>
      <c r="F395" s="205"/>
      <c r="G395" s="51"/>
    </row>
    <row r="396" spans="1:7" s="52" customFormat="1" ht="15" thickBot="1" x14ac:dyDescent="0.35">
      <c r="A396" s="111" t="s">
        <v>31</v>
      </c>
      <c r="B396" s="84">
        <f>SUM(B388:B395)</f>
        <v>0</v>
      </c>
      <c r="C396" s="111" t="str">
        <f xml:space="preserve"> setValueToTime(B396)</f>
        <v>0h</v>
      </c>
      <c r="D396" s="120"/>
      <c r="E396" s="206"/>
      <c r="F396" s="207"/>
      <c r="G396" s="51"/>
    </row>
    <row r="397" spans="1:7" s="59" customFormat="1" ht="15" thickBot="1" x14ac:dyDescent="0.35">
      <c r="A397" s="79"/>
      <c r="B397" s="79"/>
      <c r="C397" s="79"/>
      <c r="D397" s="79"/>
      <c r="E397" s="79"/>
      <c r="F397" s="79"/>
      <c r="G397" s="58"/>
    </row>
    <row r="398" spans="1:7" s="47" customFormat="1" ht="30" customHeight="1" thickBot="1" x14ac:dyDescent="0.3">
      <c r="A398" s="81" t="s">
        <v>14</v>
      </c>
      <c r="B398" s="164">
        <v>1</v>
      </c>
      <c r="C398" s="164"/>
      <c r="D398" s="82" t="s">
        <v>52</v>
      </c>
      <c r="E398" s="94">
        <v>44321</v>
      </c>
      <c r="F398" s="126" t="s">
        <v>46</v>
      </c>
      <c r="G398" s="46"/>
    </row>
    <row r="399" spans="1:7" s="47" customFormat="1" ht="30" customHeight="1" thickBot="1" x14ac:dyDescent="0.3">
      <c r="A399" s="80" t="s">
        <v>5</v>
      </c>
      <c r="B399" s="151" t="s">
        <v>44</v>
      </c>
      <c r="C399" s="152"/>
      <c r="D399" s="80" t="s">
        <v>15</v>
      </c>
      <c r="E399" s="200" t="s">
        <v>16</v>
      </c>
      <c r="F399" s="201"/>
      <c r="G399" s="46"/>
    </row>
    <row r="400" spans="1:7" s="52" customFormat="1" x14ac:dyDescent="0.3">
      <c r="A400" s="48"/>
      <c r="B400" s="49"/>
      <c r="C400" s="153" t="str">
        <f xml:space="preserve"> IF(B400="","",setValueToTime(B400))</f>
        <v/>
      </c>
      <c r="D400" s="50"/>
      <c r="E400" s="208"/>
      <c r="F400" s="209"/>
      <c r="G400" s="51"/>
    </row>
    <row r="401" spans="1:7" s="52" customFormat="1" x14ac:dyDescent="0.3">
      <c r="A401" s="53"/>
      <c r="B401" s="54"/>
      <c r="C401" s="154" t="str">
        <f t="shared" ref="C401:C407" si="33" xml:space="preserve"> IF(B401="","",setValueToTime(B401))</f>
        <v/>
      </c>
      <c r="D401" s="55"/>
      <c r="E401" s="202"/>
      <c r="F401" s="203"/>
      <c r="G401" s="51"/>
    </row>
    <row r="402" spans="1:7" s="52" customFormat="1" x14ac:dyDescent="0.3">
      <c r="A402" s="53"/>
      <c r="B402" s="54"/>
      <c r="C402" s="154" t="str">
        <f t="shared" si="33"/>
        <v/>
      </c>
      <c r="D402" s="55"/>
      <c r="E402" s="202"/>
      <c r="F402" s="203"/>
      <c r="G402" s="51"/>
    </row>
    <row r="403" spans="1:7" s="52" customFormat="1" x14ac:dyDescent="0.3">
      <c r="A403" s="53"/>
      <c r="B403" s="54"/>
      <c r="C403" s="154" t="str">
        <f t="shared" si="33"/>
        <v/>
      </c>
      <c r="D403" s="55"/>
      <c r="E403" s="202"/>
      <c r="F403" s="203"/>
      <c r="G403" s="51"/>
    </row>
    <row r="404" spans="1:7" s="52" customFormat="1" x14ac:dyDescent="0.3">
      <c r="A404" s="54"/>
      <c r="B404" s="54"/>
      <c r="C404" s="155" t="str">
        <f t="shared" si="33"/>
        <v/>
      </c>
      <c r="D404" s="55"/>
      <c r="E404" s="202"/>
      <c r="F404" s="203"/>
      <c r="G404" s="51"/>
    </row>
    <row r="405" spans="1:7" s="52" customFormat="1" x14ac:dyDescent="0.3">
      <c r="A405" s="54"/>
      <c r="B405" s="54"/>
      <c r="C405" s="155" t="str">
        <f t="shared" si="33"/>
        <v/>
      </c>
      <c r="D405" s="55"/>
      <c r="E405" s="202"/>
      <c r="F405" s="203"/>
      <c r="G405" s="51"/>
    </row>
    <row r="406" spans="1:7" s="52" customFormat="1" x14ac:dyDescent="0.3">
      <c r="A406" s="54"/>
      <c r="B406" s="54"/>
      <c r="C406" s="155" t="str">
        <f t="shared" si="33"/>
        <v/>
      </c>
      <c r="D406" s="55"/>
      <c r="E406" s="202"/>
      <c r="F406" s="203"/>
      <c r="G406" s="51"/>
    </row>
    <row r="407" spans="1:7" s="52" customFormat="1" ht="15" thickBot="1" x14ac:dyDescent="0.35">
      <c r="A407" s="56"/>
      <c r="B407" s="56"/>
      <c r="C407" s="156" t="str">
        <f t="shared" si="33"/>
        <v/>
      </c>
      <c r="D407" s="57"/>
      <c r="E407" s="204"/>
      <c r="F407" s="205"/>
      <c r="G407" s="51"/>
    </row>
    <row r="408" spans="1:7" s="52" customFormat="1" ht="15" thickBot="1" x14ac:dyDescent="0.35">
      <c r="A408" s="111" t="s">
        <v>31</v>
      </c>
      <c r="B408" s="84">
        <f>SUM(B400:B407)</f>
        <v>0</v>
      </c>
      <c r="C408" s="111" t="str">
        <f xml:space="preserve"> setValueToTime(B408)</f>
        <v>0h</v>
      </c>
      <c r="D408" s="120"/>
      <c r="E408" s="206"/>
      <c r="F408" s="207"/>
      <c r="G408" s="51"/>
    </row>
    <row r="409" spans="1:7" s="59" customFormat="1" x14ac:dyDescent="0.3">
      <c r="A409" s="79"/>
      <c r="B409" s="79"/>
      <c r="C409" s="79"/>
      <c r="D409" s="79"/>
      <c r="E409" s="79"/>
      <c r="F409" s="79"/>
      <c r="G409" s="58"/>
    </row>
  </sheetData>
  <sheetProtection formatRows="0" insertRows="0" insertHyperlinks="0" deleteRows="0" selectLockedCells="1"/>
  <mergeCells count="340">
    <mergeCell ref="E9:F9"/>
    <mergeCell ref="E10:F10"/>
    <mergeCell ref="E11:F11"/>
    <mergeCell ref="E12:F12"/>
    <mergeCell ref="E21:F21"/>
    <mergeCell ref="E22:F22"/>
    <mergeCell ref="E23:F23"/>
    <mergeCell ref="E24:F24"/>
    <mergeCell ref="E3:F3"/>
    <mergeCell ref="E4:F4"/>
    <mergeCell ref="E5:F5"/>
    <mergeCell ref="E6:F6"/>
    <mergeCell ref="E7:F7"/>
    <mergeCell ref="E8:F8"/>
    <mergeCell ref="E33:F33"/>
    <mergeCell ref="E34:F34"/>
    <mergeCell ref="E35:F35"/>
    <mergeCell ref="E36:F36"/>
    <mergeCell ref="E15:F15"/>
    <mergeCell ref="E16:F16"/>
    <mergeCell ref="E17:F17"/>
    <mergeCell ref="E18:F18"/>
    <mergeCell ref="E19:F19"/>
    <mergeCell ref="E20:F20"/>
    <mergeCell ref="E45:F45"/>
    <mergeCell ref="E46:F46"/>
    <mergeCell ref="E47:F47"/>
    <mergeCell ref="E48:F48"/>
    <mergeCell ref="E27:F27"/>
    <mergeCell ref="E28:F28"/>
    <mergeCell ref="E29:F29"/>
    <mergeCell ref="E30:F30"/>
    <mergeCell ref="E31:F31"/>
    <mergeCell ref="E32:F32"/>
    <mergeCell ref="E57:F57"/>
    <mergeCell ref="E58:F58"/>
    <mergeCell ref="E59:F59"/>
    <mergeCell ref="E60:F60"/>
    <mergeCell ref="E39:F39"/>
    <mergeCell ref="E40:F40"/>
    <mergeCell ref="E41:F41"/>
    <mergeCell ref="E42:F42"/>
    <mergeCell ref="E43:F43"/>
    <mergeCell ref="E44:F44"/>
    <mergeCell ref="E69:F69"/>
    <mergeCell ref="E70:F70"/>
    <mergeCell ref="E71:F71"/>
    <mergeCell ref="E72:F72"/>
    <mergeCell ref="E51:F51"/>
    <mergeCell ref="E52:F52"/>
    <mergeCell ref="E53:F53"/>
    <mergeCell ref="E54:F54"/>
    <mergeCell ref="E55:F55"/>
    <mergeCell ref="E56:F56"/>
    <mergeCell ref="E81:F81"/>
    <mergeCell ref="E82:F82"/>
    <mergeCell ref="E83:F83"/>
    <mergeCell ref="E84:F84"/>
    <mergeCell ref="E63:F63"/>
    <mergeCell ref="E64:F64"/>
    <mergeCell ref="E65:F65"/>
    <mergeCell ref="E66:F66"/>
    <mergeCell ref="E67:F67"/>
    <mergeCell ref="E68:F68"/>
    <mergeCell ref="E93:F93"/>
    <mergeCell ref="E94:F94"/>
    <mergeCell ref="E95:F95"/>
    <mergeCell ref="E96:F96"/>
    <mergeCell ref="E75:F75"/>
    <mergeCell ref="E76:F76"/>
    <mergeCell ref="E77:F77"/>
    <mergeCell ref="E78:F78"/>
    <mergeCell ref="E79:F79"/>
    <mergeCell ref="E80:F80"/>
    <mergeCell ref="E105:F105"/>
    <mergeCell ref="E106:F106"/>
    <mergeCell ref="E107:F107"/>
    <mergeCell ref="E108:F108"/>
    <mergeCell ref="E87:F87"/>
    <mergeCell ref="E88:F88"/>
    <mergeCell ref="E89:F89"/>
    <mergeCell ref="E90:F90"/>
    <mergeCell ref="E91:F91"/>
    <mergeCell ref="E92:F92"/>
    <mergeCell ref="E117:F117"/>
    <mergeCell ref="E118:F118"/>
    <mergeCell ref="E119:F119"/>
    <mergeCell ref="E120:F120"/>
    <mergeCell ref="E99:F99"/>
    <mergeCell ref="E100:F100"/>
    <mergeCell ref="E101:F101"/>
    <mergeCell ref="E102:F102"/>
    <mergeCell ref="E103:F103"/>
    <mergeCell ref="E104:F104"/>
    <mergeCell ref="E129:F129"/>
    <mergeCell ref="E130:F130"/>
    <mergeCell ref="E131:F131"/>
    <mergeCell ref="E132:F132"/>
    <mergeCell ref="E111:F111"/>
    <mergeCell ref="E112:F112"/>
    <mergeCell ref="E113:F113"/>
    <mergeCell ref="E114:F114"/>
    <mergeCell ref="E115:F115"/>
    <mergeCell ref="E116:F116"/>
    <mergeCell ref="E141:F141"/>
    <mergeCell ref="E142:F142"/>
    <mergeCell ref="E143:F143"/>
    <mergeCell ref="E144:F144"/>
    <mergeCell ref="E123:F123"/>
    <mergeCell ref="E124:F124"/>
    <mergeCell ref="E125:F125"/>
    <mergeCell ref="E126:F126"/>
    <mergeCell ref="E127:F127"/>
    <mergeCell ref="E128:F128"/>
    <mergeCell ref="E153:F153"/>
    <mergeCell ref="E154:F154"/>
    <mergeCell ref="E155:F155"/>
    <mergeCell ref="E156:F156"/>
    <mergeCell ref="E135:F135"/>
    <mergeCell ref="E136:F136"/>
    <mergeCell ref="E137:F137"/>
    <mergeCell ref="E138:F138"/>
    <mergeCell ref="E139:F139"/>
    <mergeCell ref="E140:F140"/>
    <mergeCell ref="E165:F165"/>
    <mergeCell ref="E166:F166"/>
    <mergeCell ref="E167:F167"/>
    <mergeCell ref="E168:F168"/>
    <mergeCell ref="E147:F147"/>
    <mergeCell ref="E148:F148"/>
    <mergeCell ref="E149:F149"/>
    <mergeCell ref="E150:F150"/>
    <mergeCell ref="E151:F151"/>
    <mergeCell ref="E152:F152"/>
    <mergeCell ref="E177:F177"/>
    <mergeCell ref="E178:F178"/>
    <mergeCell ref="E179:F179"/>
    <mergeCell ref="E180:F180"/>
    <mergeCell ref="E159:F159"/>
    <mergeCell ref="E160:F160"/>
    <mergeCell ref="E161:F161"/>
    <mergeCell ref="E162:F162"/>
    <mergeCell ref="E163:F163"/>
    <mergeCell ref="E164:F164"/>
    <mergeCell ref="E189:F189"/>
    <mergeCell ref="E190:F190"/>
    <mergeCell ref="E191:F191"/>
    <mergeCell ref="E192:F192"/>
    <mergeCell ref="E171:F171"/>
    <mergeCell ref="E172:F172"/>
    <mergeCell ref="E173:F173"/>
    <mergeCell ref="E174:F174"/>
    <mergeCell ref="E175:F175"/>
    <mergeCell ref="E176:F176"/>
    <mergeCell ref="E201:F201"/>
    <mergeCell ref="E202:F202"/>
    <mergeCell ref="E203:F203"/>
    <mergeCell ref="E204:F204"/>
    <mergeCell ref="E183:F183"/>
    <mergeCell ref="E184:F184"/>
    <mergeCell ref="E185:F185"/>
    <mergeCell ref="E186:F186"/>
    <mergeCell ref="E187:F187"/>
    <mergeCell ref="E188:F188"/>
    <mergeCell ref="E213:F213"/>
    <mergeCell ref="E214:F214"/>
    <mergeCell ref="E215:F215"/>
    <mergeCell ref="E216:F216"/>
    <mergeCell ref="E195:F195"/>
    <mergeCell ref="E196:F196"/>
    <mergeCell ref="E197:F197"/>
    <mergeCell ref="E198:F198"/>
    <mergeCell ref="E199:F199"/>
    <mergeCell ref="E200:F200"/>
    <mergeCell ref="E225:F225"/>
    <mergeCell ref="E226:F226"/>
    <mergeCell ref="E227:F227"/>
    <mergeCell ref="E228:F228"/>
    <mergeCell ref="E207:F207"/>
    <mergeCell ref="E208:F208"/>
    <mergeCell ref="E209:F209"/>
    <mergeCell ref="E210:F210"/>
    <mergeCell ref="E211:F211"/>
    <mergeCell ref="E212:F212"/>
    <mergeCell ref="E237:F237"/>
    <mergeCell ref="E238:F238"/>
    <mergeCell ref="E239:F239"/>
    <mergeCell ref="E240:F240"/>
    <mergeCell ref="E219:F219"/>
    <mergeCell ref="E220:F220"/>
    <mergeCell ref="E221:F221"/>
    <mergeCell ref="E222:F222"/>
    <mergeCell ref="E223:F223"/>
    <mergeCell ref="E224:F224"/>
    <mergeCell ref="E249:F249"/>
    <mergeCell ref="E250:F250"/>
    <mergeCell ref="E251:F251"/>
    <mergeCell ref="E252:F252"/>
    <mergeCell ref="E231:F231"/>
    <mergeCell ref="E232:F232"/>
    <mergeCell ref="E233:F233"/>
    <mergeCell ref="E234:F234"/>
    <mergeCell ref="E235:F235"/>
    <mergeCell ref="E236:F236"/>
    <mergeCell ref="E261:F261"/>
    <mergeCell ref="E262:F262"/>
    <mergeCell ref="E263:F263"/>
    <mergeCell ref="E264:F264"/>
    <mergeCell ref="E243:F243"/>
    <mergeCell ref="E244:F244"/>
    <mergeCell ref="E245:F245"/>
    <mergeCell ref="E246:F246"/>
    <mergeCell ref="E247:F247"/>
    <mergeCell ref="E248:F248"/>
    <mergeCell ref="E273:F273"/>
    <mergeCell ref="E274:F274"/>
    <mergeCell ref="E275:F275"/>
    <mergeCell ref="E276:F276"/>
    <mergeCell ref="E255:F255"/>
    <mergeCell ref="E256:F256"/>
    <mergeCell ref="E257:F257"/>
    <mergeCell ref="E258:F258"/>
    <mergeCell ref="E259:F259"/>
    <mergeCell ref="E260:F260"/>
    <mergeCell ref="E285:F285"/>
    <mergeCell ref="E286:F286"/>
    <mergeCell ref="E287:F287"/>
    <mergeCell ref="E288:F288"/>
    <mergeCell ref="E267:F267"/>
    <mergeCell ref="E268:F268"/>
    <mergeCell ref="E269:F269"/>
    <mergeCell ref="E270:F270"/>
    <mergeCell ref="E271:F271"/>
    <mergeCell ref="E272:F272"/>
    <mergeCell ref="E297:F297"/>
    <mergeCell ref="E298:F298"/>
    <mergeCell ref="E299:F299"/>
    <mergeCell ref="E300:F300"/>
    <mergeCell ref="E279:F279"/>
    <mergeCell ref="E280:F280"/>
    <mergeCell ref="E281:F281"/>
    <mergeCell ref="E282:F282"/>
    <mergeCell ref="E283:F283"/>
    <mergeCell ref="E284:F284"/>
    <mergeCell ref="E309:F309"/>
    <mergeCell ref="E310:F310"/>
    <mergeCell ref="E311:F311"/>
    <mergeCell ref="E312:F312"/>
    <mergeCell ref="E291:F291"/>
    <mergeCell ref="E292:F292"/>
    <mergeCell ref="E293:F293"/>
    <mergeCell ref="E294:F294"/>
    <mergeCell ref="E295:F295"/>
    <mergeCell ref="E296:F296"/>
    <mergeCell ref="E321:F321"/>
    <mergeCell ref="E322:F322"/>
    <mergeCell ref="E323:F323"/>
    <mergeCell ref="E324:F324"/>
    <mergeCell ref="E303:F303"/>
    <mergeCell ref="E304:F304"/>
    <mergeCell ref="E305:F305"/>
    <mergeCell ref="E306:F306"/>
    <mergeCell ref="E307:F307"/>
    <mergeCell ref="E308:F308"/>
    <mergeCell ref="E333:F333"/>
    <mergeCell ref="E334:F334"/>
    <mergeCell ref="E335:F335"/>
    <mergeCell ref="E336:F336"/>
    <mergeCell ref="E315:F315"/>
    <mergeCell ref="E316:F316"/>
    <mergeCell ref="E317:F317"/>
    <mergeCell ref="E318:F318"/>
    <mergeCell ref="E319:F319"/>
    <mergeCell ref="E320:F320"/>
    <mergeCell ref="E345:F345"/>
    <mergeCell ref="E346:F346"/>
    <mergeCell ref="E347:F347"/>
    <mergeCell ref="E348:F348"/>
    <mergeCell ref="E327:F327"/>
    <mergeCell ref="E328:F328"/>
    <mergeCell ref="E329:F329"/>
    <mergeCell ref="E330:F330"/>
    <mergeCell ref="E331:F331"/>
    <mergeCell ref="E332:F332"/>
    <mergeCell ref="E357:F357"/>
    <mergeCell ref="E358:F358"/>
    <mergeCell ref="E359:F359"/>
    <mergeCell ref="E360:F360"/>
    <mergeCell ref="E339:F339"/>
    <mergeCell ref="E340:F340"/>
    <mergeCell ref="E341:F341"/>
    <mergeCell ref="E342:F342"/>
    <mergeCell ref="E343:F343"/>
    <mergeCell ref="E344:F344"/>
    <mergeCell ref="E369:F369"/>
    <mergeCell ref="E370:F370"/>
    <mergeCell ref="E371:F371"/>
    <mergeCell ref="E372:F372"/>
    <mergeCell ref="E351:F351"/>
    <mergeCell ref="E352:F352"/>
    <mergeCell ref="E353:F353"/>
    <mergeCell ref="E354:F354"/>
    <mergeCell ref="E355:F355"/>
    <mergeCell ref="E356:F356"/>
    <mergeCell ref="E381:F381"/>
    <mergeCell ref="E382:F382"/>
    <mergeCell ref="E383:F383"/>
    <mergeCell ref="E384:F384"/>
    <mergeCell ref="E363:F363"/>
    <mergeCell ref="E364:F364"/>
    <mergeCell ref="E365:F365"/>
    <mergeCell ref="E366:F366"/>
    <mergeCell ref="E367:F367"/>
    <mergeCell ref="E368:F368"/>
    <mergeCell ref="E393:F393"/>
    <mergeCell ref="E394:F394"/>
    <mergeCell ref="E395:F395"/>
    <mergeCell ref="E396:F396"/>
    <mergeCell ref="E375:F375"/>
    <mergeCell ref="E376:F376"/>
    <mergeCell ref="E377:F377"/>
    <mergeCell ref="E378:F378"/>
    <mergeCell ref="E379:F379"/>
    <mergeCell ref="E380:F380"/>
    <mergeCell ref="E405:F405"/>
    <mergeCell ref="E406:F406"/>
    <mergeCell ref="E407:F407"/>
    <mergeCell ref="E408:F408"/>
    <mergeCell ref="E387:F387"/>
    <mergeCell ref="E388:F388"/>
    <mergeCell ref="E389:F389"/>
    <mergeCell ref="E390:F390"/>
    <mergeCell ref="E391:F391"/>
    <mergeCell ref="E392:F392"/>
    <mergeCell ref="E399:F399"/>
    <mergeCell ref="E400:F400"/>
    <mergeCell ref="E401:F401"/>
    <mergeCell ref="E402:F402"/>
    <mergeCell ref="E403:F403"/>
    <mergeCell ref="E404:F404"/>
  </mergeCells>
  <phoneticPr fontId="0" type="noConversion"/>
  <conditionalFormatting sqref="B408">
    <cfRule type="cellIs" dxfId="36" priority="34" operator="greaterThan">
      <formula>60</formula>
    </cfRule>
  </conditionalFormatting>
  <conditionalFormatting sqref="B396">
    <cfRule type="cellIs" dxfId="35" priority="33" operator="greaterThan">
      <formula>60</formula>
    </cfRule>
  </conditionalFormatting>
  <conditionalFormatting sqref="B384">
    <cfRule type="cellIs" dxfId="34" priority="32" operator="greaterThan">
      <formula>60</formula>
    </cfRule>
  </conditionalFormatting>
  <conditionalFormatting sqref="B372">
    <cfRule type="cellIs" dxfId="33" priority="31" operator="greaterThan">
      <formula>60</formula>
    </cfRule>
  </conditionalFormatting>
  <conditionalFormatting sqref="B360">
    <cfRule type="cellIs" dxfId="32" priority="30" operator="greaterThan">
      <formula>60</formula>
    </cfRule>
  </conditionalFormatting>
  <conditionalFormatting sqref="B348">
    <cfRule type="cellIs" dxfId="31" priority="29" operator="greaterThan">
      <formula>60</formula>
    </cfRule>
  </conditionalFormatting>
  <conditionalFormatting sqref="B336">
    <cfRule type="cellIs" dxfId="30" priority="28" operator="greaterThan">
      <formula>60</formula>
    </cfRule>
  </conditionalFormatting>
  <conditionalFormatting sqref="B324">
    <cfRule type="cellIs" dxfId="29" priority="27" operator="greaterThan">
      <formula>60</formula>
    </cfRule>
  </conditionalFormatting>
  <conditionalFormatting sqref="B312">
    <cfRule type="cellIs" dxfId="28" priority="26" operator="greaterThan">
      <formula>60</formula>
    </cfRule>
  </conditionalFormatting>
  <conditionalFormatting sqref="B300">
    <cfRule type="cellIs" dxfId="27" priority="25" operator="greaterThan">
      <formula>60</formula>
    </cfRule>
  </conditionalFormatting>
  <conditionalFormatting sqref="B288">
    <cfRule type="cellIs" dxfId="26" priority="24" operator="greaterThan">
      <formula>60</formula>
    </cfRule>
  </conditionalFormatting>
  <conditionalFormatting sqref="B276">
    <cfRule type="cellIs" dxfId="25" priority="23" operator="greaterThan">
      <formula>60</formula>
    </cfRule>
  </conditionalFormatting>
  <conditionalFormatting sqref="B264">
    <cfRule type="cellIs" dxfId="24" priority="22" operator="greaterThan">
      <formula>60</formula>
    </cfRule>
  </conditionalFormatting>
  <conditionalFormatting sqref="B252">
    <cfRule type="cellIs" dxfId="23" priority="21" operator="greaterThan">
      <formula>60</formula>
    </cfRule>
  </conditionalFormatting>
  <conditionalFormatting sqref="B240">
    <cfRule type="cellIs" dxfId="22" priority="20" operator="greaterThan">
      <formula>60</formula>
    </cfRule>
  </conditionalFormatting>
  <conditionalFormatting sqref="B228">
    <cfRule type="cellIs" dxfId="21" priority="19" operator="greaterThan">
      <formula>60</formula>
    </cfRule>
  </conditionalFormatting>
  <conditionalFormatting sqref="B216">
    <cfRule type="cellIs" dxfId="20" priority="18" operator="greaterThan">
      <formula>60</formula>
    </cfRule>
  </conditionalFormatting>
  <conditionalFormatting sqref="B204">
    <cfRule type="cellIs" dxfId="19" priority="17" operator="greaterThan">
      <formula>60</formula>
    </cfRule>
  </conditionalFormatting>
  <conditionalFormatting sqref="B192">
    <cfRule type="cellIs" dxfId="18" priority="16" operator="greaterThan">
      <formula>60</formula>
    </cfRule>
  </conditionalFormatting>
  <conditionalFormatting sqref="B180">
    <cfRule type="cellIs" dxfId="17" priority="15" operator="greaterThan">
      <formula>60</formula>
    </cfRule>
  </conditionalFormatting>
  <conditionalFormatting sqref="B168">
    <cfRule type="cellIs" dxfId="16" priority="14" operator="greaterThan">
      <formula>60</formula>
    </cfRule>
  </conditionalFormatting>
  <conditionalFormatting sqref="B156">
    <cfRule type="cellIs" dxfId="15" priority="13" operator="greaterThan">
      <formula>60</formula>
    </cfRule>
  </conditionalFormatting>
  <conditionalFormatting sqref="B144">
    <cfRule type="cellIs" dxfId="14" priority="12" operator="greaterThan">
      <formula>60</formula>
    </cfRule>
  </conditionalFormatting>
  <conditionalFormatting sqref="B132">
    <cfRule type="cellIs" dxfId="13" priority="11" operator="greaterThan">
      <formula>60</formula>
    </cfRule>
  </conditionalFormatting>
  <conditionalFormatting sqref="B120">
    <cfRule type="cellIs" dxfId="12" priority="10" operator="greaterThan">
      <formula>60</formula>
    </cfRule>
  </conditionalFormatting>
  <conditionalFormatting sqref="B108">
    <cfRule type="cellIs" dxfId="11" priority="9" operator="greaterThan">
      <formula>60</formula>
    </cfRule>
  </conditionalFormatting>
  <conditionalFormatting sqref="B96">
    <cfRule type="cellIs" dxfId="10" priority="8" operator="greaterThan">
      <formula>60</formula>
    </cfRule>
  </conditionalFormatting>
  <conditionalFormatting sqref="B84">
    <cfRule type="cellIs" dxfId="9" priority="7" operator="greaterThan">
      <formula>60</formula>
    </cfRule>
  </conditionalFormatting>
  <conditionalFormatting sqref="B72">
    <cfRule type="cellIs" dxfId="8" priority="6" operator="greaterThan">
      <formula>60</formula>
    </cfRule>
  </conditionalFormatting>
  <conditionalFormatting sqref="B60">
    <cfRule type="cellIs" dxfId="7" priority="5" operator="greaterThan">
      <formula>60</formula>
    </cfRule>
  </conditionalFormatting>
  <conditionalFormatting sqref="B48">
    <cfRule type="cellIs" dxfId="6" priority="4" operator="greaterThan">
      <formula>60</formula>
    </cfRule>
  </conditionalFormatting>
  <conditionalFormatting sqref="B36">
    <cfRule type="cellIs" dxfId="5" priority="3" operator="greaterThan">
      <formula>60</formula>
    </cfRule>
  </conditionalFormatting>
  <conditionalFormatting sqref="B24">
    <cfRule type="cellIs" dxfId="4" priority="2" operator="greaterThan">
      <formula>60</formula>
    </cfRule>
  </conditionalFormatting>
  <conditionalFormatting sqref="B12">
    <cfRule type="cellIs" dxfId="3"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08 B396 B384 B372 B360 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400:B407 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formula1>0</formula1>
    </dataValidation>
    <dataValidation type="list" allowBlank="1" showInputMessage="1" showErrorMessage="1" sqref="A400:A407 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3"/>
  <sheetViews>
    <sheetView showGridLines="0" zoomScaleNormal="100" zoomScaleSheetLayoutView="98" workbookViewId="0">
      <pane ySplit="1" topLeftCell="A2" activePane="bottomLeft" state="frozen"/>
      <selection pane="bottomLeft" activeCell="F2" sqref="F2"/>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42.425781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14</v>
      </c>
      <c r="B2" s="165">
        <v>1</v>
      </c>
      <c r="C2" s="165"/>
      <c r="D2" s="158" t="s">
        <v>17</v>
      </c>
      <c r="E2" s="159">
        <v>44321</v>
      </c>
      <c r="F2" s="160" t="s">
        <v>47</v>
      </c>
      <c r="G2" s="46"/>
    </row>
    <row r="3" spans="1:7" s="47" customFormat="1" ht="30" customHeight="1" thickBot="1" x14ac:dyDescent="0.3">
      <c r="A3" s="78" t="s">
        <v>5</v>
      </c>
      <c r="B3" s="162" t="s">
        <v>44</v>
      </c>
      <c r="C3" s="161"/>
      <c r="D3" s="78" t="s">
        <v>15</v>
      </c>
      <c r="E3" s="212" t="s">
        <v>16</v>
      </c>
      <c r="F3" s="213"/>
      <c r="G3" s="46"/>
    </row>
    <row r="4" spans="1:7" s="52" customFormat="1" x14ac:dyDescent="0.3">
      <c r="A4" s="48"/>
      <c r="B4" s="49"/>
      <c r="C4" s="153" t="str">
        <f xml:space="preserve"> IF(B4="","",setValueToTime(B4))</f>
        <v/>
      </c>
      <c r="D4" s="50"/>
      <c r="E4" s="208"/>
      <c r="F4" s="209"/>
      <c r="G4" s="51"/>
    </row>
    <row r="5" spans="1:7" s="52" customFormat="1" x14ac:dyDescent="0.3">
      <c r="A5" s="53"/>
      <c r="B5" s="54"/>
      <c r="C5" s="154" t="str">
        <f t="shared" ref="C5:C11" si="0" xml:space="preserve"> IF(B5="","",setValueToTime(B5))</f>
        <v/>
      </c>
      <c r="D5" s="55"/>
      <c r="E5" s="202"/>
      <c r="F5" s="203"/>
      <c r="G5" s="51"/>
    </row>
    <row r="6" spans="1:7" s="52" customFormat="1" x14ac:dyDescent="0.3">
      <c r="A6" s="53"/>
      <c r="B6" s="54"/>
      <c r="C6" s="154" t="str">
        <f t="shared" si="0"/>
        <v/>
      </c>
      <c r="D6" s="55"/>
      <c r="E6" s="202"/>
      <c r="F6" s="203"/>
      <c r="G6" s="51"/>
    </row>
    <row r="7" spans="1:7" s="52" customFormat="1" x14ac:dyDescent="0.3">
      <c r="A7" s="53"/>
      <c r="B7" s="54"/>
      <c r="C7" s="154" t="str">
        <f t="shared" si="0"/>
        <v/>
      </c>
      <c r="D7" s="55"/>
      <c r="E7" s="202"/>
      <c r="F7" s="203"/>
      <c r="G7" s="51"/>
    </row>
    <row r="8" spans="1:7" s="52" customFormat="1" x14ac:dyDescent="0.3">
      <c r="A8" s="54"/>
      <c r="B8" s="54"/>
      <c r="C8" s="155" t="str">
        <f t="shared" si="0"/>
        <v/>
      </c>
      <c r="D8" s="55"/>
      <c r="E8" s="202"/>
      <c r="F8" s="203"/>
      <c r="G8" s="51"/>
    </row>
    <row r="9" spans="1:7" s="52" customFormat="1" x14ac:dyDescent="0.3">
      <c r="A9" s="54"/>
      <c r="B9" s="54"/>
      <c r="C9" s="155" t="str">
        <f t="shared" si="0"/>
        <v/>
      </c>
      <c r="D9" s="55"/>
      <c r="E9" s="202"/>
      <c r="F9" s="203"/>
      <c r="G9" s="51"/>
    </row>
    <row r="10" spans="1:7" s="52" customFormat="1" x14ac:dyDescent="0.3">
      <c r="A10" s="54"/>
      <c r="B10" s="54"/>
      <c r="C10" s="155" t="str">
        <f t="shared" si="0"/>
        <v/>
      </c>
      <c r="D10" s="55"/>
      <c r="E10" s="202"/>
      <c r="F10" s="203"/>
      <c r="G10" s="51"/>
    </row>
    <row r="11" spans="1:7" s="52" customFormat="1" ht="15" thickBot="1" x14ac:dyDescent="0.35">
      <c r="A11" s="56"/>
      <c r="B11" s="56"/>
      <c r="C11" s="156" t="str">
        <f t="shared" si="0"/>
        <v/>
      </c>
      <c r="D11" s="57"/>
      <c r="E11" s="204"/>
      <c r="F11" s="205"/>
      <c r="G11" s="51"/>
    </row>
    <row r="12" spans="1:7" s="52" customFormat="1" ht="15" thickBot="1" x14ac:dyDescent="0.35">
      <c r="A12" s="163" t="s">
        <v>31</v>
      </c>
      <c r="B12" s="83">
        <f>SUM(B4:B11)</f>
        <v>0</v>
      </c>
      <c r="C12" s="163" t="str">
        <f xml:space="preserve"> setValueToTime(B12)</f>
        <v>0h</v>
      </c>
      <c r="D12" s="121"/>
      <c r="E12" s="210"/>
      <c r="F12" s="211"/>
      <c r="G12" s="51"/>
    </row>
    <row r="13" spans="1:7" s="59" customFormat="1" x14ac:dyDescent="0.3">
      <c r="A13" s="77"/>
      <c r="B13" s="77"/>
      <c r="C13" s="77"/>
      <c r="D13" s="77"/>
      <c r="E13" s="77"/>
      <c r="F13" s="77"/>
      <c r="G13" s="58"/>
    </row>
  </sheetData>
  <sheetProtection formatRows="0" insertRows="0" insertHyperlinks="0" deleteRows="0" selectLockedCells="1"/>
  <mergeCells count="10">
    <mergeCell ref="E9:F9"/>
    <mergeCell ref="E10:F10"/>
    <mergeCell ref="E11:F11"/>
    <mergeCell ref="E12:F12"/>
    <mergeCell ref="E3:F3"/>
    <mergeCell ref="E4:F4"/>
    <mergeCell ref="E5:F5"/>
    <mergeCell ref="E6:F6"/>
    <mergeCell ref="E7:F7"/>
    <mergeCell ref="E8:F8"/>
  </mergeCells>
  <phoneticPr fontId="0" type="noConversion"/>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2">
      <formula1>0</formula1>
      <formula2>60</formula2>
    </dataValidation>
    <dataValidation type="list" allowBlank="1" showInputMessage="1" showErrorMessage="1" sqref="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3"/>
      <c r="B10" s="183"/>
      <c r="C10" s="183"/>
      <c r="D10" s="183"/>
      <c r="E10" s="183"/>
      <c r="F10" s="183"/>
      <c r="G10" s="183"/>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c r="AG10" s="183"/>
      <c r="AH10" s="183"/>
      <c r="AI10" s="183"/>
      <c r="AJ10" s="183"/>
      <c r="AK10" s="183"/>
      <c r="AL10" s="183"/>
      <c r="AM10" s="183"/>
      <c r="AN10" s="183"/>
      <c r="AO10" s="183"/>
      <c r="AP10" s="183"/>
      <c r="AQ10" s="183"/>
      <c r="AR10" s="183"/>
      <c r="AS10" s="183"/>
      <c r="AT10" s="183"/>
      <c r="AU10" s="183"/>
      <c r="AV10" s="183"/>
      <c r="AW10" s="183"/>
      <c r="AX10" s="183"/>
      <c r="AY10" s="183"/>
      <c r="AZ10" s="183"/>
      <c r="BA10" s="183"/>
      <c r="BB10" s="183"/>
      <c r="BC10" s="183"/>
      <c r="BD10" s="183"/>
      <c r="BE10" s="183"/>
      <c r="BF10" s="183"/>
      <c r="BG10" s="183"/>
      <c r="BH10" s="183"/>
      <c r="BI10" s="90"/>
    </row>
    <row r="11" spans="1:61" ht="18" x14ac:dyDescent="0.25">
      <c r="A11" s="185"/>
      <c r="B11" s="185"/>
      <c r="C11" s="185"/>
      <c r="D11" s="185"/>
      <c r="E11" s="185"/>
      <c r="F11" s="185"/>
      <c r="G11" s="185"/>
      <c r="H11" s="185"/>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185"/>
      <c r="BC11" s="185"/>
      <c r="BD11" s="185"/>
      <c r="BE11" s="185"/>
      <c r="BF11" s="185"/>
      <c r="BG11" s="185"/>
      <c r="BH11" s="185"/>
      <c r="BI11" s="90"/>
    </row>
    <row r="12" spans="1:61" ht="18.75" thickBot="1" x14ac:dyDescent="0.3">
      <c r="A12" s="186"/>
      <c r="B12" s="186"/>
      <c r="C12" s="186"/>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6"/>
      <c r="AI12" s="186"/>
      <c r="AJ12" s="186"/>
      <c r="AK12" s="186"/>
      <c r="AL12" s="186"/>
      <c r="AM12" s="186"/>
      <c r="AN12" s="186"/>
      <c r="AO12" s="186"/>
      <c r="AP12" s="186"/>
      <c r="AQ12" s="186"/>
      <c r="AR12" s="186"/>
      <c r="AS12" s="186"/>
      <c r="AT12" s="186"/>
      <c r="AU12" s="186"/>
      <c r="AV12" s="186"/>
      <c r="AW12" s="186"/>
      <c r="AX12" s="186"/>
      <c r="AY12" s="186"/>
      <c r="AZ12" s="186"/>
      <c r="BA12" s="186"/>
      <c r="BB12" s="186"/>
      <c r="BC12" s="186"/>
      <c r="BD12" s="186"/>
      <c r="BE12" s="186"/>
      <c r="BF12" s="186"/>
      <c r="BG12" s="186"/>
      <c r="BH12" s="186"/>
      <c r="BI12" s="90"/>
    </row>
    <row r="13" spans="1:61" ht="18.75" thickBot="1" x14ac:dyDescent="0.3">
      <c r="A13" s="187" t="s">
        <v>14</v>
      </c>
      <c r="B13" s="188"/>
      <c r="C13" s="188"/>
      <c r="D13" s="188"/>
      <c r="E13" s="188"/>
      <c r="F13" s="188"/>
      <c r="G13" s="188"/>
      <c r="H13" s="188"/>
      <c r="I13" s="188"/>
      <c r="J13" s="188"/>
      <c r="K13" s="188"/>
      <c r="L13" s="188"/>
      <c r="M13" s="188"/>
      <c r="N13" s="188"/>
      <c r="O13" s="188"/>
      <c r="P13" s="188"/>
      <c r="Q13" s="188"/>
      <c r="R13" s="188"/>
      <c r="S13" s="188"/>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9"/>
      <c r="BI13" s="90"/>
    </row>
    <row r="14" spans="1:61" ht="15.75" thickBot="1" x14ac:dyDescent="0.35">
      <c r="A14" s="103"/>
      <c r="B14" s="104"/>
      <c r="C14" s="104"/>
      <c r="D14" s="104"/>
      <c r="E14" s="190" t="s">
        <v>38</v>
      </c>
      <c r="F14" s="190"/>
      <c r="G14" s="190"/>
      <c r="H14" s="190"/>
      <c r="I14" s="104"/>
      <c r="J14" s="104"/>
      <c r="K14" s="191" t="s">
        <v>26</v>
      </c>
      <c r="L14" s="191"/>
      <c r="M14" s="191"/>
      <c r="N14" s="191"/>
      <c r="O14" s="129"/>
      <c r="P14" s="129"/>
      <c r="Q14" s="190" t="s">
        <v>39</v>
      </c>
      <c r="R14" s="190"/>
      <c r="S14" s="190"/>
      <c r="T14" s="190"/>
      <c r="U14" s="104"/>
      <c r="V14" s="104"/>
      <c r="W14" s="191" t="s">
        <v>27</v>
      </c>
      <c r="X14" s="191"/>
      <c r="Y14" s="191"/>
      <c r="Z14" s="191"/>
      <c r="AA14" s="129"/>
      <c r="AB14" s="129"/>
      <c r="AC14" s="190" t="s">
        <v>40</v>
      </c>
      <c r="AD14" s="190"/>
      <c r="AE14" s="190"/>
      <c r="AF14" s="190"/>
      <c r="AG14" s="104"/>
      <c r="AH14" s="104"/>
      <c r="AI14" s="191" t="s">
        <v>28</v>
      </c>
      <c r="AJ14" s="191"/>
      <c r="AK14" s="191"/>
      <c r="AL14" s="191"/>
      <c r="AM14" s="129"/>
      <c r="AN14" s="129"/>
      <c r="AO14" s="190" t="s">
        <v>41</v>
      </c>
      <c r="AP14" s="190"/>
      <c r="AQ14" s="190"/>
      <c r="AR14" s="190"/>
      <c r="AS14" s="104"/>
      <c r="AT14" s="104"/>
      <c r="AU14" s="191" t="s">
        <v>29</v>
      </c>
      <c r="AV14" s="191"/>
      <c r="AW14" s="191"/>
      <c r="AX14" s="191"/>
      <c r="AY14" s="129"/>
      <c r="AZ14" s="129"/>
      <c r="BA14" s="190" t="s">
        <v>42</v>
      </c>
      <c r="BB14" s="190"/>
      <c r="BC14" s="190"/>
      <c r="BD14" s="19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14</v>
      </c>
      <c r="B1" s="164">
        <v>1</v>
      </c>
      <c r="C1" s="164"/>
      <c r="D1" s="82" t="s">
        <v>17</v>
      </c>
      <c r="E1" s="94"/>
      <c r="F1" s="126"/>
      <c r="G1" s="46"/>
    </row>
    <row r="2" spans="1:7" s="47" customFormat="1" ht="30" customHeight="1" thickBot="1" x14ac:dyDescent="0.3">
      <c r="A2" s="80" t="s">
        <v>5</v>
      </c>
      <c r="B2" s="151" t="s">
        <v>44</v>
      </c>
      <c r="C2" s="152"/>
      <c r="D2" s="80" t="s">
        <v>15</v>
      </c>
      <c r="E2" s="200" t="s">
        <v>16</v>
      </c>
      <c r="F2" s="201"/>
      <c r="G2" s="46"/>
    </row>
    <row r="3" spans="1:7" s="52" customFormat="1" x14ac:dyDescent="0.3">
      <c r="A3" s="48"/>
      <c r="B3" s="49"/>
      <c r="C3" s="153" t="str">
        <f xml:space="preserve"> IF(B3="","",setValueToTime(B3))</f>
        <v/>
      </c>
      <c r="D3" s="50"/>
      <c r="E3" s="208"/>
      <c r="F3" s="209"/>
      <c r="G3" s="51"/>
    </row>
    <row r="4" spans="1:7" s="52" customFormat="1" x14ac:dyDescent="0.3">
      <c r="A4" s="53"/>
      <c r="B4" s="54"/>
      <c r="C4" s="154" t="str">
        <f t="shared" ref="C4:C10" si="0" xml:space="preserve"> IF(B4="","",setValueToTime(B4))</f>
        <v/>
      </c>
      <c r="D4" s="55"/>
      <c r="E4" s="202"/>
      <c r="F4" s="203"/>
      <c r="G4" s="51"/>
    </row>
    <row r="5" spans="1:7" s="52" customFormat="1" x14ac:dyDescent="0.3">
      <c r="A5" s="53"/>
      <c r="B5" s="54"/>
      <c r="C5" s="154" t="str">
        <f t="shared" si="0"/>
        <v/>
      </c>
      <c r="D5" s="55"/>
      <c r="E5" s="202"/>
      <c r="F5" s="203"/>
      <c r="G5" s="51"/>
    </row>
    <row r="6" spans="1:7" s="52" customFormat="1" x14ac:dyDescent="0.3">
      <c r="A6" s="53"/>
      <c r="B6" s="54"/>
      <c r="C6" s="154" t="str">
        <f t="shared" si="0"/>
        <v/>
      </c>
      <c r="D6" s="55"/>
      <c r="E6" s="202"/>
      <c r="F6" s="203"/>
      <c r="G6" s="51"/>
    </row>
    <row r="7" spans="1:7" s="52" customFormat="1" x14ac:dyDescent="0.3">
      <c r="A7" s="54"/>
      <c r="B7" s="54"/>
      <c r="C7" s="155" t="str">
        <f t="shared" si="0"/>
        <v/>
      </c>
      <c r="D7" s="55"/>
      <c r="E7" s="202"/>
      <c r="F7" s="203"/>
      <c r="G7" s="51"/>
    </row>
    <row r="8" spans="1:7" s="52" customFormat="1" x14ac:dyDescent="0.3">
      <c r="A8" s="54"/>
      <c r="B8" s="54"/>
      <c r="C8" s="155" t="str">
        <f t="shared" si="0"/>
        <v/>
      </c>
      <c r="D8" s="55"/>
      <c r="E8" s="202"/>
      <c r="F8" s="203"/>
      <c r="G8" s="51"/>
    </row>
    <row r="9" spans="1:7" s="52" customFormat="1" x14ac:dyDescent="0.3">
      <c r="A9" s="54"/>
      <c r="B9" s="54"/>
      <c r="C9" s="155" t="str">
        <f t="shared" si="0"/>
        <v/>
      </c>
      <c r="D9" s="55"/>
      <c r="E9" s="202"/>
      <c r="F9" s="203"/>
      <c r="G9" s="51"/>
    </row>
    <row r="10" spans="1:7" s="52" customFormat="1" ht="15" thickBot="1" x14ac:dyDescent="0.35">
      <c r="A10" s="56"/>
      <c r="B10" s="56"/>
      <c r="C10" s="156" t="str">
        <f t="shared" si="0"/>
        <v/>
      </c>
      <c r="D10" s="57"/>
      <c r="E10" s="204"/>
      <c r="F10" s="205"/>
      <c r="G10" s="51"/>
    </row>
    <row r="11" spans="1:7" s="52" customFormat="1" ht="15" thickBot="1" x14ac:dyDescent="0.35">
      <c r="A11" s="111" t="s">
        <v>31</v>
      </c>
      <c r="B11" s="84">
        <f>SUM(B3:B10)</f>
        <v>0</v>
      </c>
      <c r="C11" s="111" t="str">
        <f xml:space="preserve"> setValueToTime(B11)</f>
        <v>0h</v>
      </c>
      <c r="D11" s="120"/>
      <c r="E11" s="206"/>
      <c r="F11" s="207"/>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14</v>
      </c>
      <c r="B1" s="165">
        <v>1</v>
      </c>
      <c r="C1" s="165"/>
      <c r="D1" s="158" t="s">
        <v>17</v>
      </c>
      <c r="E1" s="159"/>
      <c r="F1" s="160"/>
      <c r="G1" s="46"/>
    </row>
    <row r="2" spans="1:7" s="47" customFormat="1" ht="30" customHeight="1" thickBot="1" x14ac:dyDescent="0.3">
      <c r="A2" s="78" t="s">
        <v>5</v>
      </c>
      <c r="B2" s="162" t="s">
        <v>44</v>
      </c>
      <c r="C2" s="161"/>
      <c r="D2" s="78" t="s">
        <v>15</v>
      </c>
      <c r="E2" s="212" t="s">
        <v>16</v>
      </c>
      <c r="F2" s="213"/>
      <c r="G2" s="46"/>
    </row>
    <row r="3" spans="1:7" s="52" customFormat="1" x14ac:dyDescent="0.3">
      <c r="A3" s="48"/>
      <c r="B3" s="49"/>
      <c r="C3" s="153" t="str">
        <f xml:space="preserve"> IF(B3="","",setValueToTime(B3))</f>
        <v/>
      </c>
      <c r="D3" s="50"/>
      <c r="E3" s="208"/>
      <c r="F3" s="209"/>
      <c r="G3" s="51"/>
    </row>
    <row r="4" spans="1:7" s="52" customFormat="1" x14ac:dyDescent="0.3">
      <c r="A4" s="53"/>
      <c r="B4" s="54"/>
      <c r="C4" s="154" t="str">
        <f t="shared" ref="C4:C10" si="0" xml:space="preserve"> IF(B4="","",setValueToTime(B4))</f>
        <v/>
      </c>
      <c r="D4" s="55"/>
      <c r="E4" s="202"/>
      <c r="F4" s="203"/>
      <c r="G4" s="51"/>
    </row>
    <row r="5" spans="1:7" s="52" customFormat="1" x14ac:dyDescent="0.3">
      <c r="A5" s="53"/>
      <c r="B5" s="54"/>
      <c r="C5" s="154" t="str">
        <f t="shared" si="0"/>
        <v/>
      </c>
      <c r="D5" s="55"/>
      <c r="E5" s="202"/>
      <c r="F5" s="203"/>
      <c r="G5" s="51"/>
    </row>
    <row r="6" spans="1:7" s="52" customFormat="1" x14ac:dyDescent="0.3">
      <c r="A6" s="53"/>
      <c r="B6" s="54"/>
      <c r="C6" s="154" t="str">
        <f t="shared" si="0"/>
        <v/>
      </c>
      <c r="D6" s="55"/>
      <c r="E6" s="202"/>
      <c r="F6" s="203"/>
      <c r="G6" s="51"/>
    </row>
    <row r="7" spans="1:7" s="52" customFormat="1" x14ac:dyDescent="0.3">
      <c r="A7" s="54"/>
      <c r="B7" s="54"/>
      <c r="C7" s="155" t="str">
        <f t="shared" si="0"/>
        <v/>
      </c>
      <c r="D7" s="55"/>
      <c r="E7" s="202"/>
      <c r="F7" s="203"/>
      <c r="G7" s="51"/>
    </row>
    <row r="8" spans="1:7" s="52" customFormat="1" x14ac:dyDescent="0.3">
      <c r="A8" s="54"/>
      <c r="B8" s="54"/>
      <c r="C8" s="155" t="str">
        <f t="shared" si="0"/>
        <v/>
      </c>
      <c r="D8" s="55"/>
      <c r="E8" s="202"/>
      <c r="F8" s="203"/>
      <c r="G8" s="51"/>
    </row>
    <row r="9" spans="1:7" s="52" customFormat="1" x14ac:dyDescent="0.3">
      <c r="A9" s="54"/>
      <c r="B9" s="54"/>
      <c r="C9" s="155" t="str">
        <f t="shared" si="0"/>
        <v/>
      </c>
      <c r="D9" s="55"/>
      <c r="E9" s="202"/>
      <c r="F9" s="203"/>
      <c r="G9" s="51"/>
    </row>
    <row r="10" spans="1:7" s="52" customFormat="1" ht="15" thickBot="1" x14ac:dyDescent="0.35">
      <c r="A10" s="56"/>
      <c r="B10" s="56"/>
      <c r="C10" s="156" t="str">
        <f t="shared" si="0"/>
        <v/>
      </c>
      <c r="D10" s="57"/>
      <c r="E10" s="204"/>
      <c r="F10" s="205"/>
      <c r="G10" s="51"/>
    </row>
    <row r="11" spans="1:7" s="52" customFormat="1" ht="15" thickBot="1" x14ac:dyDescent="0.35">
      <c r="A11" s="163" t="s">
        <v>31</v>
      </c>
      <c r="B11" s="83">
        <f>SUM(B3:B10)</f>
        <v>0</v>
      </c>
      <c r="C11" s="163" t="str">
        <f xml:space="preserve"> setValueToTime(B11)</f>
        <v>0h</v>
      </c>
      <c r="D11" s="121"/>
      <c r="E11" s="210"/>
      <c r="F11" s="211"/>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2021-05-05T07:02:08Z</dcterms:modified>
</cp:coreProperties>
</file>